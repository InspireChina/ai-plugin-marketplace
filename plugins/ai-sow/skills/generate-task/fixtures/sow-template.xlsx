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9644b20ba654044" /></Relationships>
</file>

<file path=xl/workbook.xml><?xml version="1.0" encoding="utf-8"?>
<x:workbook xmlns:x="http://schemas.openxmlformats.org/spreadsheetml/2006/main">
  <x:sheets>
    <x:sheet xmlns:r="http://schemas.openxmlformats.org/officeDocument/2006/relationships" name="00-使用说明" sheetId="1" r:id="Raf46a5a6b82041f0"/>
    <x:sheet xmlns:r="http://schemas.openxmlformats.org/officeDocument/2006/relationships" name="01-需求" sheetId="2" r:id="R2d96ef47fa2e4a37"/>
    <x:sheet xmlns:r="http://schemas.openxmlformats.org/officeDocument/2006/relationships" name="02-子需求" sheetId="3" r:id="R29f20c4962c446d1"/>
    <x:sheet xmlns:r="http://schemas.openxmlformats.org/officeDocument/2006/relationships" name="03-SOW主表" sheetId="4" r:id="R2ab7acc00eb54bb0"/>
    <x:sheet xmlns:r="http://schemas.openxmlformats.org/officeDocument/2006/relationships" name="04-验收条件" sheetId="5" r:id="R601069b884ee4986"/>
    <x:sheet xmlns:r="http://schemas.openxmlformats.org/officeDocument/2006/relationships" name="05-任务明细" sheetId="6" r:id="Re439b5d6d8fe4771"/>
    <x:sheet xmlns:r="http://schemas.openxmlformats.org/officeDocument/2006/relationships" name="06-集成点" sheetId="7" r:id="Rfb4ed52343c742ba"/>
    <x:sheet xmlns:r="http://schemas.openxmlformats.org/officeDocument/2006/relationships" name="07-假设清单" sheetId="8" r:id="R9e15ee74748c4f6d"/>
    <x:sheet xmlns:r="http://schemas.openxmlformats.org/officeDocument/2006/relationships" name="20-项目汇总" sheetId="9" r:id="R4bcda49c45c14c1b"/>
    <x:sheet xmlns:r="http://schemas.openxmlformats.org/officeDocument/2006/relationships" name="90-系统现状" sheetId="10" r:id="Rebd045ec577d4927"/>
    <x:sheet xmlns:r="http://schemas.openxmlformats.org/officeDocument/2006/relationships" name="91-项目参数" sheetId="11" r:id="R2b0cf981975f4f67"/>
    <x:sheet xmlns:r="http://schemas.openxmlformats.org/officeDocument/2006/relationships" name="92-基础人天" sheetId="12" r:id="Rae55ac24257b4d9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0.0"/>
    <x:numFmt numFmtId="165" formatCode="_ * #,##0.00_ ;_ * \-#,##0.00_ ;_ * &quot;-&quot;??_ ;_ @_ "/>
    <x:numFmt numFmtId="166" formatCode="_ * #,##0_ ;_ * \-#,##0_ ;_ * &quot;-&quot;_ ;_ @_ "/>
    <x:numFmt numFmtId="200" formatCode="0.00"/>
  </x:numFmts>
  <x:fonts count="54">
    <x:font>
      <x:sz val="11"/>
      <x:name val="Carlito"/>
    </x:font>
    <x:font>
      <x:b/>
      <x:sz val="16"/>
      <x:color rgb="FFFFFFFF"/>
      <x:name val="Carlito"/>
    </x:font>
    <x:font>
      <x:i/>
      <x:sz val="10"/>
      <x:color rgb="FF44546A"/>
      <x:name val="Carlito"/>
    </x:font>
    <x:font>
      <x:b/>
      <x:sz val="10"/>
      <x:color rgb="FFFFFFFF"/>
      <x:name val="Carlito"/>
    </x:font>
    <x:font>
      <x:sz val="10"/>
      <x:color rgb="FF1F1F1F"/>
      <x:name val="Carlito"/>
    </x:font>
    <x:font>
      <x:b/>
      <x:sz val="11"/>
      <x:color rgb="FF17365D"/>
      <x:name val="Carlito"/>
    </x:font>
    <x:font>
      <x:b/>
      <x:sz val="11"/>
      <x:color rgb="FFFFFFFF"/>
      <x:name val="Carlito"/>
    </x:font>
    <x:font>
      <x:i/>
      <x:sz val="11"/>
      <x:color rgb="FF44546A"/>
      <x:name val="Carlito"/>
    </x:font>
    <x:font>
      <x:sz val="11"/>
      <x:color rgb="FF1F1F1F"/>
      <x:name val="Carlito"/>
    </x:font>
    <x:font>
      <x:b/>
      <x:sz val="10"/>
      <x:color rgb="FF17365D"/>
      <x:name val="Carlito"/>
    </x:font>
    <x:font>
      <x:i/>
      <x:sz val="11"/>
      <x:color rgb="FF666666"/>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1"/>
      <x:color theme="1"/>
      <x:name val="Calibri"/>
    </x:font>
    <x:font>
      <x:b/>
      <x:sz val="15"/>
      <x:color rgb="FFFFFFFF"/>
      <x:name val="Carlito"/>
    </x:font>
    <x:font>
      <x:sz val="11"/>
      <x:color rgb="FF44546A"/>
      <x:name val="Carlito"/>
    </x:font>
    <x:font>
      <x:i/>
      <x:sz val="10"/>
      <x:color rgb="FF666666"/>
      <x:name val="Carlito"/>
    </x:font>
    <x:font>
      <x:b/>
      <x:sz val="13"/>
      <x:color rgb="FFFFFFFF"/>
      <x:name val="Carlito"/>
    </x:font>
    <x:font>
      <x:b/>
      <x:i/>
      <x:sz val="11"/>
      <x:color rgb="FF666666"/>
      <x:name val="Carlito"/>
    </x:font>
    <x:font>
      <x:b/>
      <x:sz val="11"/>
      <x:color rgb="FF1F1F1F"/>
      <x:name val="Carlito"/>
    </x:font>
    <x:font>
      <x:b/>
      <x:sz val="17"/>
      <x:color rgb="FFFFFFFF"/>
      <x:name val="Aptos Display"/>
    </x:font>
    <x:font>
      <x:i/>
      <x:sz val="10"/>
      <x:color rgb="FF667680"/>
      <x:name val="Aptos"/>
    </x:font>
    <x:font>
      <x:b/>
      <x:sz val="17"/>
      <x:color rgb="FFFFFFFF"/>
      <x:name val="Aptos"/>
    </x:font>
    <x:font>
      <x:sz val="11"/>
      <x:name val="Aptos"/>
    </x:font>
    <x:font>
      <x:b/>
      <x:sz val="11"/>
      <x:color rgb="FFFFFFFF"/>
      <x:name val="Aptos"/>
    </x:font>
    <x:font>
      <x:sz val="11"/>
      <x:color rgb="FF1F1F1F"/>
      <x:name val="Aptos"/>
    </x:font>
    <x:font>
      <x:b/>
      <x:sz val="10"/>
      <x:color rgb="FF24313A"/>
      <x:name val="Aptos"/>
    </x:font>
    <x:font>
      <x:sz val="10"/>
      <x:color rgb="FF24313A"/>
      <x:name val="Aptos"/>
    </x:font>
    <x:font>
      <x:b/>
      <x:sz val="10"/>
      <x:color rgb="FF315F61"/>
      <x:name val="Aptos"/>
    </x:font>
    <x:font>
      <x:b/>
      <x:sz val="10"/>
      <x:color rgb="FFFFFFFF"/>
      <x:name val="Aptos"/>
    </x:font>
    <x:font>
      <x:sz val="10"/>
      <x:color rgb="FF5E6B75"/>
      <x:name val="Aptos"/>
    </x:font>
    <x:font>
      <x:b/>
      <x:sz val="11"/>
      <x:color rgb="FF17324D"/>
      <x:name val="Aptos"/>
    </x:font>
    <x:font>
      <x:b/>
      <x:sz val="10"/>
      <x:color rgb="FF72531E"/>
      <x:name val="Aptos"/>
    </x:font>
    <x:font>
      <x:b/>
      <x:sz val="11"/>
      <x:color rgb="FF72531E"/>
      <x:name val="Aptos"/>
    </x:font>
    <x:font>
      <x:sz val="10"/>
      <x:color rgb="FF667680"/>
      <x:name val="Aptos"/>
    </x:font>
    <x:font>
      <x:b/>
      <x:sz val="11"/>
      <x:color rgb="FF315F61"/>
      <x:name val="Carlito"/>
    </x:font>
    <x:font>
      <x:sz val="11"/>
      <x:color rgb="FF334155"/>
      <x:name val="Carlito"/>
    </x:font>
  </x:fonts>
  <x:fills count="110">
    <x:fill>
      <x:patternFill patternType="none"/>
    </x:fill>
    <x:fill>
      <x:patternFill patternType="gray125"/>
    </x:fill>
    <x:fill>
      <x:patternFill patternType="solid">
        <x:fgColor rgb="FF17365D"/>
      </x:patternFill>
    </x:fill>
    <x:fill>
      <x:patternFill patternType="solid">
        <x:fgColor rgb="FFF2F2F2"/>
      </x:patternFill>
    </x:fill>
    <x:fill>
      <x:patternFill patternType="solid">
        <x:fgColor rgb="FF5B9BD5"/>
      </x:patternFill>
    </x:fill>
    <x:fill>
      <x:patternFill patternType="solid">
        <x:fgColor rgb="FFFFF2CC"/>
      </x:patternFill>
    </x:fill>
    <x:fill>
      <x:patternFill patternType="solid">
        <x:fgColor rgb="FFD9EAF7"/>
      </x:patternFill>
    </x:fill>
    <x:fill>
      <x:patternFill patternType="solid">
        <x:fgColor rgb="FFDDEBF7"/>
      </x:patternFill>
    </x:fill>
    <x:fill>
      <x:patternFill patternType="solid">
        <x:fgColor rgb="FF2F75B5"/>
      </x:patternFill>
    </x:fill>
    <x:fill>
      <x:patternFill patternType="solid">
        <x:fgColor rgb="FFE2F0D9"/>
      </x:patternFill>
    </x:fill>
    <x:fill>
      <x:patternFill patternType="solid">
        <x:fgColor rgb="FFFCE4D6"/>
      </x:patternFill>
    </x:fill>
    <x:fill>
      <x:patternFill patternType="solid">
        <x:fgColor rgb="FFFFFFCC"/>
      </x:patternFill>
    </x:fill>
    <x:fill>
      <x:patternFill patternType="solid">
        <x:fgColor rgb="FFFFCC99"/>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7365D"/>
      </x:patternFill>
    </x:fill>
    <x:fill>
      <x:patternFill patternType="solid">
        <x:fgColor rgb="FFF2F2F2"/>
      </x:patternFill>
    </x:fill>
    <x:fill>
      <x:patternFill patternType="solid">
        <x:fgColor rgb="FF5B9BD5"/>
      </x:patternFill>
    </x:fill>
    <x:fill>
      <x:patternFill patternType="solid">
        <x:fgColor rgb="FFFFF2CC"/>
      </x:patternFill>
    </x:fill>
    <x:fill>
      <x:patternFill patternType="solid">
        <x:fgColor rgb="FFDDEBF7"/>
      </x:patternFill>
    </x:fill>
    <x:fill>
      <x:patternFill patternType="solid">
        <x:fgColor rgb="FF17365D"/>
      </x:patternFill>
    </x:fill>
    <x:fill>
      <x:patternFill patternType="solid">
        <x:fgColor rgb="FFF2F2F2"/>
      </x:patternFill>
    </x:fill>
    <x:fill>
      <x:patternFill patternType="solid">
        <x:fgColor rgb="FF5B9BD5"/>
      </x:patternFill>
    </x:fill>
    <x:fill>
      <x:patternFill patternType="solid">
        <x:fgColor rgb="FF2F75B5"/>
      </x:patternFill>
    </x:fill>
    <x:fill>
      <x:patternFill patternType="solid">
        <x:fgColor rgb="FFFFF2CC"/>
      </x:patternFill>
    </x:fill>
    <x:fill>
      <x:patternFill patternType="solid">
        <x:fgColor rgb="FFDDEBF7"/>
      </x:patternFill>
    </x:fill>
    <x:fill>
      <x:patternFill patternType="solid">
        <x:fgColor rgb="FF17365D"/>
      </x:patternFill>
    </x:fill>
    <x:fill>
      <x:patternFill patternType="solid">
        <x:fgColor rgb="FFF2F2F2"/>
      </x:patternFill>
    </x:fill>
    <x:fill>
      <x:patternFill patternType="solid">
        <x:fgColor rgb="FF5B9BD5"/>
      </x:patternFill>
    </x:fill>
    <x:fill>
      <x:patternFill patternType="solid">
        <x:fgColor rgb="FFFFFFFF"/>
      </x:patternFill>
    </x:fill>
    <x:fill>
      <x:patternFill patternType="solid">
        <x:fgColor rgb="FF17365D"/>
      </x:patternFill>
    </x:fill>
    <x:fill>
      <x:patternFill patternType="solid">
        <x:fgColor rgb="FFF2F2F2"/>
      </x:patternFill>
    </x:fill>
    <x:fill>
      <x:patternFill patternType="solid">
        <x:fgColor rgb="FF5B9BD5"/>
      </x:patternFill>
    </x:fill>
    <x:fill>
      <x:patternFill patternType="solid">
        <x:fgColor rgb="FFFFFFFF"/>
      </x:patternFill>
    </x:fill>
    <x:fill>
      <x:patternFill patternType="solid">
        <x:fgColor rgb="FF5B9BD5"/>
      </x:patternFill>
    </x:fill>
    <x:fill>
      <x:patternFill patternType="solid">
        <x:fgColor rgb="FFFFF2CC"/>
      </x:patternFill>
    </x:fill>
    <x:fill>
      <x:patternFill patternType="solid">
        <x:fgColor rgb="FFDDEBF7"/>
      </x:patternFill>
    </x:fill>
    <x:fill>
      <x:patternFill patternType="solid">
        <x:fgColor rgb="FF17365D"/>
      </x:patternFill>
    </x:fill>
    <x:fill>
      <x:patternFill patternType="solid">
        <x:fgColor rgb="FFF2F2F2"/>
      </x:patternFill>
    </x:fill>
    <x:fill>
      <x:patternFill patternType="solid">
        <x:fgColor rgb="FF5B9BD5"/>
      </x:patternFill>
    </x:fill>
    <x:fill>
      <x:patternFill patternType="solid">
        <x:fgColor rgb="FFFFF2CC"/>
      </x:patternFill>
    </x:fill>
    <x:fill>
      <x:patternFill patternType="solid">
        <x:fgColor rgb="FFDDEBF7"/>
      </x:patternFill>
    </x:fill>
    <x:fill>
      <x:patternFill patternType="solid">
        <x:fgColor rgb="FFE2F0D9"/>
      </x:patternFill>
    </x:fill>
    <x:fill>
      <x:patternFill patternType="solid">
        <x:fgColor rgb="FF17365D"/>
      </x:patternFill>
    </x:fill>
    <x:fill>
      <x:patternFill patternType="solid">
        <x:fgColor rgb="FFF2F2F2"/>
      </x:patternFill>
    </x:fill>
    <x:fill>
      <x:patternFill patternType="solid">
        <x:fgColor rgb="FF5B9BD5"/>
      </x:patternFill>
    </x:fill>
    <x:fill>
      <x:patternFill patternType="solid">
        <x:fgColor rgb="FFFFF2CC"/>
      </x:patternFill>
    </x:fill>
    <x:fill>
      <x:patternFill patternType="solid">
        <x:fgColor rgb="FFDDEBF7"/>
      </x:patternFill>
    </x:fill>
    <x:fill>
      <x:patternFill patternType="solid">
        <x:fgColor rgb="FFE2F0D9"/>
      </x:patternFill>
    </x:fill>
    <x:fill>
      <x:patternFill patternType="solid">
        <x:fgColor rgb="FF17365D"/>
      </x:patternFill>
    </x:fill>
    <x:fill>
      <x:patternFill patternType="solid">
        <x:fgColor rgb="FFF2F2F2"/>
      </x:patternFill>
    </x:fill>
    <x:fill>
      <x:patternFill patternType="solid">
        <x:fgColor rgb="FF5B9BD5"/>
      </x:patternFill>
    </x:fill>
    <x:fill>
      <x:patternFill patternType="solid">
        <x:fgColor rgb="FFFFF2CC"/>
      </x:patternFill>
    </x:fill>
    <x:fill>
      <x:patternFill patternType="solid">
        <x:fgColor rgb="FFDDEBF7"/>
      </x:patternFill>
    </x:fill>
    <x:fill>
      <x:patternFill patternType="solid">
        <x:fgColor rgb="FFE2F0D9"/>
      </x:patternFill>
    </x:fill>
    <x:fill>
      <x:patternFill patternType="solid">
        <x:fgColor rgb="FF17365D"/>
      </x:patternFill>
    </x:fill>
    <x:fill>
      <x:patternFill patternType="solid">
        <x:fgColor rgb="FFF2F2F2"/>
      </x:patternFill>
    </x:fill>
    <x:fill>
      <x:patternFill patternType="solid">
        <x:fgColor rgb="FF2F75B5"/>
      </x:patternFill>
    </x:fill>
    <x:fill>
      <x:patternFill patternType="solid">
        <x:fgColor rgb="FFBF9000"/>
      </x:patternFill>
    </x:fill>
    <x:fill>
      <x:patternFill patternType="solid">
        <x:fgColor rgb="FF70AD47"/>
      </x:patternFill>
    </x:fill>
    <x:fill>
      <x:patternFill patternType="solid">
        <x:fgColor rgb="FF5B9BD5"/>
      </x:patternFill>
    </x:fill>
    <x:fill>
      <x:patternFill patternType="solid">
        <x:fgColor rgb="FFEAF2F8"/>
      </x:patternFill>
    </x:fill>
    <x:fill>
      <x:patternFill patternType="solid">
        <x:fgColor rgb="FFFFFFFF"/>
      </x:patternFill>
    </x:fill>
    <x:fill>
      <x:patternFill patternType="solid">
        <x:fgColor rgb="FFFFF2CC"/>
      </x:patternFill>
    </x:fill>
    <x:fill>
      <x:patternFill patternType="solid">
        <x:fgColor rgb="FFE2F0D9"/>
      </x:patternFill>
    </x:fill>
    <x:fill>
      <x:patternFill patternType="solid">
        <x:fgColor rgb="FF17324D"/>
      </x:patternFill>
    </x:fill>
    <x:fill>
      <x:patternFill patternType="solid">
        <x:fgColor rgb="FFF7F9FA"/>
      </x:patternFill>
    </x:fill>
    <x:fill>
      <x:patternFill patternType="solid">
        <x:fgColor rgb="FF26465F"/>
      </x:patternFill>
    </x:fill>
    <x:fill>
      <x:patternFill patternType="solid">
        <x:fgColor rgb="FFFFFFFF"/>
      </x:patternFill>
    </x:fill>
    <x:fill>
      <x:patternFill patternType="solid">
        <x:fgColor rgb="FFE8F1F0"/>
      </x:patternFill>
    </x:fill>
    <x:fill>
      <x:patternFill patternType="solid">
        <x:fgColor rgb="FF315F61"/>
      </x:patternFill>
    </x:fill>
    <x:fill>
      <x:patternFill patternType="solid">
        <x:fgColor rgb="FFFFF5E3"/>
      </x:patternFill>
    </x:fill>
    <x:fill>
      <x:patternFill patternType="solid">
        <x:fgColor rgb="FFF1F4F6"/>
      </x:patternFill>
    </x:fill>
    <x:fill>
      <x:patternFill patternType="solid">
        <x:fgColor rgb="FFDCEEE7"/>
      </x:patternFill>
    </x:fill>
    <x:fill>
      <x:patternFill patternType="solid">
        <x:fgColor rgb="FF5E6B75"/>
      </x:patternFill>
    </x:fill>
    <x:fill>
      <x:patternFill patternType="solid">
        <x:fgColor rgb="FF3F7778"/>
      </x:patternFill>
    </x:fill>
    <x:fill>
      <x:patternFill patternType="solid">
        <x:fgColor rgb="FFA8762E"/>
      </x:patternFill>
    </x:fill>
    <x:fill>
      <x:patternFill patternType="solid">
        <x:fgColor rgb="FFF1F4F6"/>
      </x:patternFill>
    </x:fill>
    <x:fill>
      <x:patternFill patternType="solid">
        <x:fgColor rgb="FFFFFFFF"/>
      </x:patternFill>
    </x:fill>
    <x:fill>
      <x:patternFill patternType="solid">
        <x:fgColor rgb="FFE8F1F0"/>
      </x:patternFill>
    </x:fill>
    <x:fill>
      <x:patternFill patternType="solid">
        <x:fgColor rgb="FFFFF5E3"/>
      </x:patternFill>
    </x:fill>
    <x:fill>
      <x:patternFill patternType="solid">
        <x:fgColor rgb="FF26465F"/>
      </x:patternFill>
    </x:fill>
    <x:fill>
      <x:patternFill patternType="solid">
        <x:fgColor rgb="FFE8F1F0"/>
      </x:patternFill>
    </x:fill>
    <x:fill>
      <x:patternFill patternType="solid">
        <x:fgColor rgb="FFFFFFFF"/>
      </x:patternFill>
    </x:fill>
  </x:fills>
  <x:borders count="30">
    <x:border/>
    <x:border>
      <x:left style="thin">
        <x:color rgb="FFB4C6E7"/>
      </x:left>
      <x:right style="thin">
        <x:color rgb="FFB4C6E7"/>
      </x:right>
      <x:top style="thin">
        <x:color rgb="FFB4C6E7"/>
      </x:top>
      <x:bottom style="thin">
        <x:color rgb="FFB4C6E7"/>
      </x:bottom>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A9C7EA"/>
      </x:left>
      <x:right style="thin">
        <x:color rgb="FFA9C7EA"/>
      </x:right>
      <x:top style="thin">
        <x:color rgb="FFA9C7EA"/>
      </x:top>
      <x:bottom style="thin">
        <x:color rgb="FFA9C7EA"/>
      </x:bottom>
    </x:border>
    <x:border>
      <x:top style="thin">
        <x:color rgb="FFA9C7EA"/>
      </x:top>
    </x:border>
    <x:border>
      <x:right style="thin">
        <x:color rgb="FFA9C7EA"/>
      </x:right>
      <x:top style="thin">
        <x:color rgb="FFA9C7EA"/>
      </x:top>
    </x:border>
    <x:border>
      <x:top style="thin">
        <x:color rgb="FFA9C7EA"/>
      </x:top>
      <x:bottom style="thin">
        <x:color rgb="FFA9C7EA"/>
      </x:bottom>
    </x:border>
    <x:border>
      <x:right style="thin">
        <x:color rgb="FFA9C7EA"/>
      </x:right>
      <x:top style="thin">
        <x:color rgb="FFA9C7EA"/>
      </x:top>
      <x:bottom style="thin">
        <x:color rgb="FFA9C7EA"/>
      </x:bottom>
    </x:border>
    <x:border>
      <x:top style="thin">
        <x:color rgb="FFB4C6E7"/>
      </x:top>
    </x:border>
    <x:border>
      <x:right style="thin">
        <x:color rgb="FFB4C6E7"/>
      </x:right>
      <x:top style="thin">
        <x:color rgb="FFB4C6E7"/>
      </x:top>
    </x:border>
    <x:border>
      <x:left style="thin">
        <x:color rgb="FFD9E2F3"/>
      </x:left>
      <x:right style="thin">
        <x:color rgb="FFD9E2F3"/>
      </x:right>
      <x:top style="thin">
        <x:color rgb="FFD9E2F3"/>
      </x:top>
      <x:bottom style="thin">
        <x:color rgb="FFD9E2F3"/>
      </x:bottom>
    </x:border>
    <x:border>
      <x:bottom style="medium">
        <x:color rgb="FF3F7778"/>
      </x:bottom>
    </x:border>
    <x:border>
      <x:bottom style="thin">
        <x:color rgb="FFB9C7CE"/>
      </x:bottom>
    </x:border>
    <x:border>
      <x:left style="thin">
        <x:color rgb="FFA9C7EA"/>
      </x:left>
      <x:right style="thin">
        <x:color rgb="FFA9C7EA"/>
      </x:right>
      <x:top style="thin">
        <x:color rgb="FFA9C7EA"/>
      </x:top>
      <x:bottom style="medium">
        <x:color rgb="FF3F7778"/>
      </x:bottom>
    </x:border>
    <x:border>
      <x:top style="thin">
        <x:color rgb="FFA9C7EA"/>
      </x:top>
      <x:bottom style="medium">
        <x:color rgb="FF3F7778"/>
      </x:bottom>
    </x:border>
    <x:border>
      <x:right style="thin">
        <x:color rgb="FFA9C7EA"/>
      </x:right>
      <x:top style="thin">
        <x:color rgb="FFA9C7EA"/>
      </x:top>
      <x:bottom style="medium">
        <x:color rgb="FF3F7778"/>
      </x:bottom>
    </x:border>
    <x:border>
      <x:left style="thin">
        <x:color rgb="FFD6DEE3"/>
      </x:left>
      <x:right style="thin">
        <x:color rgb="FFD6DEE3"/>
      </x:right>
      <x:top style="thin">
        <x:color rgb="FFD6DEE3"/>
      </x:top>
      <x:bottom style="thin">
        <x:color rgb="FFD6DEE3"/>
      </x:bottom>
    </x:border>
    <x:border>
      <x:left style="thin">
        <x:color rgb="FFDCE7E7"/>
      </x:left>
      <x:right style="thin">
        <x:color rgb="FFDCE7E7"/>
      </x:right>
      <x:top style="thin">
        <x:color rgb="FFDCE7E7"/>
      </x:top>
      <x:bottom style="thin">
        <x:color rgb="FFDCE7E7"/>
      </x:bottom>
    </x:border>
    <x:border>
      <x:left style="medium">
        <x:color rgb="FF17324D"/>
      </x:left>
      <x:right style="medium">
        <x:color rgb="FF17324D"/>
      </x:right>
      <x:top style="medium">
        <x:color rgb="FF17324D"/>
      </x:top>
      <x:bottom style="medium">
        <x:color rgb="FF17324D"/>
      </x:bottom>
    </x:border>
    <x:border>
      <x:left style="thin">
        <x:color rgb="FFFFFFFF"/>
      </x:left>
      <x:right style="thin">
        <x:color rgb="FFFFFFFF"/>
      </x:right>
      <x:top style="thin">
        <x:color rgb="FFFFFFFF"/>
      </x:top>
      <x:bottom style="thin">
        <x:color rgb="FFFFFFFF"/>
      </x:bottom>
    </x:border>
  </x:borders>
  <x:cellStyleXfs count="49">
    <x:xf numFmtId="0" fontId="0" fillId="0" borderId="0"/>
    <x:xf numFmtId="165" fontId="30" fillId="0" borderId="0" applyAlignment="1">
      <x:alignment vertical="center"/>
    </x:xf>
    <x:xf numFmtId="44" fontId="30" fillId="0" borderId="0" applyAlignment="1">
      <x:alignment vertical="center"/>
    </x:xf>
    <x:xf numFmtId="9" fontId="30" fillId="0" borderId="0" applyAlignment="1">
      <x:alignment vertical="center"/>
    </x:xf>
    <x:xf numFmtId="166" fontId="30" fillId="0" borderId="0" applyAlignment="1">
      <x:alignment vertical="center"/>
    </x:xf>
    <x:xf numFmtId="42" fontId="30" fillId="0" borderId="0" applyAlignment="1">
      <x:alignment vertical="center"/>
    </x:xf>
    <x:xf numFmtId="0" fontId="12" fillId="0" borderId="0" applyAlignment="1">
      <x:alignment vertical="center"/>
    </x:xf>
    <x:xf numFmtId="0" fontId="13" fillId="0" borderId="0" applyAlignment="1">
      <x:alignment vertical="center"/>
    </x:xf>
    <x:xf numFmtId="0" fontId="30" fillId="11" borderId="5" applyAlignment="1">
      <x:alignment vertical="center"/>
    </x:xf>
    <x:xf numFmtId="0" fontId="14" fillId="0" borderId="0" applyAlignment="1">
      <x:alignment vertical="center"/>
    </x:xf>
    <x:xf numFmtId="0" fontId="15" fillId="0" borderId="0" applyAlignment="1">
      <x:alignment vertical="center"/>
    </x:xf>
    <x:xf numFmtId="0" fontId="16" fillId="0" borderId="0" applyAlignment="1">
      <x:alignment vertical="center"/>
    </x:xf>
    <x:xf numFmtId="0" fontId="17" fillId="0" borderId="6" applyAlignment="1">
      <x:alignment vertical="center"/>
    </x:xf>
    <x:xf numFmtId="0" fontId="18" fillId="0" borderId="6" applyAlignment="1">
      <x:alignment vertical="center"/>
    </x:xf>
    <x:xf numFmtId="0" fontId="19" fillId="0" borderId="7" applyAlignment="1">
      <x:alignment vertical="center"/>
    </x:xf>
    <x:xf numFmtId="0" fontId="19" fillId="0" borderId="0" applyAlignment="1">
      <x:alignment vertical="center"/>
    </x:xf>
    <x:xf numFmtId="0" fontId="20" fillId="12" borderId="8" applyAlignment="1">
      <x:alignment vertical="center"/>
    </x:xf>
    <x:xf numFmtId="0" fontId="21" fillId="47" borderId="9" applyAlignment="1">
      <x:alignment vertical="center"/>
    </x:xf>
    <x:xf numFmtId="0" fontId="22" fillId="47" borderId="8" applyAlignment="1">
      <x:alignment vertical="center"/>
    </x:xf>
    <x:xf numFmtId="0" fontId="23" fillId="13" borderId="10" applyAlignment="1">
      <x:alignment vertical="center"/>
    </x:xf>
    <x:xf numFmtId="0" fontId="24" fillId="0" borderId="11" applyAlignment="1">
      <x:alignment vertical="center"/>
    </x:xf>
    <x:xf numFmtId="0" fontId="25" fillId="0" borderId="12" applyAlignment="1">
      <x:alignment vertical="center"/>
    </x:xf>
    <x:xf numFmtId="0" fontId="26" fillId="14" borderId="0" applyAlignment="1">
      <x:alignment vertical="center"/>
    </x:xf>
    <x:xf numFmtId="0" fontId="27" fillId="15" borderId="0" applyAlignment="1">
      <x:alignment vertical="center"/>
    </x:xf>
    <x:xf numFmtId="0" fontId="28" fillId="16" borderId="0" applyAlignment="1">
      <x:alignment vertical="center"/>
    </x:xf>
    <x:xf numFmtId="0" fontId="29" fillId="17" borderId="0" applyAlignment="1">
      <x:alignment vertical="center"/>
    </x:xf>
    <x:xf numFmtId="0" fontId="30" fillId="18" borderId="0" applyAlignment="1">
      <x:alignment vertical="center"/>
    </x:xf>
    <x:xf numFmtId="0" fontId="30" fillId="19" borderId="0" applyAlignment="1">
      <x:alignment vertical="center"/>
    </x:xf>
    <x:xf numFmtId="0" fontId="29" fillId="20" borderId="0" applyAlignment="1">
      <x:alignment vertical="center"/>
    </x:xf>
    <x:xf numFmtId="0" fontId="29" fillId="21" borderId="0" applyAlignment="1">
      <x:alignment vertical="center"/>
    </x:xf>
    <x:xf numFmtId="0" fontId="30" fillId="22" borderId="0" applyAlignment="1">
      <x:alignment vertical="center"/>
    </x:xf>
    <x:xf numFmtId="0" fontId="30" fillId="23" borderId="0" applyAlignment="1">
      <x:alignment vertical="center"/>
    </x:xf>
    <x:xf numFmtId="0" fontId="29" fillId="24" borderId="0" applyAlignment="1">
      <x:alignment vertical="center"/>
    </x:xf>
    <x:xf numFmtId="0" fontId="29" fillId="25" borderId="0" applyAlignment="1">
      <x:alignment vertical="center"/>
    </x:xf>
    <x:xf numFmtId="0" fontId="30" fillId="26" borderId="0" applyAlignment="1">
      <x:alignment vertical="center"/>
    </x:xf>
    <x:xf numFmtId="0" fontId="30" fillId="27" borderId="0" applyAlignment="1">
      <x:alignment vertical="center"/>
    </x:xf>
    <x:xf numFmtId="0" fontId="29" fillId="28" borderId="0" applyAlignment="1">
      <x:alignment vertical="center"/>
    </x:xf>
    <x:xf numFmtId="0" fontId="29" fillId="29" borderId="0" applyAlignment="1">
      <x:alignment vertical="center"/>
    </x:xf>
    <x:xf numFmtId="0" fontId="30" fillId="30" borderId="0" applyAlignment="1">
      <x:alignment vertical="center"/>
    </x:xf>
    <x:xf numFmtId="0" fontId="30" fillId="31" borderId="0" applyAlignment="1">
      <x:alignment vertical="center"/>
    </x:xf>
    <x:xf numFmtId="0" fontId="29" fillId="32" borderId="0" applyAlignment="1">
      <x:alignment vertical="center"/>
    </x:xf>
    <x:xf numFmtId="0" fontId="29" fillId="33" borderId="0" applyAlignment="1">
      <x:alignment vertical="center"/>
    </x:xf>
    <x:xf numFmtId="0" fontId="30" fillId="34" borderId="0" applyAlignment="1">
      <x:alignment vertical="center"/>
    </x:xf>
    <x:xf numFmtId="0" fontId="30" fillId="35" borderId="0" applyAlignment="1">
      <x:alignment vertical="center"/>
    </x:xf>
    <x:xf numFmtId="0" fontId="29" fillId="36" borderId="0" applyAlignment="1">
      <x:alignment vertical="center"/>
    </x:xf>
    <x:xf numFmtId="0" fontId="29" fillId="37" borderId="0" applyAlignment="1">
      <x:alignment vertical="center"/>
    </x:xf>
    <x:xf numFmtId="0" fontId="30" fillId="38" borderId="0" applyAlignment="1">
      <x:alignment vertical="center"/>
    </x:xf>
    <x:xf numFmtId="0" fontId="30" fillId="39" borderId="0" applyAlignment="1">
      <x:alignment vertical="center"/>
    </x:xf>
    <x:xf numFmtId="0" fontId="29" fillId="40" borderId="0" applyAlignment="1">
      <x:alignment vertical="center"/>
    </x:xf>
  </x:cellStyleXfs>
  <x:cellXfs count="647">
    <x:xf numFmtId="0" fontId="0" fillId="0" borderId="0" xfId="0"/>
    <x:xf numFmtId="0" fontId="1" fillId="2" borderId="0" xfId="0" applyAlignment="1">
      <x:alignment vertical="center"/>
    </x:xf>
    <x:xf numFmtId="0" fontId="2" fillId="3" borderId="0" xfId="0" applyAlignment="1">
      <x:alignment vertical="center" wrapText="1"/>
    </x:xf>
    <x:xf numFmtId="0" fontId="3" fillId="4" borderId="1" xfId="0" applyAlignment="1">
      <x:alignment horizontal="center" vertical="center" wrapText="1"/>
    </x:xf>
    <x:xf numFmtId="0" fontId="4" fillId="5" borderId="1" xfId="0" applyAlignment="1">
      <x:alignment vertical="top" wrapText="1"/>
    </x:xf>
    <x:xf numFmtId="164" fontId="4" fillId="5" borderId="1" xfId="0" applyAlignment="1">
      <x:alignment vertical="top" wrapText="1"/>
    </x:xf>
    <x:xf numFmtId="0" fontId="4" fillId="0" borderId="1" xfId="0" applyAlignment="1">
      <x:alignment vertical="top" wrapText="1"/>
    </x:xf>
    <x:xf numFmtId="0" fontId="5" fillId="6" borderId="1" xfId="0" applyAlignment="1">
      <x:alignment vertical="center" wrapText="1"/>
    </x:xf>
    <x:xf numFmtId="9" fontId="4" fillId="5" borderId="1" xfId="0" applyAlignment="1">
      <x:alignment vertical="top" wrapText="1"/>
    </x:xf>
    <x:xf numFmtId="0" fontId="6" fillId="2" borderId="0" xfId="0" applyAlignment="1">
      <x:alignment vertical="center"/>
    </x:xf>
    <x:xf numFmtId="0" fontId="7" fillId="3" borderId="0" xfId="0" applyAlignment="1">
      <x:alignment vertical="center" wrapText="1"/>
    </x:xf>
    <x:xf numFmtId="0" fontId="5" fillId="7" borderId="2" xfId="0" applyAlignment="1">
      <x:alignment vertical="center"/>
    </x:xf>
    <x:xf numFmtId="0" fontId="5" fillId="7" borderId="3" xfId="0" applyAlignment="1">
      <x:alignment vertical="center"/>
    </x:xf>
    <x:xf numFmtId="0" fontId="5" fillId="7" borderId="4" xfId="0" applyAlignment="1">
      <x:alignment vertical="center"/>
    </x:xf>
    <x:xf numFmtId="0" fontId="6" fillId="4" borderId="1" xfId="0" applyAlignment="1">
      <x:alignment horizontal="center" vertical="center" wrapText="1"/>
    </x:xf>
    <x:xf numFmtId="0" fontId="8" fillId="5" borderId="1" xfId="0" applyAlignment="1">
      <x:alignment vertical="center" wrapText="1"/>
    </x:xf>
    <x:xf numFmtId="0" fontId="8" fillId="7" borderId="1" xfId="0" applyAlignment="1">
      <x:alignment vertical="center" wrapText="1"/>
    </x:xf>
    <x:xf numFmtId="164" fontId="4" fillId="7" borderId="1" xfId="0" applyAlignment="1">
      <x:alignment vertical="top" wrapText="1"/>
    </x:xf>
    <x:xf numFmtId="0" fontId="4" fillId="7" borderId="1" xfId="0" applyAlignment="1">
      <x:alignment vertical="top" wrapText="1"/>
    </x:xf>
    <x:xf numFmtId="0" fontId="9" fillId="6" borderId="1" xfId="0" applyAlignment="1">
      <x:alignment vertical="top" wrapText="1"/>
    </x:xf>
    <x:xf numFmtId="164" fontId="9" fillId="6" borderId="1" xfId="0" applyAlignment="1">
      <x:alignment vertical="top" wrapText="1"/>
    </x:xf>
    <x:xf numFmtId="0" fontId="3" fillId="2" borderId="1" xfId="0" applyAlignment="1">
      <x:alignment vertical="top" wrapText="1"/>
    </x:xf>
    <x:xf numFmtId="164" fontId="3" fillId="2" borderId="1" xfId="0" applyAlignment="1">
      <x:alignment vertical="top" wrapText="1"/>
    </x:xf>
    <x:xf numFmtId="164" fontId="8" fillId="5" borderId="1" xfId="0" applyAlignment="1">
      <x:alignment vertical="center" wrapText="1"/>
    </x:xf>
    <x:xf numFmtId="164" fontId="8" fillId="7" borderId="1" xfId="0" applyAlignment="1">
      <x:alignment vertical="center" wrapText="1"/>
    </x:xf>
    <x:xf numFmtId="0" fontId="10" fillId="3" borderId="0" xfId="0" applyAlignment="1">
      <x:alignment vertical="center"/>
    </x:xf>
    <x:xf numFmtId="0" fontId="0" fillId="5" borderId="1" xfId="0" applyAlignment="1">
      <x:alignment vertical="top" wrapText="1"/>
    </x:xf>
    <x:xf numFmtId="0" fontId="0" fillId="5" borderId="1" xfId="0" applyAlignment="1">
      <x:alignment horizontal="center" vertical="top" wrapText="1"/>
    </x:xf>
    <x:xf numFmtId="0" fontId="8" fillId="7" borderId="1" xfId="0" applyAlignment="1">
      <x:alignment vertical="top" wrapText="1"/>
    </x:xf>
    <x:xf numFmtId="0" fontId="5" fillId="6" borderId="1" xfId="0" applyAlignment="1">
      <x:alignment vertical="center"/>
    </x:xf>
    <x:xf numFmtId="0" fontId="3" fillId="8" borderId="1" xfId="0" applyAlignment="1">
      <x:alignment horizontal="center" vertical="top" wrapText="1"/>
    </x:xf>
    <x:xf numFmtId="0" fontId="9" fillId="7" borderId="1" xfId="0" applyAlignment="1">
      <x:alignment vertical="top" wrapText="1"/>
    </x:xf>
    <x:xf numFmtId="0" fontId="4" fillId="9" borderId="1" xfId="0" applyAlignment="1">
      <x:alignment vertical="top" wrapText="1"/>
    </x:xf>
    <x:xf numFmtId="0" fontId="4" fillId="10" borderId="1" xfId="0" applyAlignment="1">
      <x:alignment vertical="top" wrapText="1"/>
    </x:xf>
    <x:xf numFmtId="0" fontId="3" fillId="8" borderId="1" xfId="0" applyAlignment="1">
      <x:alignment horizontal="center" vertical="center" wrapText="1"/>
    </x:xf>
    <x:xf numFmtId="0" fontId="9" fillId="6" borderId="1" xfId="0" applyAlignment="1">
      <x:alignment vertical="center" wrapText="1"/>
    </x:xf>
    <x:xf numFmtId="0" fontId="3" fillId="2" borderId="1" xfId="0" applyAlignment="1">
      <x:alignment horizontal="center" vertical="center" wrapText="1"/>
    </x:xf>
    <x:xf numFmtId="0" fontId="1" fillId="41" borderId="0" xfId="0" applyAlignment="1">
      <x:alignment vertical="center"/>
    </x:xf>
    <x:xf numFmtId="0" fontId="0" fillId="41" borderId="0" xfId="0"/>
    <x:xf numFmtId="0" fontId="31" fillId="41" borderId="0" xfId="0" applyAlignment="1">
      <x:alignment vertical="center"/>
    </x:xf>
    <x:xf numFmtId="0" fontId="31" fillId="41" borderId="0" xfId="0"/>
    <x:xf numFmtId="0" fontId="2" fillId="42" borderId="0" xfId="0" applyAlignment="1">
      <x:alignment vertical="center" wrapText="1"/>
    </x:xf>
    <x:xf numFmtId="0" fontId="0" fillId="42" borderId="0" xfId="0"/>
    <x:xf numFmtId="0" fontId="7" fillId="42" borderId="0" xfId="0"/>
    <x:xf numFmtId="0" fontId="7" fillId="42" borderId="0" xfId="0" applyAlignment="1">
      <x:alignment wrapText="1"/>
    </x:xf>
    <x:xf numFmtId="0" fontId="7" fillId="42" borderId="0" xfId="0" applyAlignment="1">
      <x:alignment vertical="center" wrapText="1"/>
    </x:xf>
    <x:xf numFmtId="0" fontId="3" fillId="43" borderId="1" xfId="0" applyAlignment="1">
      <x:alignment horizontal="center" vertical="center" wrapText="1"/>
    </x:xf>
    <x:xf numFmtId="0" fontId="0" fillId="43" borderId="0" xfId="0"/>
    <x:xf numFmtId="0" fontId="6" fillId="43" borderId="0" xfId="0"/>
    <x:xf numFmtId="0" fontId="3" fillId="43" borderId="13" xfId="0" applyAlignment="1">
      <x:alignment horizontal="center" vertical="center" wrapText="1"/>
    </x:xf>
    <x:xf numFmtId="0" fontId="6" fillId="43" borderId="13" xfId="0"/>
    <x:xf numFmtId="0" fontId="6" fillId="43" borderId="13" xfId="0" applyAlignment="1">
      <x:alignment wrapText="1"/>
    </x:xf>
    <x:xf numFmtId="0" fontId="6" fillId="43" borderId="13" xfId="0" applyAlignment="1">
      <x:alignment horizontal="center" wrapText="1"/>
    </x:xf>
    <x:xf numFmtId="0" fontId="6" fillId="43" borderId="13" xfId="0" applyAlignment="1">
      <x:alignment horizontal="center" vertical="center" wrapText="1"/>
    </x:xf>
    <x:xf numFmtId="0" fontId="4" fillId="44" borderId="1" xfId="0" applyAlignment="1">
      <x:alignment vertical="top" wrapText="1"/>
    </x:xf>
    <x:xf numFmtId="164" fontId="4" fillId="44" borderId="1" xfId="0" applyAlignment="1">
      <x:alignment vertical="top" wrapText="1"/>
    </x:xf>
    <x:xf numFmtId="0" fontId="0" fillId="44" borderId="0" xfId="0"/>
    <x:xf numFmtId="0" fontId="8" fillId="44" borderId="0" xfId="0"/>
    <x:xf numFmtId="0" fontId="4" fillId="44" borderId="13" xfId="0" applyAlignment="1">
      <x:alignment vertical="top" wrapText="1"/>
    </x:xf>
    <x:xf numFmtId="164" fontId="4" fillId="44" borderId="13" xfId="0" applyAlignment="1">
      <x:alignment vertical="top" wrapText="1"/>
    </x:xf>
    <x:xf numFmtId="0" fontId="8" fillId="44" borderId="13" xfId="0"/>
    <x:xf numFmtId="0" fontId="8" fillId="44" borderId="13" xfId="0" applyAlignment="1">
      <x:alignment wrapText="1"/>
    </x:xf>
    <x:xf numFmtId="0" fontId="4" fillId="44" borderId="13" xfId="0" applyAlignment="1">
      <x:alignment vertical="center" wrapText="1"/>
    </x:xf>
    <x:xf numFmtId="164" fontId="4" fillId="44" borderId="13" xfId="0" applyAlignment="1">
      <x:alignment vertical="center" wrapText="1"/>
    </x:xf>
    <x:xf numFmtId="0" fontId="8" fillId="44" borderId="13" xfId="0" applyAlignment="1">
      <x:alignment vertical="center" wrapText="1"/>
    </x:xf>
    <x:xf numFmtId="0" fontId="4" fillId="45" borderId="13" xfId="0" applyAlignment="1">
      <x:alignment vertical="center" wrapText="1"/>
    </x:xf>
    <x:xf numFmtId="0" fontId="8" fillId="45" borderId="13" xfId="0" applyAlignment="1">
      <x:alignment vertical="center" wrapText="1"/>
    </x:xf>
    <x:xf numFmtId="164" fontId="4" fillId="45" borderId="13" xfId="0" applyAlignment="1">
      <x:alignment vertical="center" wrapText="1"/>
    </x:xf>
    <x:xf numFmtId="164" fontId="8" fillId="44" borderId="13" xfId="0" applyAlignment="1">
      <x:alignment vertical="center" wrapText="1"/>
    </x:xf>
    <x:xf numFmtId="164" fontId="8" fillId="45" borderId="13" xfId="0" applyAlignment="1">
      <x:alignment vertical="center" wrapText="1"/>
    </x:xf>
    <x:xf numFmtId="164" fontId="8" fillId="45" borderId="1" xfId="0" applyAlignment="1">
      <x:alignment vertical="center" wrapText="1"/>
    </x:xf>
    <x:xf numFmtId="0" fontId="0" fillId="45" borderId="0" xfId="0"/>
    <x:xf numFmtId="0" fontId="8" fillId="45" borderId="0" xfId="0"/>
    <x:xf numFmtId="0" fontId="8" fillId="45" borderId="13" xfId="0"/>
    <x:xf numFmtId="0" fontId="8" fillId="45" borderId="13" xfId="0" applyAlignment="1">
      <x:alignment wrapText="1"/>
    </x:xf>
    <x:xf numFmtId="0" fontId="6" fillId="41" borderId="0" xfId="0" applyAlignment="1">
      <x:alignment vertical="center"/>
    </x:xf>
    <x:xf numFmtId="0" fontId="8" fillId="43" borderId="13" xfId="0" applyAlignment="1">
      <x:alignment vertical="center" wrapText="1"/>
    </x:xf>
    <x:xf numFmtId="0" fontId="6" fillId="43" borderId="13" xfId="0" applyAlignment="1">
      <x:alignment vertical="center" wrapText="1"/>
    </x:xf>
    <x:xf numFmtId="0" fontId="1" fillId="46" borderId="0" xfId="0" applyAlignment="1">
      <x:alignment vertical="center"/>
    </x:xf>
    <x:xf numFmtId="0" fontId="31" fillId="46" borderId="0" xfId="0" applyAlignment="1">
      <x:alignment vertical="center"/>
    </x:xf>
    <x:xf numFmtId="0" fontId="2" fillId="47" borderId="0" xfId="0" applyAlignment="1">
      <x:alignment vertical="center" wrapText="1"/>
    </x:xf>
    <x:xf numFmtId="0" fontId="0" fillId="48" borderId="0" xfId="0"/>
    <x:xf numFmtId="0" fontId="6" fillId="48" borderId="0" xfId="0"/>
    <x:xf numFmtId="0" fontId="6" fillId="48" borderId="13" xfId="0"/>
    <x:xf numFmtId="0" fontId="6" fillId="48" borderId="13" xfId="0" applyAlignment="1">
      <x:alignment wrapText="1"/>
    </x:xf>
    <x:xf numFmtId="0" fontId="6" fillId="48" borderId="13" xfId="0" applyAlignment="1">
      <x:alignment horizontal="left" wrapText="1"/>
    </x:xf>
    <x:xf numFmtId="0" fontId="6" fillId="48" borderId="13" xfId="0" applyAlignment="1">
      <x:alignment horizontal="left" vertical="center" wrapText="1"/>
    </x:xf>
    <x:xf numFmtId="0" fontId="0" fillId="49" borderId="0" xfId="0"/>
    <x:xf numFmtId="0" fontId="6" fillId="49" borderId="0" xfId="0"/>
    <x:xf numFmtId="0" fontId="6" fillId="49" borderId="13" xfId="0"/>
    <x:xf numFmtId="0" fontId="6" fillId="49" borderId="13" xfId="0" applyAlignment="1">
      <x:alignment wrapText="1"/>
    </x:xf>
    <x:xf numFmtId="0" fontId="6" fillId="49" borderId="13" xfId="0" applyAlignment="1">
      <x:alignment horizontal="center" wrapText="1"/>
    </x:xf>
    <x:xf numFmtId="0" fontId="6" fillId="49" borderId="13" xfId="0" applyAlignment="1">
      <x:alignment horizontal="center" vertical="center" wrapText="1"/>
    </x:xf>
    <x:xf numFmtId="0" fontId="0" fillId="50" borderId="0" xfId="0"/>
    <x:xf numFmtId="0" fontId="8" fillId="50" borderId="0" xfId="0"/>
    <x:xf numFmtId="0" fontId="8" fillId="50" borderId="13" xfId="0"/>
    <x:xf numFmtId="0" fontId="8" fillId="50" borderId="13" xfId="0" applyAlignment="1">
      <x:alignment wrapText="1"/>
    </x:xf>
    <x:xf numFmtId="0" fontId="8" fillId="50" borderId="13" xfId="0" applyAlignment="1">
      <x:alignment vertical="center" wrapText="1"/>
    </x:xf>
    <x:xf numFmtId="0" fontId="0" fillId="51" borderId="0" xfId="0"/>
    <x:xf numFmtId="0" fontId="8" fillId="51" borderId="0" xfId="0"/>
    <x:xf numFmtId="0" fontId="8" fillId="51" borderId="13" xfId="0"/>
    <x:xf numFmtId="0" fontId="8" fillId="51" borderId="13" xfId="0" applyAlignment="1">
      <x:alignment wrapText="1"/>
    </x:xf>
    <x:xf numFmtId="0" fontId="8" fillId="51" borderId="13" xfId="0" applyAlignment="1">
      <x:alignment vertical="center" wrapText="1"/>
    </x:xf>
    <x:xf numFmtId="0" fontId="6" fillId="48" borderId="13" xfId="0" applyAlignment="1">
      <x:alignment horizontal="center" wrapText="1"/>
    </x:xf>
    <x:xf numFmtId="0" fontId="6" fillId="48" borderId="13" xfId="0" applyAlignment="1">
      <x:alignment horizontal="center" vertical="center" wrapText="1"/>
    </x:xf>
    <x:xf numFmtId="0" fontId="6" fillId="48" borderId="1" xfId="0" applyAlignment="1">
      <x:alignment horizontal="center" vertical="center" wrapText="1"/>
    </x:xf>
    <x:xf numFmtId="0" fontId="8" fillId="50" borderId="1" xfId="0" applyAlignment="1">
      <x:alignment vertical="center" wrapText="1"/>
    </x:xf>
    <x:xf numFmtId="0" fontId="8" fillId="51" borderId="1" xfId="0" applyAlignment="1">
      <x:alignment vertical="center" wrapText="1"/>
    </x:xf>
    <x:xf numFmtId="0" fontId="8" fillId="51" borderId="1" xfId="0" applyAlignment="1">
      <x:alignment vertical="top" wrapText="1"/>
    </x:xf>
    <x:xf numFmtId="164" fontId="8" fillId="51" borderId="1" xfId="0" applyAlignment="1">
      <x:alignment vertical="center" wrapText="1"/>
    </x:xf>
    <x:xf numFmtId="0" fontId="8" fillId="51" borderId="13" xfId="0" applyAlignment="1">
      <x:alignment vertical="top" wrapText="1"/>
    </x:xf>
    <x:xf numFmtId="164" fontId="8" fillId="51" borderId="13" xfId="0" applyAlignment="1">
      <x:alignment vertical="center" wrapText="1"/>
    </x:xf>
    <x:xf numFmtId="0" fontId="0" fillId="50" borderId="1" xfId="0" applyAlignment="1">
      <x:alignment vertical="top" wrapText="1"/>
    </x:xf>
    <x:xf numFmtId="0" fontId="0" fillId="50" borderId="1" xfId="0" applyAlignment="1">
      <x:alignment horizontal="center" vertical="top" wrapText="1"/>
    </x:xf>
    <x:xf numFmtId="0" fontId="8" fillId="50" borderId="1" xfId="0" applyAlignment="1">
      <x:alignment vertical="top" wrapText="1"/>
    </x:xf>
    <x:xf numFmtId="0" fontId="8" fillId="50" borderId="1" xfId="0" applyAlignment="1">
      <x:alignment horizontal="center" vertical="top" wrapText="1"/>
    </x:xf>
    <x:xf numFmtId="0" fontId="8" fillId="50" borderId="13" xfId="0" applyAlignment="1">
      <x:alignment vertical="top" wrapText="1"/>
    </x:xf>
    <x:xf numFmtId="0" fontId="8" fillId="50" borderId="13" xfId="0" applyAlignment="1">
      <x:alignment horizontal="center" vertical="top" wrapText="1"/>
    </x:xf>
    <x:xf numFmtId="0" fontId="8" fillId="50" borderId="13" xfId="0" applyAlignment="1">
      <x:alignment horizontal="center" vertical="center" wrapText="1"/>
    </x:xf>
    <x:xf numFmtId="164" fontId="8" fillId="50" borderId="1" xfId="0" applyAlignment="1">
      <x:alignment vertical="center" wrapText="1"/>
    </x:xf>
    <x:xf numFmtId="164" fontId="8" fillId="50" borderId="13" xfId="0" applyAlignment="1">
      <x:alignment vertical="center" wrapText="1"/>
    </x:xf>
    <x:xf numFmtId="0" fontId="0" fillId="46" borderId="0" xfId="0"/>
    <x:xf numFmtId="0" fontId="31" fillId="46" borderId="0" xfId="0"/>
    <x:xf numFmtId="0" fontId="0" fillId="47" borderId="0" xfId="0"/>
    <x:xf numFmtId="0" fontId="7" fillId="47" borderId="0" xfId="0"/>
    <x:xf numFmtId="0" fontId="7" fillId="47" borderId="0" xfId="0" applyAlignment="1">
      <x:alignment wrapText="1"/>
    </x:xf>
    <x:xf numFmtId="0" fontId="7" fillId="47" borderId="0" xfId="0" applyAlignment="1">
      <x:alignment vertical="center" wrapText="1"/>
    </x:xf>
    <x:xf numFmtId="0" fontId="3" fillId="48" borderId="1" xfId="0" applyAlignment="1">
      <x:alignment horizontal="center" vertical="center" wrapText="1"/>
    </x:xf>
    <x:xf numFmtId="0" fontId="3" fillId="48" borderId="13" xfId="0" applyAlignment="1">
      <x:alignment horizontal="center" vertical="center" wrapText="1"/>
    </x:xf>
    <x:xf numFmtId="0" fontId="4" fillId="50" borderId="1" xfId="0" applyAlignment="1">
      <x:alignment vertical="top" wrapText="1"/>
    </x:xf>
    <x:xf numFmtId="0" fontId="4" fillId="50" borderId="13" xfId="0" applyAlignment="1">
      <x:alignment vertical="top" wrapText="1"/>
    </x:xf>
    <x:xf numFmtId="0" fontId="4" fillId="50" borderId="13" xfId="0" applyAlignment="1">
      <x:alignment vertical="center" wrapText="1"/>
    </x:xf>
    <x:xf numFmtId="164" fontId="4" fillId="51" borderId="1" xfId="0" applyAlignment="1">
      <x:alignment vertical="top" wrapText="1"/>
    </x:xf>
    <x:xf numFmtId="164" fontId="4" fillId="51" borderId="13" xfId="0" applyAlignment="1">
      <x:alignment vertical="top" wrapText="1"/>
    </x:xf>
    <x:xf numFmtId="164" fontId="4" fillId="51" borderId="13" xfId="0" applyAlignment="1">
      <x:alignment vertical="center" wrapText="1"/>
    </x:xf>
    <x:xf numFmtId="0" fontId="4" fillId="51" borderId="1" xfId="0" applyAlignment="1">
      <x:alignment vertical="top" wrapText="1"/>
    </x:xf>
    <x:xf numFmtId="0" fontId="4" fillId="51" borderId="13" xfId="0" applyAlignment="1">
      <x:alignment vertical="top" wrapText="1"/>
    </x:xf>
    <x:xf numFmtId="0" fontId="4" fillId="51" borderId="13" xfId="0" applyAlignment="1">
      <x:alignment vertical="center" wrapText="1"/>
    </x:xf>
    <x:xf numFmtId="164" fontId="0" fillId="0" borderId="0" xfId="0"/>
    <x:xf numFmtId="164" fontId="8" fillId="7" borderId="13" xfId="0" applyAlignment="1">
      <x:alignment vertical="center" wrapText="1"/>
    </x:xf>
    <x:xf numFmtId="0" fontId="0" fillId="0" borderId="16" xfId="0"/>
    <x:xf numFmtId="0" fontId="0" fillId="0" borderId="17" xfId="0"/>
    <x:xf numFmtId="164" fontId="8" fillId="51" borderId="13" xfId="0" applyAlignment="1">
      <x:alignment vertical="center" wrapText="1"/>
    </x:xf>
    <x:xf numFmtId="164" fontId="8" fillId="7" borderId="1" xfId="0" applyAlignment="1">
      <x:alignment vertical="center" wrapText="1"/>
    </x:xf>
    <x:xf numFmtId="164" fontId="0" fillId="0" borderId="0" xfId="0"/>
    <x:xf numFmtId="164" fontId="8" fillId="50" borderId="13" xfId="0" applyAlignment="1">
      <x:alignment vertical="center" wrapText="1"/>
    </x:xf>
    <x:xf numFmtId="164" fontId="8" fillId="5" borderId="1" xfId="0" applyAlignment="1">
      <x:alignment vertical="center" wrapText="1"/>
    </x:xf>
    <x:xf numFmtId="164" fontId="8" fillId="7" borderId="13" xfId="0" applyAlignment="1">
      <x:alignment vertical="center" wrapText="1"/>
    </x:xf>
    <x:xf numFmtId="164" fontId="4" fillId="51" borderId="13" xfId="0" applyAlignment="1">
      <x:alignment vertical="center" wrapText="1"/>
    </x:xf>
    <x:xf numFmtId="164" fontId="4" fillId="7" borderId="1" xfId="0" applyAlignment="1">
      <x:alignment vertical="top" wrapText="1"/>
    </x:xf>
    <x:xf numFmtId="164" fontId="9" fillId="6" borderId="1" xfId="0" applyAlignment="1">
      <x:alignment vertical="top" wrapText="1"/>
    </x:xf>
    <x:xf numFmtId="164" fontId="3" fillId="2" borderId="1" xfId="0" applyAlignment="1">
      <x:alignment vertical="top" wrapText="1"/>
    </x:xf>
    <x:xf numFmtId="164" fontId="4" fillId="5" borderId="1" xfId="0" applyAlignment="1">
      <x:alignment vertical="top" wrapText="1"/>
    </x:xf>
    <x:xf numFmtId="164" fontId="4" fillId="44" borderId="13" xfId="0" applyAlignment="1">
      <x:alignment vertical="center" wrapText="1"/>
    </x:xf>
    <x:xf numFmtId="164" fontId="4" fillId="45" borderId="13" xfId="0" applyAlignment="1">
      <x:alignment vertical="center" wrapText="1"/>
    </x:xf>
    <x:xf numFmtId="164" fontId="8" fillId="44" borderId="13" xfId="0" applyAlignment="1">
      <x:alignment vertical="center" wrapText="1"/>
    </x:xf>
    <x:xf numFmtId="164" fontId="8" fillId="45" borderId="13" xfId="0" applyAlignment="1">
      <x:alignment vertical="center" wrapText="1"/>
    </x:xf>
    <x:xf numFmtId="0" fontId="0" fillId="0" borderId="3" xfId="0"/>
    <x:xf numFmtId="0" fontId="0" fillId="0" borderId="4" xfId="0"/>
    <x:xf numFmtId="0" fontId="0" fillId="52" borderId="0" xfId="0" applyNumberFormat="1" applyFont="1" applyFill="1" applyBorder="1"/>
    <x:xf numFmtId="0" fontId="6" fillId="52" borderId="0" xfId="0" applyNumberFormat="1" applyFont="1" applyFill="1" applyBorder="1"/>
    <x:xf numFmtId="0" fontId="6" fillId="52" borderId="0" xfId="0" applyNumberFormat="1" applyFont="1" applyFill="1" applyBorder="1" applyAlignment="1">
      <x:alignment vertical="center"/>
    </x:xf>
    <x:xf numFmtId="0" fontId="0" fillId="53" borderId="0" xfId="0" applyNumberFormat="1" applyFont="1" applyFill="1" applyBorder="1"/>
    <x:xf numFmtId="0" fontId="32" fillId="53" borderId="0" xfId="0" applyNumberFormat="1" applyFont="1" applyFill="1" applyBorder="1"/>
    <x:xf numFmtId="0" fontId="32" fillId="53" borderId="0" xfId="0" applyNumberFormat="1" applyFont="1" applyFill="1" applyBorder="1" applyAlignment="1">
      <x:alignment wrapText="1"/>
    </x:xf>
    <x:xf numFmtId="0" fontId="32" fillId="53" borderId="0" xfId="0" applyNumberFormat="1" applyFont="1" applyFill="1" applyBorder="1" applyAlignment="1">
      <x:alignment vertical="center" wrapText="1"/>
    </x:xf>
    <x:xf numFmtId="0" fontId="0" fillId="54" borderId="0" xfId="0" applyNumberFormat="1" applyFont="1" applyFill="1" applyBorder="1"/>
    <x:xf numFmtId="0" fontId="6" fillId="54" borderId="0" xfId="0" applyNumberFormat="1" applyFont="1" applyFill="1" applyBorder="1"/>
    <x:xf numFmtId="0" fontId="6" fillId="54" borderId="13" xfId="0" applyNumberFormat="1" applyFont="1" applyFill="1" applyBorder="1"/>
    <x:xf numFmtId="0" fontId="6" fillId="54" borderId="13" xfId="0" applyNumberFormat="1" applyFont="1" applyFill="1" applyBorder="1" applyAlignment="1">
      <x:alignment wrapText="1"/>
    </x:xf>
    <x:xf numFmtId="0" fontId="6" fillId="54" borderId="13" xfId="0" applyNumberFormat="1" applyFont="1" applyFill="1" applyBorder="1" applyAlignment="1">
      <x:alignment horizontal="center" wrapText="1"/>
    </x:xf>
    <x:xf numFmtId="0" fontId="6" fillId="54" borderId="13" xfId="0" applyNumberFormat="1" applyFont="1" applyFill="1" applyBorder="1" applyAlignment="1">
      <x:alignment horizontal="center" vertical="center" wrapText="1"/>
    </x:xf>
    <x:xf numFmtId="0" fontId="0" fillId="55" borderId="0" xfId="0" applyNumberFormat="1" applyFont="1" applyFill="1" applyBorder="1"/>
    <x:xf numFmtId="0" fontId="8" fillId="55" borderId="0" xfId="0" applyNumberFormat="1" applyFont="1" applyFill="1" applyBorder="1"/>
    <x:xf numFmtId="0" fontId="8" fillId="55" borderId="20" xfId="0" applyNumberFormat="1" applyFont="1" applyFill="1" applyBorder="1"/>
    <x:xf numFmtId="0" fontId="8" fillId="55" borderId="20" xfId="0" applyNumberFormat="1" applyFont="1" applyFill="1" applyBorder="1" applyAlignment="1">
      <x:alignment wrapText="1"/>
    </x:xf>
    <x:xf numFmtId="0" fontId="8" fillId="55" borderId="20" xfId="0" applyNumberFormat="1" applyFont="1" applyFill="1" applyBorder="1" applyAlignment="1">
      <x:alignment vertical="center" wrapText="1"/>
    </x:xf>
    <x:xf numFmtId="0" fontId="0" fillId="56" borderId="0" xfId="0" applyNumberFormat="1" applyFont="1" applyFill="1" applyBorder="1"/>
    <x:xf numFmtId="0" fontId="6" fillId="56" borderId="0" xfId="0" applyNumberFormat="1" applyFont="1" applyFill="1" applyBorder="1"/>
    <x:xf numFmtId="0" fontId="6" fillId="56" borderId="0" xfId="0" applyNumberFormat="1" applyFont="1" applyFill="1" applyBorder="1" applyAlignment="1">
      <x:alignment vertical="center"/>
    </x:xf>
    <x:xf numFmtId="0" fontId="0" fillId="57" borderId="0" xfId="0" applyNumberFormat="1" applyFont="1" applyFill="1" applyBorder="1"/>
    <x:xf numFmtId="0" fontId="32" fillId="57" borderId="0" xfId="0" applyNumberFormat="1" applyFont="1" applyFill="1" applyBorder="1"/>
    <x:xf numFmtId="0" fontId="32" fillId="57" borderId="0" xfId="0" applyNumberFormat="1" applyFont="1" applyFill="1" applyBorder="1" applyAlignment="1">
      <x:alignment wrapText="1"/>
    </x:xf>
    <x:xf numFmtId="0" fontId="32" fillId="57" borderId="0" xfId="0" applyNumberFormat="1" applyFont="1" applyFill="1" applyBorder="1" applyAlignment="1">
      <x:alignment vertical="center" wrapText="1"/>
    </x:xf>
    <x:xf numFmtId="0" fontId="0" fillId="58" borderId="0" xfId="0" applyNumberFormat="1" applyFont="1" applyFill="1" applyBorder="1"/>
    <x:xf numFmtId="0" fontId="6" fillId="58" borderId="0" xfId="0" applyNumberFormat="1" applyFont="1" applyFill="1" applyBorder="1"/>
    <x:xf numFmtId="0" fontId="6" fillId="58" borderId="13" xfId="0" applyNumberFormat="1" applyFont="1" applyFill="1" applyBorder="1"/>
    <x:xf numFmtId="0" fontId="6" fillId="58" borderId="13" xfId="0" applyNumberFormat="1" applyFont="1" applyFill="1" applyBorder="1" applyAlignment="1">
      <x:alignment wrapText="1"/>
    </x:xf>
    <x:xf numFmtId="0" fontId="6" fillId="58" borderId="13" xfId="0" applyNumberFormat="1" applyFont="1" applyFill="1" applyBorder="1" applyAlignment="1">
      <x:alignment horizontal="center" wrapText="1"/>
    </x:xf>
    <x:xf numFmtId="0" fontId="6" fillId="58" borderId="13" xfId="0" applyNumberFormat="1" applyFont="1" applyFill="1" applyBorder="1" applyAlignment="1">
      <x:alignment horizontal="center" vertical="center" wrapText="1"/>
    </x:xf>
    <x:xf numFmtId="0" fontId="0" fillId="59" borderId="0" xfId="0" applyNumberFormat="1" applyFont="1" applyFill="1" applyBorder="1"/>
    <x:xf numFmtId="0" fontId="8" fillId="59" borderId="0" xfId="0" applyNumberFormat="1" applyFont="1" applyFill="1" applyBorder="1"/>
    <x:xf numFmtId="0" fontId="8" fillId="59" borderId="20" xfId="0" applyNumberFormat="1" applyFont="1" applyFill="1" applyBorder="1"/>
    <x:xf numFmtId="0" fontId="8" fillId="59" borderId="20" xfId="0" applyNumberFormat="1" applyFont="1" applyFill="1" applyBorder="1" applyAlignment="1">
      <x:alignment wrapText="1"/>
    </x:xf>
    <x:xf numFmtId="0" fontId="8" fillId="59" borderId="20" xfId="0" applyNumberFormat="1" applyFont="1" applyFill="1" applyBorder="1" applyAlignment="1">
      <x:alignment vertical="center" wrapText="1"/>
    </x:xf>
    <x:xf numFmtId="0" fontId="6" fillId="60" borderId="13" xfId="0" applyNumberFormat="1" applyFont="1" applyFill="1" applyBorder="1" applyAlignment="1">
      <x:alignment horizontal="center" vertical="center" wrapText="1"/>
    </x:xf>
    <x:xf numFmtId="0" fontId="0" fillId="60" borderId="0" xfId="0" applyNumberFormat="1" applyFont="1" applyFill="1" applyBorder="1"/>
    <x:xf numFmtId="0" fontId="6" fillId="60" borderId="0" xfId="0" applyNumberFormat="1" applyFont="1" applyFill="1" applyBorder="1"/>
    <x:xf numFmtId="0" fontId="6" fillId="60" borderId="13" xfId="0" applyNumberFormat="1" applyFont="1" applyFill="1" applyBorder="1"/>
    <x:xf numFmtId="0" fontId="6" fillId="60" borderId="13" xfId="0" applyNumberFormat="1" applyFont="1" applyFill="1" applyBorder="1" applyAlignment="1">
      <x:alignment wrapText="1"/>
    </x:xf>
    <x:xf numFmtId="0" fontId="6" fillId="60" borderId="13" xfId="0" applyNumberFormat="1" applyFont="1" applyFill="1" applyBorder="1" applyAlignment="1">
      <x:alignment horizontal="center" wrapText="1"/>
    </x:xf>
    <x:xf numFmtId="0" fontId="8" fillId="61" borderId="13" xfId="0" applyNumberFormat="1" applyFont="1" applyFill="1" applyBorder="1" applyAlignment="1">
      <x:alignment vertical="center" wrapText="1"/>
    </x:xf>
    <x:xf numFmtId="164" fontId="8" fillId="62" borderId="13" xfId="0" applyNumberFormat="1" applyFont="1" applyFill="1" applyBorder="1" applyAlignment="1">
      <x:alignment vertical="center" wrapText="1"/>
    </x:xf>
    <x:xf numFmtId="0" fontId="0" fillId="62" borderId="0" xfId="0" applyNumberFormat="1" applyFont="1" applyFill="1" applyBorder="1"/>
    <x:xf numFmtId="0" fontId="8" fillId="62" borderId="0" xfId="0" applyNumberFormat="1" applyFont="1" applyFill="1" applyBorder="1"/>
    <x:xf numFmtId="0" fontId="8" fillId="62" borderId="13" xfId="0" applyNumberFormat="1" applyFont="1" applyFill="1" applyBorder="1"/>
    <x:xf numFmtId="0" fontId="8" fillId="62" borderId="13" xfId="0" applyNumberFormat="1" applyFont="1" applyFill="1" applyBorder="1" applyAlignment="1">
      <x:alignment wrapText="1"/>
    </x:xf>
    <x:xf numFmtId="0" fontId="8" fillId="62" borderId="13" xfId="0" applyNumberFormat="1" applyFont="1" applyFill="1" applyBorder="1" applyAlignment="1">
      <x:alignment vertical="center" wrapText="1"/>
    </x:xf>
    <x:xf numFmtId="0" fontId="31" fillId="63" borderId="0" xfId="0" applyNumberFormat="1" applyFont="1" applyFill="1" applyBorder="1" applyAlignment="1">
      <x:alignment vertical="center"/>
    </x:xf>
    <x:xf numFmtId="0" fontId="0" fillId="63" borderId="0" xfId="0" applyNumberFormat="1" applyFont="1" applyFill="1" applyBorder="1"/>
    <x:xf numFmtId="0" fontId="1" fillId="63" borderId="0" xfId="0" applyNumberFormat="1" applyFont="1" applyFill="1" applyBorder="1" applyAlignment="1">
      <x:alignment vertical="center"/>
    </x:xf>
    <x:xf numFmtId="0" fontId="1" fillId="63" borderId="0" xfId="0" applyNumberFormat="1" applyFont="1" applyFill="1" applyBorder="1"/>
    <x:xf numFmtId="0" fontId="7" fillId="64" borderId="0" xfId="0" applyNumberFormat="1" applyFont="1" applyFill="1" applyBorder="1" applyAlignment="1">
      <x:alignment vertical="center" wrapText="1"/>
    </x:xf>
    <x:xf numFmtId="0" fontId="0" fillId="64" borderId="0" xfId="0" applyNumberFormat="1" applyFont="1" applyFill="1" applyBorder="1"/>
    <x:xf numFmtId="0" fontId="33" fillId="64" borderId="0" xfId="0" applyNumberFormat="1" applyFont="1" applyFill="1" applyBorder="1" applyAlignment="1">
      <x:alignment vertical="center" wrapText="1"/>
    </x:xf>
    <x:xf numFmtId="0" fontId="33" fillId="64" borderId="0" xfId="0" applyNumberFormat="1" applyFont="1" applyFill="1" applyBorder="1"/>
    <x:xf numFmtId="0" fontId="33" fillId="64" borderId="0" xfId="0" applyNumberFormat="1" applyFont="1" applyFill="1" applyBorder="1" applyAlignment="1">
      <x:alignment wrapText="1"/>
    </x:xf>
    <x:xf numFmtId="0" fontId="6" fillId="65" borderId="13" xfId="0" applyNumberFormat="1" applyFont="1" applyFill="1" applyBorder="1" applyAlignment="1">
      <x:alignment horizontal="center" vertical="center" wrapText="1"/>
    </x:xf>
    <x:xf numFmtId="0" fontId="8" fillId="66" borderId="13" xfId="0" applyNumberFormat="1" applyFont="1" applyFill="1" applyBorder="1" applyAlignment="1">
      <x:alignment vertical="center" wrapText="1"/>
    </x:xf>
    <x:xf numFmtId="0" fontId="8" fillId="67" borderId="13" xfId="0" applyNumberFormat="1" applyFont="1" applyFill="1" applyBorder="1" applyAlignment="1">
      <x:alignment vertical="center" wrapText="1"/>
    </x:xf>
    <x:xf numFmtId="164" fontId="8" fillId="67" borderId="13" xfId="0" applyNumberFormat="1" applyFont="1" applyFill="1" applyBorder="1" applyAlignment="1">
      <x:alignment vertical="center" wrapText="1"/>
    </x:xf>
    <x:xf numFmtId="0" fontId="6" fillId="63" borderId="0" xfId="0" applyNumberFormat="1" applyFont="1" applyFill="1" applyBorder="1" applyAlignment="1">
      <x:alignment vertical="center"/>
    </x:xf>
    <x:xf numFmtId="0" fontId="0" fillId="65" borderId="0" xfId="0" applyNumberFormat="1" applyFont="1" applyFill="1" applyBorder="1"/>
    <x:xf numFmtId="0" fontId="6" fillId="65" borderId="0" xfId="0" applyNumberFormat="1" applyFont="1" applyFill="1" applyBorder="1"/>
    <x:xf numFmtId="0" fontId="6" fillId="65" borderId="0" xfId="0" applyNumberFormat="1" applyFont="1" applyFill="1" applyBorder="1" applyAlignment="1">
      <x:alignment wrapText="1"/>
    </x:xf>
    <x:xf numFmtId="0" fontId="6" fillId="65" borderId="0" xfId="0" applyNumberFormat="1" applyFont="1" applyFill="1" applyBorder="1" applyAlignment="1">
      <x:alignment horizontal="center" wrapText="1"/>
    </x:xf>
    <x:xf numFmtId="0" fontId="6" fillId="65" borderId="0" xfId="0" applyNumberFormat="1" applyFont="1" applyFill="1" applyBorder="1" applyAlignment="1">
      <x:alignment horizontal="center" vertical="center" wrapText="1"/>
    </x:xf>
    <x:xf numFmtId="164" fontId="8" fillId="66" borderId="13" xfId="0" applyNumberFormat="1" applyFont="1" applyFill="1" applyBorder="1" applyAlignment="1">
      <x:alignment vertical="center" wrapText="1"/>
    </x:xf>
    <x:xf numFmtId="0" fontId="0" fillId="67" borderId="0" xfId="0" applyNumberFormat="1" applyFont="1" applyFill="1" applyBorder="1"/>
    <x:xf numFmtId="0" fontId="0" fillId="67" borderId="0" xfId="0" applyNumberFormat="1" applyFont="1" applyFill="1" applyBorder="1" applyAlignment="1">
      <x:alignment wrapText="1"/>
    </x:xf>
    <x:xf numFmtId="0" fontId="2" fillId="64" borderId="0" xfId="0" applyNumberFormat="1" applyFont="1" applyFill="1" applyBorder="1" applyAlignment="1">
      <x:alignment vertical="center" wrapText="1"/>
    </x:xf>
    <x:xf numFmtId="0" fontId="3" fillId="65" borderId="13" xfId="0" applyNumberFormat="1" applyFont="1" applyFill="1" applyBorder="1" applyAlignment="1">
      <x:alignment horizontal="center" vertical="center" wrapText="1"/>
    </x:xf>
    <x:xf numFmtId="0" fontId="4" fillId="66" borderId="13" xfId="0" applyNumberFormat="1" applyFont="1" applyFill="1" applyBorder="1" applyAlignment="1">
      <x:alignment vertical="center" wrapText="1"/>
    </x:xf>
    <x:xf numFmtId="164" fontId="4" fillId="66" borderId="13" xfId="0" applyNumberFormat="1" applyFont="1" applyFill="1" applyBorder="1" applyAlignment="1">
      <x:alignment vertical="center" wrapText="1"/>
    </x:xf>
    <x:xf numFmtId="0" fontId="0" fillId="66" borderId="0" xfId="0" applyNumberFormat="1" applyFont="1" applyFill="1" applyBorder="1"/>
    <x:xf numFmtId="0" fontId="8" fillId="66" borderId="0" xfId="0" applyNumberFormat="1" applyFont="1" applyFill="1" applyBorder="1"/>
    <x:xf numFmtId="0" fontId="8" fillId="66" borderId="0" xfId="0" applyNumberFormat="1" applyFont="1" applyFill="1" applyBorder="1" applyAlignment="1">
      <x:alignment wrapText="1"/>
    </x:xf>
    <x:xf numFmtId="0" fontId="4" fillId="66" borderId="13" xfId="0" applyNumberFormat="1" applyFont="1" applyFill="1" applyBorder="1" applyAlignment="1">
      <x:alignment vertical="top" wrapText="1"/>
    </x:xf>
    <x:xf numFmtId="164" fontId="4" fillId="66" borderId="13" xfId="0" applyNumberFormat="1" applyFont="1" applyFill="1" applyBorder="1" applyAlignment="1">
      <x:alignment vertical="top" wrapText="1"/>
    </x:xf>
    <x:xf numFmtId="0" fontId="8" fillId="66" borderId="13" xfId="0" applyNumberFormat="1" applyFont="1" applyFill="1" applyBorder="1" applyAlignment="1">
      <x:alignment vertical="top" wrapText="1"/>
    </x:xf>
    <x:xf numFmtId="0" fontId="8" fillId="66" borderId="0" xfId="0" applyNumberFormat="1" applyFont="1" applyFill="1" applyBorder="1" applyAlignment="1">
      <x:alignment vertical="top" wrapText="1"/>
    </x:xf>
    <x:xf numFmtId="0" fontId="4" fillId="63" borderId="13" xfId="0" applyNumberFormat="1" applyFont="1" applyFill="1" applyBorder="1" applyAlignment="1">
      <x:alignment vertical="center" wrapText="1"/>
    </x:xf>
    <x:xf numFmtId="0" fontId="34" fillId="63" borderId="13" xfId="0" applyNumberFormat="1" applyFont="1" applyFill="1" applyBorder="1" applyAlignment="1">
      <x:alignment vertical="center" wrapText="1"/>
    </x:xf>
    <x:xf numFmtId="0" fontId="4" fillId="65" borderId="13" xfId="0" applyNumberFormat="1" applyFont="1" applyFill="1" applyBorder="1" applyAlignment="1">
      <x:alignment vertical="center" wrapText="1"/>
    </x:xf>
    <x:xf numFmtId="0" fontId="3" fillId="65" borderId="13" xfId="0" applyNumberFormat="1" applyFont="1" applyFill="1" applyBorder="1" applyAlignment="1">
      <x:alignment vertical="center" wrapText="1"/>
    </x:xf>
    <x:xf numFmtId="164" fontId="4" fillId="63" borderId="13" xfId="0" applyNumberFormat="1" applyFont="1" applyFill="1" applyBorder="1" applyAlignment="1">
      <x:alignment vertical="center" wrapText="1"/>
    </x:xf>
    <x:xf numFmtId="164" fontId="34" fillId="63" borderId="13" xfId="0" applyNumberFormat="1" applyFont="1" applyFill="1" applyBorder="1" applyAlignment="1">
      <x:alignment vertical="center" wrapText="1"/>
    </x:xf>
    <x:xf numFmtId="164" fontId="4" fillId="65" borderId="13" xfId="0" applyNumberFormat="1" applyFont="1" applyFill="1" applyBorder="1" applyAlignment="1">
      <x:alignment vertical="center" wrapText="1"/>
    </x:xf>
    <x:xf numFmtId="164" fontId="3" fillId="65" borderId="13" xfId="0" applyNumberFormat="1" applyFont="1" applyFill="1" applyBorder="1" applyAlignment="1">
      <x:alignment vertical="center" wrapText="1"/>
    </x:xf>
    <x:xf numFmtId="164" fontId="3" fillId="65" borderId="13" xfId="0" applyNumberFormat="1" applyFont="1" applyFill="1" applyBorder="1" applyAlignment="1">
      <x:alignment horizontal="center" vertical="center" wrapText="1"/>
    </x:xf>
    <x:xf numFmtId="164" fontId="4" fillId="68" borderId="13" xfId="0" applyNumberFormat="1" applyFont="1" applyFill="1" applyBorder="1" applyAlignment="1">
      <x:alignment vertical="center" wrapText="1"/>
    </x:xf>
    <x:xf numFmtId="164" fontId="1" fillId="63" borderId="0" xfId="0" applyNumberFormat="1" applyFont="1" applyFill="1" applyBorder="1" applyAlignment="1">
      <x:alignment vertical="center"/>
    </x:xf>
    <x:xf numFmtId="0" fontId="3" fillId="65" borderId="1" xfId="0" applyNumberFormat="1" applyFont="1" applyFill="1" applyBorder="1" applyAlignment="1">
      <x:alignment horizontal="center" vertical="center" wrapText="1"/>
    </x:xf>
    <x:xf numFmtId="0" fontId="4" fillId="66" borderId="1" xfId="0" applyNumberFormat="1" applyFont="1" applyFill="1" applyBorder="1" applyAlignment="1">
      <x:alignment vertical="top" wrapText="1"/>
    </x:xf>
    <x:xf numFmtId="164" fontId="4" fillId="66" borderId="1" xfId="0" applyNumberFormat="1" applyFont="1" applyFill="1" applyBorder="1" applyAlignment="1">
      <x:alignment vertical="top" wrapText="1"/>
    </x:xf>
    <x:xf numFmtId="0" fontId="5" fillId="64" borderId="1" xfId="0" applyNumberFormat="1" applyFont="1" applyFill="1" applyBorder="1" applyAlignment="1">
      <x:alignment vertical="center" wrapText="1"/>
    </x:xf>
    <x:xf numFmtId="0" fontId="0" fillId="64" borderId="3" xfId="0" applyNumberFormat="1" applyFont="1" applyFill="1" applyBorder="1"/>
    <x:xf numFmtId="0" fontId="0" fillId="64" borderId="4" xfId="0" applyNumberFormat="1" applyFont="1" applyFill="1" applyBorder="1"/>
    <x:xf numFmtId="0" fontId="35" fillId="64" borderId="1" xfId="0" applyNumberFormat="1" applyFont="1" applyFill="1" applyBorder="1" applyAlignment="1">
      <x:alignment vertical="center" wrapText="1"/>
    </x:xf>
    <x:xf numFmtId="0" fontId="10" fillId="64" borderId="3" xfId="0" applyNumberFormat="1" applyFont="1" applyFill="1" applyBorder="1"/>
    <x:xf numFmtId="0" fontId="10" fillId="64" borderId="4" xfId="0" applyNumberFormat="1" applyFont="1" applyFill="1" applyBorder="1"/>
    <x:xf numFmtId="0" fontId="10" fillId="64" borderId="3" xfId="0" applyNumberFormat="1" applyFont="1" applyFill="1" applyBorder="1" applyAlignment="1">
      <x:alignment wrapText="1"/>
    </x:xf>
    <x:xf numFmtId="0" fontId="10" fillId="64" borderId="4" xfId="0" applyNumberFormat="1" applyFont="1" applyFill="1" applyBorder="1" applyAlignment="1">
      <x:alignment wrapText="1"/>
    </x:xf>
    <x:xf numFmtId="0" fontId="3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6" fillId="4" borderId="13" xfId="0" applyNumberFormat="1" applyFont="1" applyFill="1" applyBorder="1" applyAlignment="1">
      <x:alignment horizontal="left" vertical="center" wrapText="1"/>
    </x:xf>
    <x:xf numFmtId="0" fontId="0" fillId="0" borderId="16" xfId="0" applyNumberFormat="1" applyFont="1" applyFill="1" applyBorder="1" applyAlignment="1">
      <x:alignment wrapText="1"/>
    </x:xf>
    <x:xf numFmtId="0" fontId="6" fillId="8" borderId="13" xfId="0" applyNumberFormat="1" applyFont="1" applyFill="1" applyBorder="1" applyAlignment="1">
      <x:alignment horizontal="center" vertical="center" wrapText="1"/>
    </x:xf>
    <x:xf numFmtId="0" fontId="8" fillId="5" borderId="13" xfId="0" applyNumberFormat="1" applyFont="1" applyFill="1" applyBorder="1" applyAlignment="1">
      <x:alignment vertical="center" wrapText="1"/>
    </x:xf>
    <x:xf numFmtId="0" fontId="8" fillId="7" borderId="13" xfId="0" applyNumberFormat="1" applyFont="1" applyFill="1" applyBorder="1" applyAlignment="1">
      <x:alignment vertical="center" wrapText="1"/>
    </x:xf>
    <x:xf numFmtId="0" fontId="6" fillId="4" borderId="13" xfId="0" applyNumberFormat="1" applyFont="1" applyFill="1" applyBorder="1" applyAlignment="1">
      <x:alignment horizontal="center" vertical="center" wrapText="1"/>
    </x:xf>
    <x:xf numFmtId="0" fontId="1" fillId="69" borderId="0" xfId="0" applyNumberFormat="1" applyFont="1" applyFill="1" applyBorder="1" applyAlignment="1">
      <x:alignment vertical="center"/>
    </x:xf>
    <x:xf numFmtId="0" fontId="33" fillId="70" borderId="0" xfId="0" applyNumberFormat="1" applyFont="1" applyFill="1" applyBorder="1" applyAlignment="1">
      <x:alignment vertical="center" wrapText="1"/>
    </x:xf>
    <x:xf numFmtId="0" fontId="6" fillId="71" borderId="13" xfId="0" applyNumberFormat="1" applyFont="1" applyFill="1" applyBorder="1" applyAlignment="1">
      <x:alignment horizontal="center" vertical="center" wrapText="1"/>
    </x:xf>
    <x:xf numFmtId="0" fontId="8" fillId="72" borderId="13" xfId="0" applyNumberFormat="1" applyFont="1" applyFill="1" applyBorder="1" applyAlignment="1">
      <x:alignment vertical="center" wrapText="1"/>
    </x:xf>
    <x:xf numFmtId="0" fontId="8" fillId="73" borderId="13" xfId="0" applyNumberFormat="1" applyFont="1" applyFill="1" applyBorder="1" applyAlignment="1">
      <x:alignment vertical="center" wrapText="1"/>
    </x:xf>
    <x:xf numFmtId="164" fontId="8" fillId="73" borderId="13" xfId="0" applyNumberFormat="1" applyFont="1" applyFill="1" applyBorder="1" applyAlignment="1">
      <x:alignment vertical="center" wrapText="1"/>
    </x:xf>
    <x:xf numFmtId="0" fontId="6" fillId="71" borderId="0" xfId="0" applyNumberFormat="1" applyFont="1" applyFill="1" applyBorder="1" applyAlignment="1">
      <x:alignment horizontal="center" vertical="center" wrapText="1"/>
    </x:xf>
    <x:xf numFmtId="164" fontId="8" fillId="72" borderId="13" xfId="0" applyNumberFormat="1" applyFont="1" applyFill="1" applyBorder="1" applyAlignment="1">
      <x:alignment vertical="center" wrapText="1"/>
    </x:xf>
    <x:xf numFmtId="0" fontId="0" fillId="73" borderId="0" xfId="0" applyNumberFormat="1" applyFont="1" applyFill="1" applyBorder="1" applyAlignment="1">
      <x:alignment wrapText="1"/>
    </x:xf>
    <x:xf numFmtId="0" fontId="3" fillId="71" borderId="13" xfId="0" applyNumberFormat="1" applyFont="1" applyFill="1" applyBorder="1" applyAlignment="1">
      <x:alignment horizontal="center" vertical="center" wrapText="1"/>
    </x:xf>
    <x:xf numFmtId="0" fontId="4" fillId="72" borderId="13" xfId="0" applyNumberFormat="1" applyFont="1" applyFill="1" applyBorder="1" applyAlignment="1">
      <x:alignment vertical="center" wrapText="1"/>
    </x:xf>
    <x:xf numFmtId="164" fontId="1" fillId="69" borderId="0" xfId="0" applyNumberFormat="1" applyFont="1" applyFill="1" applyBorder="1" applyAlignment="1">
      <x:alignment vertical="center"/>
    </x:xf>
    <x:xf numFmtId="0" fontId="4" fillId="72" borderId="13" xfId="0" applyNumberFormat="1" applyFont="1" applyFill="1" applyBorder="1" applyAlignment="1">
      <x:alignment vertical="top" wrapText="1"/>
    </x:xf>
    <x:xf numFmtId="164" fontId="4" fillId="72" borderId="13" xfId="0" applyNumberFormat="1" applyFont="1" applyFill="1" applyBorder="1" applyAlignment="1">
      <x:alignment vertical="top" wrapText="1"/>
    </x:xf>
    <x:xf numFmtId="0" fontId="8" fillId="72" borderId="13" xfId="0" applyNumberFormat="1" applyFont="1" applyFill="1" applyBorder="1" applyAlignment="1">
      <x:alignment vertical="top" wrapText="1"/>
    </x:xf>
    <x:xf numFmtId="0" fontId="8" fillId="72" borderId="0" xfId="0" applyNumberFormat="1" applyFont="1" applyFill="1" applyBorder="1" applyAlignment="1">
      <x:alignment vertical="top" wrapText="1"/>
    </x:xf>
    <x:xf numFmtId="0" fontId="34" fillId="69" borderId="13" xfId="0" applyNumberFormat="1" applyFont="1" applyFill="1" applyBorder="1" applyAlignment="1">
      <x:alignment vertical="center" wrapText="1"/>
    </x:xf>
    <x:xf numFmtId="164" fontId="4" fillId="72" borderId="13" xfId="0" applyNumberFormat="1" applyFont="1" applyFill="1" applyBorder="1" applyAlignment="1">
      <x:alignment vertical="center" wrapText="1"/>
    </x:xf>
    <x:xf numFmtId="164" fontId="34" fillId="69" borderId="13" xfId="0" applyNumberFormat="1" applyFont="1" applyFill="1" applyBorder="1" applyAlignment="1">
      <x:alignment vertical="center" wrapText="1"/>
    </x:xf>
    <x:xf numFmtId="164" fontId="3" fillId="71" borderId="13" xfId="0" applyNumberFormat="1" applyFont="1" applyFill="1" applyBorder="1" applyAlignment="1">
      <x:alignment horizontal="center" vertical="center" wrapText="1"/>
    </x:xf>
    <x:xf numFmtId="164" fontId="4" fillId="74" borderId="13" xfId="0" applyNumberFormat="1" applyFont="1" applyFill="1" applyBorder="1" applyAlignment="1">
      <x:alignment vertical="center" wrapText="1"/>
    </x:xf>
    <x:xf numFmtId="0" fontId="3" fillId="71" borderId="1" xfId="0" applyNumberFormat="1" applyFont="1" applyFill="1" applyBorder="1" applyAlignment="1">
      <x:alignment horizontal="center" vertical="center" wrapText="1"/>
    </x:xf>
    <x:xf numFmtId="0" fontId="4" fillId="72" borderId="1" xfId="0" applyNumberFormat="1" applyFont="1" applyFill="1" applyBorder="1" applyAlignment="1">
      <x:alignment vertical="top" wrapText="1"/>
    </x:xf>
    <x:xf numFmtId="164" fontId="4" fillId="72" borderId="1" xfId="0" applyNumberFormat="1" applyFont="1" applyFill="1" applyBorder="1" applyAlignment="1">
      <x:alignment vertical="top" wrapText="1"/>
    </x:xf>
    <x:xf numFmtId="0" fontId="35" fillId="70" borderId="1" xfId="0" applyNumberFormat="1" applyFont="1" applyFill="1" applyBorder="1" applyAlignment="1">
      <x:alignment vertical="center" wrapText="1"/>
    </x:xf>
    <x:xf numFmtId="0" fontId="10" fillId="70" borderId="3" xfId="0" applyNumberFormat="1" applyFont="1" applyFill="1" applyBorder="1" applyAlignment="1">
      <x:alignment wrapText="1"/>
    </x:xf>
    <x:xf numFmtId="0" fontId="10" fillId="70" borderId="4" xfId="0" applyNumberFormat="1" applyFont="1" applyFill="1" applyBorder="1" applyAlignment="1">
      <x:alignment wrapText="1"/>
    </x:xf>
    <x:xf numFmtId="0" fontId="1" fillId="75" borderId="0" xfId="0" applyNumberFormat="1" applyFont="1" applyFill="1" applyBorder="1" applyAlignment="1">
      <x:alignment vertical="center"/>
    </x:xf>
    <x:xf numFmtId="0" fontId="33" fillId="76" borderId="0" xfId="0" applyNumberFormat="1" applyFont="1" applyFill="1" applyBorder="1" applyAlignment="1">
      <x:alignment vertical="center" wrapText="1"/>
    </x:xf>
    <x:xf numFmtId="0" fontId="6" fillId="77" borderId="13" xfId="0" applyNumberFormat="1" applyFont="1" applyFill="1" applyBorder="1" applyAlignment="1">
      <x:alignment horizontal="center" vertical="center" wrapText="1"/>
    </x:xf>
    <x:xf numFmtId="0" fontId="8" fillId="78" borderId="13" xfId="0" applyNumberFormat="1" applyFont="1" applyFill="1" applyBorder="1" applyAlignment="1">
      <x:alignment vertical="center" wrapText="1"/>
    </x:xf>
    <x:xf numFmtId="0" fontId="8" fillId="79" borderId="13" xfId="0" applyNumberFormat="1" applyFont="1" applyFill="1" applyBorder="1" applyAlignment="1">
      <x:alignment vertical="center" wrapText="1"/>
    </x:xf>
    <x:xf numFmtId="164" fontId="8" fillId="79" borderId="13" xfId="0" applyNumberFormat="1" applyFont="1" applyFill="1" applyBorder="1" applyAlignment="1">
      <x:alignment vertical="center" wrapText="1"/>
    </x:xf>
    <x:xf numFmtId="0" fontId="6" fillId="77" borderId="0" xfId="0" applyNumberFormat="1" applyFont="1" applyFill="1" applyBorder="1" applyAlignment="1">
      <x:alignment horizontal="center" vertical="center" wrapText="1"/>
    </x:xf>
    <x:xf numFmtId="164" fontId="8" fillId="78" borderId="13" xfId="0" applyNumberFormat="1" applyFont="1" applyFill="1" applyBorder="1" applyAlignment="1">
      <x:alignment vertical="center" wrapText="1"/>
    </x:xf>
    <x:xf numFmtId="0" fontId="0" fillId="79" borderId="0" xfId="0" applyNumberFormat="1" applyFont="1" applyFill="1" applyBorder="1" applyAlignment="1">
      <x:alignment wrapText="1"/>
    </x:xf>
    <x:xf numFmtId="0" fontId="3" fillId="77" borderId="13" xfId="0" applyNumberFormat="1" applyFont="1" applyFill="1" applyBorder="1" applyAlignment="1">
      <x:alignment horizontal="center" vertical="center" wrapText="1"/>
    </x:xf>
    <x:xf numFmtId="0" fontId="4" fillId="78" borderId="13" xfId="0" applyNumberFormat="1" applyFont="1" applyFill="1" applyBorder="1" applyAlignment="1">
      <x:alignment vertical="center" wrapText="1"/>
    </x:xf>
    <x:xf numFmtId="164" fontId="1" fillId="75" borderId="0" xfId="0" applyNumberFormat="1" applyFont="1" applyFill="1" applyBorder="1" applyAlignment="1">
      <x:alignment vertical="center"/>
    </x:xf>
    <x:xf numFmtId="0" fontId="4" fillId="78" borderId="13" xfId="0" applyNumberFormat="1" applyFont="1" applyFill="1" applyBorder="1" applyAlignment="1">
      <x:alignment vertical="top" wrapText="1"/>
    </x:xf>
    <x:xf numFmtId="164" fontId="4" fillId="78" borderId="13" xfId="0" applyNumberFormat="1" applyFont="1" applyFill="1" applyBorder="1" applyAlignment="1">
      <x:alignment vertical="top" wrapText="1"/>
    </x:xf>
    <x:xf numFmtId="0" fontId="8" fillId="78" borderId="13" xfId="0" applyNumberFormat="1" applyFont="1" applyFill="1" applyBorder="1" applyAlignment="1">
      <x:alignment vertical="top" wrapText="1"/>
    </x:xf>
    <x:xf numFmtId="0" fontId="8" fillId="78" borderId="0" xfId="0" applyNumberFormat="1" applyFont="1" applyFill="1" applyBorder="1" applyAlignment="1">
      <x:alignment vertical="top" wrapText="1"/>
    </x:xf>
    <x:xf numFmtId="0" fontId="34" fillId="75" borderId="13" xfId="0" applyNumberFormat="1" applyFont="1" applyFill="1" applyBorder="1" applyAlignment="1">
      <x:alignment vertical="center" wrapText="1"/>
    </x:xf>
    <x:xf numFmtId="164" fontId="4" fillId="78" borderId="13" xfId="0" applyNumberFormat="1" applyFont="1" applyFill="1" applyBorder="1" applyAlignment="1">
      <x:alignment vertical="center" wrapText="1"/>
    </x:xf>
    <x:xf numFmtId="164" fontId="34" fillId="75" borderId="13" xfId="0" applyNumberFormat="1" applyFont="1" applyFill="1" applyBorder="1" applyAlignment="1">
      <x:alignment vertical="center" wrapText="1"/>
    </x:xf>
    <x:xf numFmtId="164" fontId="3" fillId="77" borderId="13" xfId="0" applyNumberFormat="1" applyFont="1" applyFill="1" applyBorder="1" applyAlignment="1">
      <x:alignment horizontal="center" vertical="center" wrapText="1"/>
    </x:xf>
    <x:xf numFmtId="164" fontId="4" fillId="80" borderId="13" xfId="0" applyNumberFormat="1" applyFont="1" applyFill="1" applyBorder="1" applyAlignment="1">
      <x:alignment vertical="center" wrapText="1"/>
    </x:xf>
    <x:xf numFmtId="0" fontId="3" fillId="77" borderId="1" xfId="0" applyNumberFormat="1" applyFont="1" applyFill="1" applyBorder="1" applyAlignment="1">
      <x:alignment horizontal="center" vertical="center" wrapText="1"/>
    </x:xf>
    <x:xf numFmtId="0" fontId="4" fillId="78" borderId="1" xfId="0" applyNumberFormat="1" applyFont="1" applyFill="1" applyBorder="1" applyAlignment="1">
      <x:alignment vertical="top" wrapText="1"/>
    </x:xf>
    <x:xf numFmtId="164" fontId="4" fillId="78" borderId="1" xfId="0" applyNumberFormat="1" applyFont="1" applyFill="1" applyBorder="1" applyAlignment="1">
      <x:alignment vertical="top" wrapText="1"/>
    </x:xf>
    <x:xf numFmtId="0" fontId="35" fillId="76" borderId="1" xfId="0" applyNumberFormat="1" applyFont="1" applyFill="1" applyBorder="1" applyAlignment="1">
      <x:alignment vertical="center" wrapText="1"/>
    </x:xf>
    <x:xf numFmtId="0" fontId="10" fillId="76" borderId="3" xfId="0" applyNumberFormat="1" applyFont="1" applyFill="1" applyBorder="1" applyAlignment="1">
      <x:alignment wrapText="1"/>
    </x:xf>
    <x:xf numFmtId="0" fontId="10" fillId="76" borderId="4" xfId="0" applyNumberFormat="1" applyFont="1" applyFill="1" applyBorder="1" applyAlignment="1">
      <x:alignment wrapText="1"/>
    </x:xf>
    <x:xf numFmtId="0" fontId="0" fillId="81" borderId="0" xfId="0" applyNumberFormat="1" applyFont="1" applyFill="1" applyBorder="1"/>
    <x:xf numFmtId="0" fontId="1" fillId="81" borderId="0" xfId="0" applyNumberFormat="1" applyFont="1" applyFill="1" applyBorder="1"/>
    <x:xf numFmtId="0" fontId="1" fillId="81" borderId="0" xfId="0" applyNumberFormat="1" applyFont="1" applyFill="1" applyBorder="1" applyAlignment="1">
      <x:alignment vertical="center"/>
    </x:xf>
    <x:xf numFmtId="0" fontId="0" fillId="82" borderId="0" xfId="0" applyNumberFormat="1" applyFont="1" applyFill="1" applyBorder="1"/>
    <x:xf numFmtId="0" fontId="33" fillId="82" borderId="0" xfId="0" applyNumberFormat="1" applyFont="1" applyFill="1" applyBorder="1"/>
    <x:xf numFmtId="0" fontId="33" fillId="82" borderId="0" xfId="0" applyNumberFormat="1" applyFont="1" applyFill="1" applyBorder="1" applyAlignment="1">
      <x:alignment wrapText="1"/>
    </x:xf>
    <x:xf numFmtId="0" fontId="33" fillId="82" borderId="0" xfId="0" applyNumberFormat="1" applyFont="1" applyFill="1" applyBorder="1" applyAlignment="1">
      <x:alignment vertical="center" wrapText="1"/>
    </x:xf>
    <x:xf numFmtId="0" fontId="6" fillId="81" borderId="0" xfId="0" applyNumberFormat="1" applyFont="1" applyFill="1" applyBorder="1"/>
    <x:xf numFmtId="0" fontId="6" fillId="81" borderId="0" xfId="0" applyNumberFormat="1" applyFont="1" applyFill="1" applyBorder="1" applyAlignment="1">
      <x:alignment horizontal="center"/>
    </x:xf>
    <x:xf numFmtId="0" fontId="6" fillId="81" borderId="0" xfId="0" applyNumberFormat="1" applyFont="1" applyFill="1" applyBorder="1" applyAlignment="1">
      <x:alignment horizontal="center" vertical="center"/>
    </x:xf>
    <x:xf numFmtId="0" fontId="0" fillId="83" borderId="0" xfId="0" applyNumberFormat="1" applyFont="1" applyFill="1" applyBorder="1"/>
    <x:xf numFmtId="0" fontId="6" fillId="83" borderId="0" xfId="0" applyNumberFormat="1" applyFont="1" applyFill="1" applyBorder="1"/>
    <x:xf numFmtId="0" fontId="6" fillId="83" borderId="0" xfId="0" applyNumberFormat="1" applyFont="1" applyFill="1" applyBorder="1" applyAlignment="1">
      <x:alignment horizontal="center"/>
    </x:xf>
    <x:xf numFmtId="0" fontId="6" fillId="83" borderId="0" xfId="0" applyNumberFormat="1" applyFont="1" applyFill="1" applyBorder="1" applyAlignment="1">
      <x:alignment horizontal="center" vertical="center"/>
    </x:xf>
    <x:xf numFmtId="0" fontId="0" fillId="84" borderId="0" xfId="0" applyNumberFormat="1" applyFont="1" applyFill="1" applyBorder="1"/>
    <x:xf numFmtId="0" fontId="6" fillId="84" borderId="0" xfId="0" applyNumberFormat="1" applyFont="1" applyFill="1" applyBorder="1"/>
    <x:xf numFmtId="0" fontId="6" fillId="84" borderId="0" xfId="0" applyNumberFormat="1" applyFont="1" applyFill="1" applyBorder="1" applyAlignment="1">
      <x:alignment horizontal="center"/>
    </x:xf>
    <x:xf numFmtId="0" fontId="6" fillId="84" borderId="0" xfId="0" applyNumberFormat="1" applyFont="1" applyFill="1" applyBorder="1" applyAlignment="1">
      <x:alignment horizontal="center" vertical="center"/>
    </x:xf>
    <x:xf numFmtId="0" fontId="0" fillId="85" borderId="0" xfId="0" applyNumberFormat="1" applyFont="1" applyFill="1" applyBorder="1"/>
    <x:xf numFmtId="0" fontId="6" fillId="85" borderId="0" xfId="0" applyNumberFormat="1" applyFont="1" applyFill="1" applyBorder="1"/>
    <x:xf numFmtId="0" fontId="6" fillId="85" borderId="0" xfId="0" applyNumberFormat="1" applyFont="1" applyFill="1" applyBorder="1" applyAlignment="1">
      <x:alignment horizontal="center"/>
    </x:xf>
    <x:xf numFmtId="0" fontId="6" fillId="85" borderId="0" xfId="0" applyNumberFormat="1" applyFont="1" applyFill="1" applyBorder="1" applyAlignment="1">
      <x:alignment horizontal="center" vertical="center"/>
    </x:xf>
    <x:xf numFmtId="0" fontId="0" fillId="86" borderId="0" xfId="0" applyNumberFormat="1" applyFont="1" applyFill="1" applyBorder="1"/>
    <x:xf numFmtId="0" fontId="6" fillId="86" borderId="0" xfId="0" applyNumberFormat="1" applyFont="1" applyFill="1" applyBorder="1"/>
    <x:xf numFmtId="0" fontId="6" fillId="86" borderId="0" xfId="0" applyNumberFormat="1" applyFont="1" applyFill="1" applyBorder="1" applyAlignment="1">
      <x:alignment wrapText="1"/>
    </x:xf>
    <x:xf numFmtId="0" fontId="6" fillId="86" borderId="0" xfId="0" applyNumberFormat="1" applyFont="1" applyFill="1" applyBorder="1" applyAlignment="1">
      <x:alignment horizontal="center" wrapText="1"/>
    </x:xf>
    <x:xf numFmtId="0" fontId="6" fillId="86" borderId="0" xfId="0" applyNumberFormat="1" applyFont="1" applyFill="1" applyBorder="1" applyAlignment="1">
      <x:alignment horizontal="center" vertical="center" wrapText="1"/>
    </x:xf>
    <x:xf numFmtId="0" fontId="0" fillId="87" borderId="0" xfId="0" applyNumberFormat="1" applyFont="1" applyFill="1" applyBorder="1"/>
    <x:xf numFmtId="0" fontId="8" fillId="87" borderId="0" xfId="0" applyNumberFormat="1" applyFont="1" applyFill="1" applyBorder="1"/>
    <x:xf numFmtId="0" fontId="8" fillId="87" borderId="0" xfId="0" applyNumberFormat="1" applyFont="1" applyFill="1" applyBorder="1" applyAlignment="1">
      <x:alignment wrapText="1"/>
    </x:xf>
    <x:xf numFmtId="0" fontId="8" fillId="87" borderId="0" xfId="0" applyNumberFormat="1" applyFont="1" applyFill="1" applyBorder="1" applyAlignment="1">
      <x:alignment vertical="top" wrapText="1"/>
    </x:xf>
    <x:xf numFmtId="0" fontId="0" fillId="88" borderId="0" xfId="0" applyNumberFormat="1" applyFont="1" applyFill="1" applyBorder="1"/>
    <x:xf numFmtId="0" fontId="8" fillId="88" borderId="0" xfId="0" applyNumberFormat="1" applyFont="1" applyFill="1" applyBorder="1"/>
    <x:xf numFmtId="0" fontId="8" fillId="88" borderId="0" xfId="0" applyNumberFormat="1" applyFont="1" applyFill="1" applyBorder="1" applyAlignment="1">
      <x:alignment wrapText="1"/>
    </x:xf>
    <x:xf numFmtId="0" fontId="8" fillId="88" borderId="0" xfId="0" applyNumberFormat="1" applyFont="1" applyFill="1" applyBorder="1" applyAlignment="1">
      <x:alignment vertical="top" wrapText="1"/>
    </x:xf>
    <x:xf numFmtId="0" fontId="0" fillId="89" borderId="0" xfId="0" applyNumberFormat="1" applyFont="1" applyFill="1" applyBorder="1"/>
    <x:xf numFmtId="0" fontId="36" fillId="89" borderId="0" xfId="0" applyNumberFormat="1" applyFont="1" applyFill="1" applyBorder="1"/>
    <x:xf numFmtId="0" fontId="36" fillId="89" borderId="0" xfId="0" applyNumberFormat="1" applyFont="1" applyFill="1" applyBorder="1" applyAlignment="1">
      <x:alignment horizontal="center"/>
    </x:xf>
    <x:xf numFmtId="0" fontId="36" fillId="89" borderId="0" xfId="0" applyNumberFormat="1" applyFont="1" applyFill="1" applyBorder="1" applyAlignment="1">
      <x:alignment horizontal="center" vertical="center"/>
    </x:xf>
    <x:xf numFmtId="0" fontId="0" fillId="90" borderId="0" xfId="0" applyNumberFormat="1" applyFont="1" applyFill="1" applyBorder="1"/>
    <x:xf numFmtId="0" fontId="8" fillId="90" borderId="0" xfId="0" applyNumberFormat="1" applyFont="1" applyFill="1" applyBorder="1"/>
    <x:xf numFmtId="0" fontId="8" fillId="90" borderId="0" xfId="0" applyNumberFormat="1" applyFont="1" applyFill="1" applyBorder="1" applyAlignment="1">
      <x:alignment wrapText="1"/>
    </x:xf>
    <x:xf numFmtId="0" fontId="8" fillId="90" borderId="0" xfId="0" applyNumberFormat="1" applyFont="1" applyFill="1" applyBorder="1" applyAlignment="1">
      <x:alignment vertical="top" wrapText="1"/>
    </x:xf>
    <x:xf numFmtId="164" fontId="36" fillId="89" borderId="0" xfId="0" applyNumberFormat="1" applyFont="1" applyFill="1" applyBorder="1" applyAlignment="1">
      <x:alignment horizontal="center" vertical="center"/>
    </x:xf>
    <x:xf numFmtId="0" fontId="0" fillId="90" borderId="0" xfId="0" applyNumberFormat="1" applyFont="1" applyFill="1" applyBorder="1" applyAlignment="1">
      <x:alignment wrapText="1"/>
    </x:xf>
    <x:xf numFmtId="0" fontId="0" fillId="89" borderId="0" xfId="0" applyNumberFormat="1" applyFont="1" applyFill="1" applyBorder="1" applyAlignment="1">
      <x:alignment wrapText="1"/>
    </x:xf>
    <x:xf numFmtId="200" fontId="0" fillId="90" borderId="0" xfId="0" applyNumberFormat="1" applyFont="1" applyFill="1" applyBorder="1" applyAlignment="1">
      <x:alignment wrapText="1"/>
    </x:xf>
    <x:xf numFmtId="200" fontId="0" fillId="89" borderId="0" xfId="0" applyNumberFormat="1" applyFont="1" applyFill="1" applyBorder="1" applyAlignment="1">
      <x:alignment wrapText="1"/>
    </x:xf>
    <x:xf numFmtId="0" fontId="0" fillId="0" borderId="17" xfId="0" applyNumberFormat="1" applyFont="1" applyFill="1" applyBorder="1" applyAlignment="1">
      <x:alignment wrapText="1"/>
    </x:xf>
    <x:xf numFmtId="0" fontId="8" fillId="5" borderId="13"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31" fillId="91" borderId="0" xfId="0" applyNumberFormat="1" applyFont="1" applyFill="1" applyBorder="1" applyAlignment="1">
      <x:alignment vertical="center" wrapText="1"/>
    </x:xf>
    <x:xf numFmtId="0" fontId="0" fillId="91" borderId="0" xfId="0" applyNumberFormat="1" applyFont="1" applyFill="1" applyBorder="1" applyAlignment="1">
      <x:alignment wrapText="1"/>
    </x:xf>
    <x:xf numFmtId="0" fontId="0" fillId="91" borderId="0" xfId="0" applyNumberFormat="1" applyFont="1" applyFill="1" applyBorder="1"/>
    <x:xf numFmtId="0" fontId="37" fillId="91" borderId="0" xfId="0" applyNumberFormat="1" applyFont="1" applyFill="1" applyBorder="1" applyAlignment="1">
      <x:alignment vertical="center" wrapText="1"/>
    </x:xf>
    <x:xf numFmtId="0" fontId="37" fillId="91" borderId="0" xfId="0" applyNumberFormat="1" applyFont="1" applyFill="1" applyBorder="1" applyAlignment="1">
      <x:alignment wrapText="1"/>
    </x:xf>
    <x:xf numFmtId="0" fontId="37" fillId="91" borderId="0" xfId="0" applyNumberFormat="1" applyFont="1" applyFill="1" applyBorder="1"/>
    <x:xf numFmtId="0" fontId="37" fillId="91" borderId="21" xfId="0" applyNumberFormat="1" applyFont="1" applyFill="1" applyBorder="1" applyAlignment="1">
      <x:alignment vertical="center" wrapText="1"/>
    </x:xf>
    <x:xf numFmtId="0" fontId="37" fillId="91" borderId="21" xfId="0" applyNumberFormat="1" applyFont="1" applyFill="1" applyBorder="1" applyAlignment="1">
      <x:alignment wrapText="1"/>
    </x:xf>
    <x:xf numFmtId="0" fontId="37" fillId="91" borderId="21" xfId="0" applyNumberFormat="1" applyFont="1" applyFill="1" applyBorder="1"/>
    <x:xf numFmtId="0" fontId="37" fillId="91" borderId="21" xfId="0" applyNumberFormat="1" applyFont="1" applyFill="1" applyBorder="1" applyAlignment="1">
      <x:alignment horizontal="left" vertical="center" wrapText="1"/>
    </x:xf>
    <x:xf numFmtId="0" fontId="37" fillId="91" borderId="21" xfId="0" applyNumberFormat="1" applyFont="1" applyFill="1" applyBorder="1" applyAlignment="1">
      <x:alignment horizontal="left" wrapText="1"/>
    </x:xf>
    <x:xf numFmtId="0" fontId="37" fillId="91" borderId="21" xfId="0" applyNumberFormat="1" applyFont="1" applyFill="1" applyBorder="1" applyAlignment="1">
      <x:alignment horizontal="left"/>
    </x:xf>
    <x:xf numFmtId="0" fontId="37" fillId="91" borderId="21" xfId="0" applyNumberFormat="1" applyFont="1" applyFill="1" applyBorder="1" applyAlignment="1">
      <x:alignment horizontal="left" vertical="center"/>
    </x:xf>
    <x:xf numFmtId="0" fontId="2" fillId="92" borderId="0" xfId="0" applyNumberFormat="1" applyFont="1" applyFill="1" applyBorder="1" applyAlignment="1">
      <x:alignment vertical="center" wrapText="1"/>
    </x:xf>
    <x:xf numFmtId="0" fontId="0" fillId="92" borderId="0" xfId="0" applyNumberFormat="1" applyFont="1" applyFill="1" applyBorder="1" applyAlignment="1">
      <x:alignment wrapText="1"/>
    </x:xf>
    <x:xf numFmtId="0" fontId="0" fillId="92" borderId="0" xfId="0" applyNumberFormat="1" applyFont="1" applyFill="1" applyBorder="1"/>
    <x:xf numFmtId="0" fontId="38" fillId="92" borderId="0" xfId="0" applyNumberFormat="1" applyFont="1" applyFill="1" applyBorder="1" applyAlignment="1">
      <x:alignment vertical="center" wrapText="1"/>
    </x:xf>
    <x:xf numFmtId="0" fontId="38" fillId="92" borderId="0" xfId="0" applyNumberFormat="1" applyFont="1" applyFill="1" applyBorder="1" applyAlignment="1">
      <x:alignment wrapText="1"/>
    </x:xf>
    <x:xf numFmtId="0" fontId="38" fillId="92" borderId="0" xfId="0" applyNumberFormat="1" applyFont="1" applyFill="1" applyBorder="1"/>
    <x:xf numFmtId="0" fontId="38" fillId="92" borderId="22" xfId="0" applyNumberFormat="1" applyFont="1" applyFill="1" applyBorder="1" applyAlignment="1">
      <x:alignment vertical="center" wrapText="1"/>
    </x:xf>
    <x:xf numFmtId="0" fontId="38" fillId="92" borderId="22" xfId="0" applyNumberFormat="1" applyFont="1" applyFill="1" applyBorder="1" applyAlignment="1">
      <x:alignment wrapText="1"/>
    </x:xf>
    <x:xf numFmtId="0" fontId="38" fillId="92" borderId="22" xfId="0" applyNumberFormat="1" applyFont="1" applyFill="1" applyBorder="1"/>
    <x:xf numFmtId="0" fontId="38" fillId="92" borderId="22" xfId="0" applyNumberFormat="1" applyFont="1" applyFill="1" applyBorder="1" applyAlignment="1">
      <x:alignment horizontal="left" vertical="center" wrapText="1"/>
    </x:xf>
    <x:xf numFmtId="0" fontId="38" fillId="92" borderId="22" xfId="0" applyNumberFormat="1" applyFont="1" applyFill="1" applyBorder="1" applyAlignment="1">
      <x:alignment horizontal="left" wrapText="1"/>
    </x:xf>
    <x:xf numFmtId="0" fontId="39" fillId="91" borderId="21" xfId="0" applyNumberFormat="1" applyFont="1" applyFill="1" applyBorder="1" applyAlignment="1">
      <x:alignment horizontal="left" vertical="center" wrapText="1"/>
    </x:xf>
    <x:xf numFmtId="0" fontId="39" fillId="91" borderId="21" xfId="0" applyNumberFormat="1" applyFont="1" applyFill="1" applyBorder="1" applyAlignment="1">
      <x:alignment horizontal="left" vertical="center"/>
    </x:xf>
    <x:xf numFmtId="0" fontId="40" fillId="0" borderId="0" xfId="0" applyNumberFormat="1" applyFont="1" applyFill="1" applyBorder="1" applyAlignment="1">
      <x:alignment wrapText="1"/>
    </x:xf>
    <x:xf numFmtId="0" fontId="40" fillId="0" borderId="0" xfId="0" applyNumberFormat="1" applyFont="1" applyFill="1" applyBorder="1"/>
    <x:xf numFmtId="0" fontId="41" fillId="4" borderId="13" xfId="0" applyNumberFormat="1" applyFont="1" applyFill="1" applyBorder="1" applyAlignment="1">
      <x:alignment horizontal="left" vertical="center" wrapText="1"/>
    </x:xf>
    <x:xf numFmtId="0" fontId="40" fillId="0" borderId="16" xfId="0" applyNumberFormat="1" applyFont="1" applyFill="1" applyBorder="1" applyAlignment="1">
      <x:alignment wrapText="1"/>
    </x:xf>
    <x:xf numFmtId="0" fontId="40" fillId="0" borderId="17" xfId="0" applyNumberFormat="1" applyFont="1" applyFill="1" applyBorder="1"/>
    <x:xf numFmtId="0" fontId="41" fillId="8" borderId="13" xfId="0" applyNumberFormat="1" applyFont="1" applyFill="1" applyBorder="1" applyAlignment="1">
      <x:alignment horizontal="center" vertical="center" wrapText="1"/>
    </x:xf>
    <x:xf numFmtId="0" fontId="42" fillId="5" borderId="13" xfId="0" applyNumberFormat="1" applyFont="1" applyFill="1" applyBorder="1" applyAlignment="1">
      <x:alignment vertical="center" wrapText="1"/>
    </x:xf>
    <x:xf numFmtId="0" fontId="42" fillId="7" borderId="13" xfId="0" applyNumberFormat="1" applyFont="1" applyFill="1" applyBorder="1" applyAlignment="1">
      <x:alignment vertical="center" wrapText="1"/>
    </x:xf>
    <x:xf numFmtId="0" fontId="41" fillId="4" borderId="13" xfId="0" applyNumberFormat="1" applyFont="1" applyFill="1" applyBorder="1" applyAlignment="1">
      <x:alignment horizontal="center" vertical="center" wrapText="1"/>
    </x:xf>
    <x:xf numFmtId="0" fontId="42" fillId="5" borderId="13" xfId="0" applyNumberFormat="1" applyFont="1" applyFill="1" applyBorder="1" applyAlignment="1">
      <x:alignment vertical="top" wrapText="1"/>
    </x:xf>
    <x:xf numFmtId="0" fontId="40" fillId="0" borderId="16" xfId="0" applyNumberFormat="1" applyFont="1" applyFill="1" applyBorder="1" applyAlignment="1">
      <x:alignment vertical="top" wrapText="1"/>
    </x:xf>
    <x:xf numFmtId="0" fontId="40" fillId="0" borderId="17" xfId="0" applyNumberFormat="1" applyFont="1" applyFill="1" applyBorder="1" applyAlignment="1">
      <x:alignment vertical="top" wrapText="1"/>
    </x:xf>
    <x:xf numFmtId="0" fontId="41" fillId="93" borderId="13" xfId="0" applyNumberFormat="1" applyFont="1" applyFill="1" applyBorder="1" applyAlignment="1">
      <x:alignment horizontal="left" vertical="center" wrapText="1"/>
    </x:xf>
    <x:xf numFmtId="0" fontId="40" fillId="93" borderId="16" xfId="0" applyNumberFormat="1" applyFont="1" applyFill="1" applyBorder="1" applyAlignment="1">
      <x:alignment wrapText="1"/>
    </x:xf>
    <x:xf numFmtId="0" fontId="40" fillId="93" borderId="17" xfId="0" applyNumberFormat="1" applyFont="1" applyFill="1" applyBorder="1"/>
    <x:xf numFmtId="0" fontId="41" fillId="93" borderId="16" xfId="0" applyNumberFormat="1" applyFont="1" applyFill="1" applyBorder="1" applyAlignment="1">
      <x:alignment wrapText="1"/>
    </x:xf>
    <x:xf numFmtId="0" fontId="41" fillId="93" borderId="17" xfId="0" applyNumberFormat="1" applyFont="1" applyFill="1" applyBorder="1"/>
    <x:xf numFmtId="0" fontId="41" fillId="93" borderId="23" xfId="0" applyNumberFormat="1" applyFont="1" applyFill="1" applyBorder="1" applyAlignment="1">
      <x:alignment horizontal="left" vertical="center" wrapText="1"/>
    </x:xf>
    <x:xf numFmtId="0" fontId="41" fillId="93" borderId="24" xfId="0" applyNumberFormat="1" applyFont="1" applyFill="1" applyBorder="1" applyAlignment="1">
      <x:alignment wrapText="1"/>
    </x:xf>
    <x:xf numFmtId="0" fontId="41" fillId="93" borderId="25" xfId="0" applyNumberFormat="1" applyFont="1" applyFill="1" applyBorder="1"/>
    <x:xf numFmtId="0" fontId="41" fillId="93" borderId="24" xfId="0" applyNumberFormat="1" applyFont="1" applyFill="1" applyBorder="1" applyAlignment="1">
      <x:alignment horizontal="left" wrapText="1"/>
    </x:xf>
    <x:xf numFmtId="0" fontId="41" fillId="93" borderId="25" xfId="0" applyNumberFormat="1" applyFont="1" applyFill="1" applyBorder="1" applyAlignment="1">
      <x:alignment horizontal="left"/>
    </x:xf>
    <x:xf numFmtId="0" fontId="41" fillId="93" borderId="24" xfId="0" applyNumberFormat="1" applyFont="1" applyFill="1" applyBorder="1" applyAlignment="1">
      <x:alignment horizontal="left" vertical="center" wrapText="1"/>
    </x:xf>
    <x:xf numFmtId="0" fontId="41" fillId="93" borderId="25" xfId="0" applyNumberFormat="1" applyFont="1" applyFill="1" applyBorder="1" applyAlignment="1">
      <x:alignment horizontal="left" vertical="center"/>
    </x:xf>
    <x:xf numFmtId="0" fontId="41" fillId="94" borderId="13" xfId="0" applyNumberFormat="1" applyFont="1" applyFill="1" applyBorder="1" applyAlignment="1">
      <x:alignment horizontal="center" vertical="center" wrapText="1"/>
    </x:xf>
    <x:xf numFmtId="0" fontId="42" fillId="94" borderId="13" xfId="0" applyNumberFormat="1" applyFont="1" applyFill="1" applyBorder="1" applyAlignment="1">
      <x:alignment vertical="center" wrapText="1"/>
    </x:xf>
    <x:xf numFmtId="0" fontId="40" fillId="94" borderId="16" xfId="0" applyNumberFormat="1" applyFont="1" applyFill="1" applyBorder="1" applyAlignment="1">
      <x:alignment wrapText="1"/>
    </x:xf>
    <x:xf numFmtId="0" fontId="40" fillId="94" borderId="17" xfId="0" applyNumberFormat="1" applyFont="1" applyFill="1" applyBorder="1"/>
    <x:xf numFmtId="0" fontId="43" fillId="94" borderId="13" xfId="0" applyNumberFormat="1" applyFont="1" applyFill="1" applyBorder="1" applyAlignment="1">
      <x:alignment horizontal="center" vertical="center" wrapText="1"/>
    </x:xf>
    <x:xf numFmtId="0" fontId="44" fillId="94" borderId="13" xfId="0" applyNumberFormat="1" applyFont="1" applyFill="1" applyBorder="1" applyAlignment="1">
      <x:alignment vertical="center" wrapText="1"/>
    </x:xf>
    <x:xf numFmtId="0" fontId="44" fillId="94" borderId="16" xfId="0" applyNumberFormat="1" applyFont="1" applyFill="1" applyBorder="1" applyAlignment="1">
      <x:alignment wrapText="1"/>
    </x:xf>
    <x:xf numFmtId="0" fontId="44" fillId="94" borderId="17" xfId="0" applyNumberFormat="1" applyFont="1" applyFill="1" applyBorder="1"/>
    <x:xf numFmtId="0" fontId="43" fillId="94" borderId="26" xfId="0" applyNumberFormat="1" applyFont="1" applyFill="1" applyBorder="1" applyAlignment="1">
      <x:alignment horizontal="center" vertical="center" wrapText="1"/>
    </x:xf>
    <x:xf numFmtId="0" fontId="44" fillId="94" borderId="26" xfId="0" applyNumberFormat="1" applyFont="1" applyFill="1" applyBorder="1" applyAlignment="1">
      <x:alignment vertical="center" wrapText="1"/>
    </x:xf>
    <x:xf numFmtId="0" fontId="44" fillId="94" borderId="26" xfId="0" applyNumberFormat="1" applyFont="1" applyFill="1" applyBorder="1" applyAlignment="1">
      <x:alignment wrapText="1"/>
    </x:xf>
    <x:xf numFmtId="0" fontId="44" fillId="94" borderId="26" xfId="0" applyNumberFormat="1" applyFont="1" applyFill="1" applyBorder="1"/>
    <x:xf numFmtId="0" fontId="43" fillId="94" borderId="26" xfId="0" applyNumberFormat="1" applyFont="1" applyFill="1" applyBorder="1" applyAlignment="1">
      <x:alignment horizontal="left" vertical="center" wrapText="1"/>
    </x:xf>
    <x:xf numFmtId="0" fontId="44" fillId="94" borderId="26" xfId="0" applyNumberFormat="1" applyFont="1" applyFill="1" applyBorder="1" applyAlignment="1">
      <x:alignment horizontal="left" vertical="center" wrapText="1"/>
    </x:xf>
    <x:xf numFmtId="0" fontId="44" fillId="94" borderId="26" xfId="0" applyNumberFormat="1" applyFont="1" applyFill="1" applyBorder="1" applyAlignment="1">
      <x:alignment horizontal="left" wrapText="1"/>
    </x:xf>
    <x:xf numFmtId="0" fontId="43" fillId="94" borderId="26" xfId="0" applyNumberFormat="1" applyFont="1" applyFill="1" applyBorder="1" applyAlignment="1">
      <x:alignment horizontal="left" vertical="top" wrapText="1"/>
    </x:xf>
    <x:xf numFmtId="0" fontId="44" fillId="94" borderId="26" xfId="0" applyNumberFormat="1" applyFont="1" applyFill="1" applyBorder="1" applyAlignment="1">
      <x:alignment horizontal="left" vertical="top" wrapText="1"/>
    </x:xf>
    <x:xf numFmtId="0" fontId="43" fillId="95" borderId="26" xfId="0" applyNumberFormat="1" applyFont="1" applyFill="1" applyBorder="1" applyAlignment="1">
      <x:alignment horizontal="left" vertical="top" wrapText="1"/>
    </x:xf>
    <x:xf numFmtId="0" fontId="45" fillId="95" borderId="26" xfId="0" applyNumberFormat="1" applyFont="1" applyFill="1" applyBorder="1" applyAlignment="1">
      <x:alignment horizontal="left" vertical="top" wrapText="1"/>
    </x:xf>
    <x:xf numFmtId="0" fontId="45" fillId="95" borderId="26" xfId="0" applyNumberFormat="1" applyFont="1" applyFill="1" applyBorder="1" applyAlignment="1">
      <x:alignment horizontal="center" vertical="top" wrapText="1"/>
    </x:xf>
    <x:xf numFmtId="0" fontId="45" fillId="95" borderId="26" xfId="0" applyNumberFormat="1" applyFont="1" applyFill="1" applyBorder="1" applyAlignment="1">
      <x:alignment horizontal="center" vertical="center" wrapText="1"/>
    </x:xf>
    <x:xf numFmtId="0" fontId="44" fillId="95" borderId="26" xfId="0" applyNumberFormat="1" applyFont="1" applyFill="1" applyBorder="1" applyAlignment="1">
      <x:alignment horizontal="left" vertical="top" wrapText="1"/>
    </x:xf>
    <x:xf numFmtId="0" fontId="45" fillId="95" borderId="26" xfId="0" applyNumberFormat="1" applyFont="1" applyFill="1" applyBorder="1" applyAlignment="1">
      <x:alignment horizontal="left" vertical="center" wrapText="1"/>
    </x:xf>
    <x:xf numFmtId="0" fontId="41" fillId="96" borderId="13" xfId="0" applyNumberFormat="1" applyFont="1" applyFill="1" applyBorder="1" applyAlignment="1">
      <x:alignment horizontal="center" vertical="center" wrapText="1"/>
    </x:xf>
    <x:xf numFmtId="0" fontId="46" fillId="96" borderId="13" xfId="0" applyNumberFormat="1" applyFont="1" applyFill="1" applyBorder="1" applyAlignment="1">
      <x:alignment horizontal="center" vertical="center" wrapText="1"/>
    </x:xf>
    <x:xf numFmtId="0" fontId="46" fillId="96" borderId="27" xfId="0" applyNumberFormat="1" applyFont="1" applyFill="1" applyBorder="1" applyAlignment="1">
      <x:alignment horizontal="center" vertical="center" wrapText="1"/>
    </x:xf>
    <x:xf numFmtId="0" fontId="42" fillId="94" borderId="13" xfId="0" applyNumberFormat="1" applyFont="1" applyFill="1" applyBorder="1" applyAlignment="1">
      <x:alignment vertical="top" wrapText="1"/>
    </x:xf>
    <x:xf numFmtId="0" fontId="40" fillId="94" borderId="16" xfId="0" applyNumberFormat="1" applyFont="1" applyFill="1" applyBorder="1" applyAlignment="1">
      <x:alignment vertical="top" wrapText="1"/>
    </x:xf>
    <x:xf numFmtId="0" fontId="40" fillId="94" borderId="17" xfId="0" applyNumberFormat="1" applyFont="1" applyFill="1" applyBorder="1" applyAlignment="1">
      <x:alignment vertical="top" wrapText="1"/>
    </x:xf>
    <x:xf numFmtId="0" fontId="44" fillId="94" borderId="13" xfId="0" applyNumberFormat="1" applyFont="1" applyFill="1" applyBorder="1" applyAlignment="1">
      <x:alignment vertical="top" wrapText="1"/>
    </x:xf>
    <x:xf numFmtId="0" fontId="44" fillId="94" borderId="16" xfId="0" applyNumberFormat="1" applyFont="1" applyFill="1" applyBorder="1" applyAlignment="1">
      <x:alignment vertical="top" wrapText="1"/>
    </x:xf>
    <x:xf numFmtId="0" fontId="44" fillId="94" borderId="17" xfId="0" applyNumberFormat="1" applyFont="1" applyFill="1" applyBorder="1" applyAlignment="1">
      <x:alignment vertical="top" wrapText="1"/>
    </x:xf>
    <x:xf numFmtId="0" fontId="44" fillId="94" borderId="26" xfId="0" applyNumberFormat="1" applyFont="1" applyFill="1" applyBorder="1" applyAlignment="1">
      <x:alignment vertical="top" wrapText="1"/>
    </x:xf>
    <x:xf numFmtId="0" fontId="44" fillId="97" borderId="26" xfId="0" applyNumberFormat="1" applyFont="1" applyFill="1" applyBorder="1" applyAlignment="1">
      <x:alignment horizontal="left" vertical="top" wrapText="1"/>
    </x:xf>
    <x:xf numFmtId="0" fontId="6" fillId="91" borderId="0" xfId="0" applyNumberFormat="1" applyFont="1" applyFill="1" applyBorder="1" applyAlignment="1">
      <x:alignment vertical="center"/>
    </x:xf>
    <x:xf numFmtId="0" fontId="37" fillId="91" borderId="0" xfId="0" applyNumberFormat="1" applyFont="1" applyFill="1" applyBorder="1" applyAlignment="1">
      <x:alignment vertical="center"/>
    </x:xf>
    <x:xf numFmtId="0" fontId="37" fillId="91" borderId="21" xfId="0" applyNumberFormat="1" applyFont="1" applyFill="1" applyBorder="1" applyAlignment="1">
      <x:alignment vertical="center"/>
    </x:xf>
    <x:xf numFmtId="0" fontId="7" fillId="92" borderId="0" xfId="0" applyNumberFormat="1" applyFont="1" applyFill="1" applyBorder="1" applyAlignment="1">
      <x:alignment vertical="center" wrapText="1"/>
    </x:xf>
    <x:xf numFmtId="0" fontId="6" fillId="96" borderId="13" xfId="0" applyNumberFormat="1" applyFont="1" applyFill="1" applyBorder="1" applyAlignment="1">
      <x:alignment horizontal="center" vertical="center" wrapText="1"/>
    </x:xf>
    <x:xf numFmtId="0" fontId="8" fillId="94" borderId="13" xfId="0" applyNumberFormat="1" applyFont="1" applyFill="1" applyBorder="1" applyAlignment="1">
      <x:alignment vertical="center" wrapText="1"/>
    </x:xf>
    <x:xf numFmtId="0" fontId="8" fillId="94" borderId="1" xfId="0" applyNumberFormat="1" applyFont="1" applyFill="1" applyBorder="1" applyAlignment="1">
      <x:alignment vertical="center" wrapText="1"/>
    </x:xf>
    <x:xf numFmtId="0" fontId="0" fillId="94" borderId="0" xfId="0" applyNumberFormat="1" applyFont="1" applyFill="1" applyBorder="1"/>
    <x:xf numFmtId="0" fontId="44" fillId="94" borderId="1" xfId="0" applyNumberFormat="1" applyFont="1" applyFill="1" applyBorder="1" applyAlignment="1">
      <x:alignment vertical="center" wrapText="1"/>
    </x:xf>
    <x:xf numFmtId="0" fontId="44" fillId="94" borderId="0" xfId="0" applyNumberFormat="1" applyFont="1" applyFill="1" applyBorder="1"/>
    <x:xf numFmtId="0" fontId="44" fillId="97" borderId="26" xfId="0" applyNumberFormat="1" applyFont="1" applyFill="1" applyBorder="1" applyAlignment="1">
      <x:alignment horizontal="center" vertical="top" wrapText="1"/>
    </x:xf>
    <x:xf numFmtId="0" fontId="44" fillId="97" borderId="26" xfId="0" applyNumberFormat="1" applyFont="1" applyFill="1" applyBorder="1" applyAlignment="1">
      <x:alignment horizontal="center" vertical="center" wrapText="1"/>
    </x:xf>
    <x:xf numFmtId="0" fontId="1" fillId="91" borderId="0" xfId="0" applyNumberFormat="1" applyFont="1" applyFill="1" applyBorder="1" applyAlignment="1">
      <x:alignment vertical="center"/>
    </x:xf>
    <x:xf numFmtId="0" fontId="33" fillId="92" borderId="0" xfId="0" applyNumberFormat="1" applyFont="1" applyFill="1" applyBorder="1" applyAlignment="1">
      <x:alignment vertical="center" wrapText="1"/>
    </x:xf>
    <x:xf numFmtId="164" fontId="8" fillId="94" borderId="13" xfId="0" applyNumberFormat="1" applyFont="1" applyFill="1" applyBorder="1" applyAlignment="1">
      <x:alignment vertical="center" wrapText="1"/>
    </x:xf>
    <x:xf numFmtId="0" fontId="8" fillId="94" borderId="1" xfId="0" applyNumberFormat="1" applyFont="1" applyFill="1" applyBorder="1" applyAlignment="1">
      <x:alignment vertical="top" wrapText="1"/>
    </x:xf>
    <x:xf numFmtId="164" fontId="8" fillId="94" borderId="1" xfId="0" applyNumberFormat="1" applyFont="1" applyFill="1" applyBorder="1" applyAlignment="1">
      <x:alignment vertical="center" wrapText="1"/>
    </x:xf>
    <x:xf numFmtId="164" fontId="0" fillId="94" borderId="0" xfId="0" applyNumberFormat="1" applyFont="1" applyFill="1" applyBorder="1"/>
    <x:xf numFmtId="164" fontId="44" fillId="94" borderId="13" xfId="0" applyNumberFormat="1" applyFont="1" applyFill="1" applyBorder="1" applyAlignment="1">
      <x:alignment vertical="center" wrapText="1"/>
    </x:xf>
    <x:xf numFmtId="0" fontId="44" fillId="94" borderId="1" xfId="0" applyNumberFormat="1" applyFont="1" applyFill="1" applyBorder="1" applyAlignment="1">
      <x:alignment vertical="top" wrapText="1"/>
    </x:xf>
    <x:xf numFmtId="164" fontId="44" fillId="94" borderId="1" xfId="0" applyNumberFormat="1" applyFont="1" applyFill="1" applyBorder="1" applyAlignment="1">
      <x:alignment vertical="center" wrapText="1"/>
    </x:xf>
    <x:xf numFmtId="164" fontId="44" fillId="94" borderId="0" xfId="0" applyNumberFormat="1" applyFont="1" applyFill="1" applyBorder="1"/>
    <x:xf numFmtId="164" fontId="44" fillId="94" borderId="26" xfId="0" applyNumberFormat="1" applyFont="1" applyFill="1" applyBorder="1" applyAlignment="1">
      <x:alignment vertical="center" wrapText="1"/>
    </x:xf>
    <x:xf numFmtId="164" fontId="44" fillId="94" borderId="26" xfId="0" applyNumberFormat="1" applyFont="1" applyFill="1" applyBorder="1"/>
    <x:xf numFmtId="164" fontId="44" fillId="94" borderId="26" xfId="0" applyNumberFormat="1" applyFont="1" applyFill="1" applyBorder="1" applyAlignment="1">
      <x:alignment wrapText="1"/>
    </x:xf>
    <x:xf numFmtId="164" fontId="44" fillId="94" borderId="26" xfId="0" applyNumberFormat="1" applyFont="1" applyFill="1" applyBorder="1" applyAlignment="1">
      <x:alignment horizontal="left" vertical="center" wrapText="1"/>
    </x:xf>
    <x:xf numFmtId="164" fontId="44" fillId="94" borderId="26" xfId="0" applyNumberFormat="1" applyFont="1" applyFill="1" applyBorder="1" applyAlignment="1">
      <x:alignment horizontal="left" wrapText="1"/>
    </x:xf>
    <x:xf numFmtId="164" fontId="44" fillId="94" borderId="26" xfId="0" applyNumberFormat="1" applyFont="1" applyFill="1" applyBorder="1" applyAlignment="1">
      <x:alignment horizontal="left" vertical="top" wrapText="1"/>
    </x:xf>
    <x:xf numFmtId="0" fontId="44" fillId="98" borderId="26" xfId="0" applyNumberFormat="1" applyFont="1" applyFill="1" applyBorder="1" applyAlignment="1">
      <x:alignment horizontal="left" vertical="top" wrapText="1"/>
    </x:xf>
    <x:xf numFmtId="164" fontId="44" fillId="98" borderId="26" xfId="0" applyNumberFormat="1" applyFont="1" applyFill="1" applyBorder="1" applyAlignment="1">
      <x:alignment horizontal="left" vertical="top" wrapText="1"/>
    </x:xf>
    <x:xf numFmtId="0" fontId="47" fillId="98" borderId="26" xfId="0" applyNumberFormat="1" applyFont="1" applyFill="1" applyBorder="1" applyAlignment="1">
      <x:alignment horizontal="left" vertical="top" wrapText="1"/>
    </x:xf>
    <x:xf numFmtId="164" fontId="47" fillId="98" borderId="26" xfId="0" applyNumberFormat="1" applyFont="1" applyFill="1" applyBorder="1" applyAlignment="1">
      <x:alignment horizontal="left" vertical="top" wrapText="1"/>
    </x:xf>
    <x:xf numFmtId="0" fontId="47" fillId="98" borderId="26" xfId="0" applyNumberFormat="1" applyFont="1" applyFill="1" applyBorder="1" applyAlignment="1">
      <x:alignment horizontal="center" vertical="top" wrapText="1"/>
    </x:xf>
    <x:xf numFmtId="0" fontId="47" fillId="98" borderId="26" xfId="0" applyNumberFormat="1" applyFont="1" applyFill="1" applyBorder="1" applyAlignment="1">
      <x:alignment horizontal="center" vertical="center" wrapText="1"/>
    </x:xf>
    <x:xf numFmtId="164" fontId="47" fillId="98" borderId="26" xfId="0" applyNumberFormat="1" applyFont="1" applyFill="1" applyBorder="1" applyAlignment="1">
      <x:alignment horizontal="center" vertical="center" wrapText="1"/>
    </x:xf>
    <x:xf numFmtId="0" fontId="10" fillId="92" borderId="0" xfId="0" applyNumberFormat="1" applyFont="1" applyFill="1" applyBorder="1" applyAlignment="1">
      <x:alignment vertical="center"/>
    </x:xf>
    <x:xf numFmtId="0" fontId="38" fillId="92" borderId="0" xfId="0" applyNumberFormat="1" applyFont="1" applyFill="1" applyBorder="1" applyAlignment="1">
      <x:alignment vertical="center"/>
    </x:xf>
    <x:xf numFmtId="0" fontId="38" fillId="92" borderId="22" xfId="0" applyNumberFormat="1" applyFont="1" applyFill="1" applyBorder="1" applyAlignment="1">
      <x:alignment vertical="center"/>
    </x:xf>
    <x:xf numFmtId="0" fontId="8" fillId="94" borderId="13" xfId="0" applyNumberFormat="1" applyFont="1" applyFill="1" applyBorder="1" applyAlignment="1">
      <x:alignment horizontal="center" vertical="center" wrapText="1"/>
    </x:xf>
    <x:xf numFmtId="0" fontId="0" fillId="94" borderId="1" xfId="0" applyNumberFormat="1" applyFont="1" applyFill="1" applyBorder="1" applyAlignment="1">
      <x:alignment vertical="top" wrapText="1"/>
    </x:xf>
    <x:xf numFmtId="0" fontId="0" fillId="94" borderId="1" xfId="0" applyNumberFormat="1" applyFont="1" applyFill="1" applyBorder="1" applyAlignment="1">
      <x:alignment horizontal="center" vertical="top" wrapText="1"/>
    </x:xf>
    <x:xf numFmtId="0" fontId="44" fillId="94" borderId="13" xfId="0" applyNumberFormat="1" applyFont="1" applyFill="1" applyBorder="1" applyAlignment="1">
      <x:alignment horizontal="center" vertical="center" wrapText="1"/>
    </x:xf>
    <x:xf numFmtId="0" fontId="44" fillId="94" borderId="1" xfId="0" applyNumberFormat="1" applyFont="1" applyFill="1" applyBorder="1" applyAlignment="1">
      <x:alignment horizontal="center" vertical="top" wrapText="1"/>
    </x:xf>
    <x:xf numFmtId="0" fontId="44" fillId="94" borderId="26" xfId="0" applyNumberFormat="1" applyFont="1" applyFill="1" applyBorder="1" applyAlignment="1">
      <x:alignment horizontal="center" vertical="center" wrapText="1"/>
    </x:xf>
    <x:xf numFmtId="0" fontId="44" fillId="94" borderId="26" xfId="0" applyNumberFormat="1" applyFont="1" applyFill="1" applyBorder="1" applyAlignment="1">
      <x:alignment horizontal="center" vertical="top" wrapText="1"/>
    </x:xf>
    <x:xf numFmtId="0" fontId="6" fillId="96" borderId="0" xfId="0" applyNumberFormat="1" applyFont="1" applyFill="1" applyBorder="1" applyAlignment="1">
      <x:alignment horizontal="center" vertical="center" wrapText="1"/>
    </x:xf>
    <x:xf numFmtId="0" fontId="46" fillId="96" borderId="0" xfId="0" applyNumberFormat="1" applyFont="1" applyFill="1" applyBorder="1" applyAlignment="1">
      <x:alignment horizontal="center" vertical="center" wrapText="1"/>
    </x:xf>
    <x:xf numFmtId="0" fontId="0" fillId="94" borderId="0" xfId="0" applyNumberFormat="1" applyFont="1" applyFill="1" applyBorder="1" applyAlignment="1">
      <x:alignment wrapText="1"/>
    </x:xf>
    <x:xf numFmtId="0" fontId="44" fillId="94" borderId="0" xfId="0" applyNumberFormat="1" applyFont="1" applyFill="1" applyBorder="1" applyAlignment="1">
      <x:alignment wrapText="1"/>
    </x:xf>
    <x:xf numFmtId="164" fontId="44" fillId="97" borderId="26" xfId="0" applyNumberFormat="1" applyFont="1" applyFill="1" applyBorder="1" applyAlignment="1">
      <x:alignment horizontal="left" vertical="top" wrapText="1"/>
    </x:xf>
    <x:xf numFmtId="164" fontId="44" fillId="97" borderId="26" xfId="0" applyNumberFormat="1" applyFont="1" applyFill="1" applyBorder="1" applyAlignment="1">
      <x:alignment horizontal="center" vertical="top" wrapText="1"/>
    </x:xf>
    <x:xf numFmtId="164" fontId="44" fillId="97" borderId="26" xfId="0" applyNumberFormat="1" applyFont="1" applyFill="1" applyBorder="1" applyAlignment="1">
      <x:alignment horizontal="center" vertical="center" wrapText="1"/>
    </x:xf>
    <x:xf numFmtId="0" fontId="3" fillId="96" borderId="13" xfId="0" applyNumberFormat="1" applyFont="1" applyFill="1" applyBorder="1" applyAlignment="1">
      <x:alignment horizontal="center" vertical="center" wrapText="1"/>
    </x:xf>
    <x:xf numFmtId="0" fontId="4" fillId="94" borderId="13" xfId="0" applyNumberFormat="1" applyFont="1" applyFill="1" applyBorder="1" applyAlignment="1">
      <x:alignment vertical="center" wrapText="1"/>
    </x:xf>
    <x:xf numFmtId="0" fontId="4" fillId="94" borderId="1" xfId="0" applyNumberFormat="1" applyFont="1" applyFill="1" applyBorder="1" applyAlignment="1">
      <x:alignment vertical="top" wrapText="1"/>
    </x:xf>
    <x:xf numFmtId="164" fontId="47" fillId="98" borderId="26" xfId="0" applyNumberFormat="1" applyFont="1" applyFill="1" applyBorder="1" applyAlignment="1">
      <x:alignment horizontal="center" vertical="top" wrapText="1"/>
    </x:xf>
    <x:xf numFmtId="0" fontId="31" fillId="91" borderId="0" xfId="0" applyNumberFormat="1" applyFont="1" applyFill="1" applyBorder="1" applyAlignment="1">
      <x:alignment vertical="center"/>
    </x:xf>
    <x:xf numFmtId="164" fontId="4" fillId="94" borderId="13" xfId="0" applyNumberFormat="1" applyFont="1" applyFill="1" applyBorder="1" applyAlignment="1">
      <x:alignment vertical="center" wrapText="1"/>
    </x:xf>
    <x:xf numFmtId="164" fontId="48" fillId="98" borderId="26" xfId="0" applyNumberFormat="1" applyFont="1" applyFill="1" applyBorder="1" applyAlignment="1">
      <x:alignment horizontal="left" vertical="top" wrapText="1"/>
    </x:xf>
    <x:xf numFmtId="164" fontId="48" fillId="98" borderId="26" xfId="0" applyNumberFormat="1" applyFont="1" applyFill="1" applyBorder="1" applyAlignment="1">
      <x:alignment horizontal="right" vertical="top" wrapText="1"/>
    </x:xf>
    <x:xf numFmtId="164" fontId="48" fillId="98" borderId="26" xfId="0" applyNumberFormat="1" applyFont="1" applyFill="1" applyBorder="1" applyAlignment="1">
      <x:alignment horizontal="right" vertical="center" wrapText="1"/>
    </x:xf>
    <x:xf numFmtId="0" fontId="44" fillId="99" borderId="26" xfId="0" applyNumberFormat="1" applyFont="1" applyFill="1" applyBorder="1" applyAlignment="1">
      <x:alignment horizontal="left" vertical="top" wrapText="1"/>
    </x:xf>
    <x:xf numFmtId="0" fontId="45" fillId="99" borderId="26" xfId="0" applyNumberFormat="1" applyFont="1" applyFill="1" applyBorder="1" applyAlignment="1">
      <x:alignment horizontal="left" vertical="top" wrapText="1"/>
    </x:xf>
    <x:xf numFmtId="0" fontId="45" fillId="99" borderId="26" xfId="0" applyNumberFormat="1" applyFont="1" applyFill="1" applyBorder="1" applyAlignment="1">
      <x:alignment horizontal="center" vertical="top" wrapText="1"/>
    </x:xf>
    <x:xf numFmtId="0" fontId="45" fillId="99" borderId="26" xfId="0" applyNumberFormat="1" applyFont="1" applyFill="1" applyBorder="1" applyAlignment="1">
      <x:alignment horizontal="center" vertical="center" wrapText="1"/>
    </x:xf>
    <x:xf numFmtId="0" fontId="4" fillId="91" borderId="13" xfId="0" applyNumberFormat="1" applyFont="1" applyFill="1" applyBorder="1" applyAlignment="1">
      <x:alignment vertical="center" wrapText="1"/>
    </x:xf>
    <x:xf numFmtId="164" fontId="4" fillId="91" borderId="13" xfId="0" applyNumberFormat="1" applyFont="1" applyFill="1" applyBorder="1" applyAlignment="1">
      <x:alignment vertical="center" wrapText="1"/>
    </x:xf>
    <x:xf numFmtId="0" fontId="41" fillId="91" borderId="13" xfId="0" applyNumberFormat="1" applyFont="1" applyFill="1" applyBorder="1" applyAlignment="1">
      <x:alignment vertical="center" wrapText="1"/>
    </x:xf>
    <x:xf numFmtId="164" fontId="41" fillId="91" borderId="13" xfId="0" applyNumberFormat="1" applyFont="1" applyFill="1" applyBorder="1" applyAlignment="1">
      <x:alignment vertical="center" wrapText="1"/>
    </x:xf>
    <x:xf numFmtId="0" fontId="41" fillId="91" borderId="28" xfId="0" applyNumberFormat="1" applyFont="1" applyFill="1" applyBorder="1" applyAlignment="1">
      <x:alignment vertical="center" wrapText="1"/>
    </x:xf>
    <x:xf numFmtId="164" fontId="41" fillId="91" borderId="28" xfId="0" applyNumberFormat="1" applyFont="1" applyFill="1" applyBorder="1" applyAlignment="1">
      <x:alignment vertical="center" wrapText="1"/>
    </x:xf>
    <x:xf numFmtId="164" fontId="41" fillId="91" borderId="28" xfId="0" applyNumberFormat="1" applyFont="1" applyFill="1" applyBorder="1" applyAlignment="1">
      <x:alignment horizontal="right" vertical="center" wrapText="1"/>
    </x:xf>
    <x:xf numFmtId="0" fontId="9" fillId="97" borderId="1" xfId="0" applyNumberFormat="1" applyFont="1" applyFill="1" applyBorder="1" applyAlignment="1">
      <x:alignment vertical="top" wrapText="1"/>
    </x:xf>
    <x:xf numFmtId="164" fontId="9" fillId="97" borderId="1" xfId="0" applyNumberFormat="1" applyFont="1" applyFill="1" applyBorder="1" applyAlignment="1">
      <x:alignment vertical="top" wrapText="1"/>
    </x:xf>
    <x:xf numFmtId="0" fontId="43" fillId="97" borderId="1" xfId="0" applyNumberFormat="1" applyFont="1" applyFill="1" applyBorder="1" applyAlignment="1">
      <x:alignment vertical="top" wrapText="1"/>
    </x:xf>
    <x:xf numFmtId="164" fontId="43" fillId="97" borderId="1" xfId="0" applyNumberFormat="1" applyFont="1" applyFill="1" applyBorder="1" applyAlignment="1">
      <x:alignment vertical="top" wrapText="1"/>
    </x:xf>
    <x:xf numFmtId="0" fontId="43" fillId="97" borderId="26" xfId="0" applyNumberFormat="1" applyFont="1" applyFill="1" applyBorder="1" applyAlignment="1">
      <x:alignment vertical="top" wrapText="1"/>
    </x:xf>
    <x:xf numFmtId="164" fontId="43" fillId="97" borderId="26" xfId="0" applyNumberFormat="1" applyFont="1" applyFill="1" applyBorder="1" applyAlignment="1">
      <x:alignment vertical="top" wrapText="1"/>
    </x:xf>
    <x:xf numFmtId="0" fontId="43" fillId="97" borderId="26" xfId="0" applyNumberFormat="1" applyFont="1" applyFill="1" applyBorder="1" applyAlignment="1">
      <x:alignment horizontal="left" vertical="top" wrapText="1"/>
    </x:xf>
    <x:xf numFmtId="164" fontId="43" fillId="97" borderId="26" xfId="0" applyNumberFormat="1" applyFont="1" applyFill="1" applyBorder="1" applyAlignment="1">
      <x:alignment horizontal="left" vertical="top" wrapText="1"/>
    </x:xf>
    <x:xf numFmtId="0" fontId="49" fillId="97" borderId="26" xfId="0" applyNumberFormat="1" applyFont="1" applyFill="1" applyBorder="1" applyAlignment="1">
      <x:alignment horizontal="left" vertical="top" wrapText="1"/>
    </x:xf>
    <x:xf numFmtId="0" fontId="43" fillId="99" borderId="26" xfId="0" applyNumberFormat="1" applyFont="1" applyFill="1" applyBorder="1" applyAlignment="1">
      <x:alignment horizontal="left" vertical="top" wrapText="1"/>
    </x:xf>
    <x:xf numFmtId="0" fontId="32" fillId="92" borderId="0" xfId="0" applyNumberFormat="1" applyFont="1" applyFill="1" applyBorder="1" applyAlignment="1">
      <x:alignment vertical="center" wrapText="1"/>
    </x:xf>
    <x:xf numFmtId="0" fontId="8" fillId="94" borderId="20" xfId="0" applyNumberFormat="1" applyFont="1" applyFill="1" applyBorder="1" applyAlignment="1">
      <x:alignment vertical="center" wrapText="1"/>
    </x:xf>
    <x:xf numFmtId="0" fontId="44" fillId="94" borderId="20" xfId="0" applyNumberFormat="1" applyFont="1" applyFill="1" applyBorder="1" applyAlignment="1">
      <x:alignment vertical="center" wrapText="1"/>
    </x:xf>
    <x:xf numFmtId="0" fontId="6" fillId="100" borderId="13" xfId="0" applyNumberFormat="1" applyFont="1" applyFill="1" applyBorder="1" applyAlignment="1">
      <x:alignment horizontal="center" vertical="center" wrapText="1"/>
    </x:xf>
    <x:xf numFmtId="0" fontId="46" fillId="100" borderId="13" xfId="0" applyNumberFormat="1" applyFont="1" applyFill="1" applyBorder="1" applyAlignment="1">
      <x:alignment horizontal="center" vertical="center" wrapText="1"/>
    </x:xf>
    <x:xf numFmtId="0" fontId="46" fillId="100" borderId="26" xfId="0" applyNumberFormat="1" applyFont="1" applyFill="1" applyBorder="1" applyAlignment="1">
      <x:alignment horizontal="center" vertical="center" wrapText="1"/>
    </x:xf>
    <x:xf numFmtId="0" fontId="8" fillId="98" borderId="20" xfId="0" applyNumberFormat="1" applyFont="1" applyFill="1" applyBorder="1" applyAlignment="1">
      <x:alignment vertical="center" wrapText="1"/>
    </x:xf>
    <x:xf numFmtId="0" fontId="0" fillId="98" borderId="0" xfId="0" applyNumberFormat="1" applyFont="1" applyFill="1" applyBorder="1"/>
    <x:xf numFmtId="0" fontId="44" fillId="98" borderId="20" xfId="0" applyNumberFormat="1" applyFont="1" applyFill="1" applyBorder="1" applyAlignment="1">
      <x:alignment vertical="center" wrapText="1"/>
    </x:xf>
    <x:xf numFmtId="0" fontId="44" fillId="98" borderId="0" xfId="0" applyNumberFormat="1" applyFont="1" applyFill="1" applyBorder="1"/>
    <x:xf numFmtId="0" fontId="44" fillId="98" borderId="26" xfId="0" applyNumberFormat="1" applyFont="1" applyFill="1" applyBorder="1" applyAlignment="1">
      <x:alignment vertical="center" wrapText="1"/>
    </x:xf>
    <x:xf numFmtId="0" fontId="44" fillId="98" borderId="26" xfId="0" applyNumberFormat="1" applyFont="1" applyFill="1" applyBorder="1"/>
    <x:xf numFmtId="0" fontId="44" fillId="98" borderId="26" xfId="0" applyNumberFormat="1" applyFont="1" applyFill="1" applyBorder="1" applyAlignment="1">
      <x:alignment wrapText="1"/>
    </x:xf>
    <x:xf numFmtId="0" fontId="44" fillId="98" borderId="26" xfId="0" applyNumberFormat="1" applyFont="1" applyFill="1" applyBorder="1" applyAlignment="1">
      <x:alignment horizontal="left" vertical="center" wrapText="1"/>
    </x:xf>
    <x:xf numFmtId="0" fontId="44" fillId="98" borderId="26" xfId="0" applyNumberFormat="1" applyFont="1" applyFill="1" applyBorder="1" applyAlignment="1">
      <x:alignment horizontal="left" wrapText="1"/>
    </x:xf>
    <x:xf numFmtId="200" fontId="0" fillId="94" borderId="0" xfId="0" applyNumberFormat="1" applyFont="1" applyFill="1" applyBorder="1" applyAlignment="1">
      <x:alignment wrapText="1"/>
    </x:xf>
    <x:xf numFmtId="200" fontId="44" fillId="94" borderId="0" xfId="0" applyNumberFormat="1" applyFont="1" applyFill="1" applyBorder="1" applyAlignment="1">
      <x:alignment wrapText="1"/>
    </x:xf>
    <x:xf numFmtId="200" fontId="44" fillId="94" borderId="26" xfId="0" applyNumberFormat="1" applyFont="1" applyFill="1" applyBorder="1" applyAlignment="1">
      <x:alignment wrapText="1"/>
    </x:xf>
    <x:xf numFmtId="200" fontId="44" fillId="94" borderId="26" xfId="0" applyNumberFormat="1" applyFont="1" applyFill="1" applyBorder="1" applyAlignment="1">
      <x:alignment horizontal="left" wrapText="1"/>
    </x:xf>
    <x:xf numFmtId="200" fontId="44" fillId="94" borderId="26" xfId="0" applyNumberFormat="1" applyFont="1" applyFill="1" applyBorder="1" applyAlignment="1">
      <x:alignment horizontal="left" vertical="top" wrapText="1"/>
    </x:xf>
    <x:xf numFmtId="200" fontId="44" fillId="97" borderId="26" xfId="0" applyNumberFormat="1" applyFont="1" applyFill="1" applyBorder="1" applyAlignment="1">
      <x:alignment horizontal="left" vertical="top" wrapText="1"/>
    </x:xf>
    <x:xf numFmtId="200" fontId="50" fillId="97" borderId="26" xfId="0" applyNumberFormat="1" applyFont="1" applyFill="1" applyBorder="1" applyAlignment="1">
      <x:alignment horizontal="left" vertical="top" wrapText="1"/>
    </x:xf>
    <x:xf numFmtId="200" fontId="50" fillId="97" borderId="26" xfId="0" applyNumberFormat="1" applyFont="1" applyFill="1" applyBorder="1" applyAlignment="1">
      <x:alignment horizontal="center" vertical="top" wrapText="1"/>
    </x:xf>
    <x:xf numFmtId="200" fontId="50" fillId="97" borderId="26" xfId="0" applyNumberFormat="1" applyFont="1" applyFill="1" applyBorder="1" applyAlignment="1">
      <x:alignment horizontal="center" vertical="center" wrapText="1"/>
    </x:xf>
    <x:xf numFmtId="0" fontId="6" fillId="93" borderId="0" xfId="0" applyNumberFormat="1" applyFont="1" applyFill="1" applyBorder="1" applyAlignment="1">
      <x:alignment horizontal="center" vertical="center"/>
    </x:xf>
    <x:xf numFmtId="0" fontId="41" fillId="93" borderId="0" xfId="0" applyNumberFormat="1" applyFont="1" applyFill="1" applyBorder="1" applyAlignment="1">
      <x:alignment horizontal="center" vertical="center"/>
    </x:xf>
    <x:xf numFmtId="0" fontId="41" fillId="93" borderId="29" xfId="0" applyNumberFormat="1" applyFont="1" applyFill="1" applyBorder="1" applyAlignment="1">
      <x:alignment horizontal="center" vertical="center"/>
    </x:xf>
    <x:xf numFmtId="0" fontId="6" fillId="101" borderId="0" xfId="0" applyNumberFormat="1" applyFont="1" applyFill="1" applyBorder="1" applyAlignment="1">
      <x:alignment horizontal="center" vertical="center"/>
    </x:xf>
    <x:xf numFmtId="0" fontId="41" fillId="101" borderId="0" xfId="0" applyNumberFormat="1" applyFont="1" applyFill="1" applyBorder="1" applyAlignment="1">
      <x:alignment horizontal="center" vertical="center"/>
    </x:xf>
    <x:xf numFmtId="0" fontId="41" fillId="101" borderId="29" xfId="0" applyNumberFormat="1" applyFont="1" applyFill="1" applyBorder="1" applyAlignment="1">
      <x:alignment horizontal="center" vertical="center"/>
    </x:xf>
    <x:xf numFmtId="0" fontId="6" fillId="102" borderId="0" xfId="0" applyNumberFormat="1" applyFont="1" applyFill="1" applyBorder="1" applyAlignment="1">
      <x:alignment horizontal="center" vertical="center"/>
    </x:xf>
    <x:xf numFmtId="0" fontId="41" fillId="102" borderId="0" xfId="0" applyNumberFormat="1" applyFont="1" applyFill="1" applyBorder="1" applyAlignment="1">
      <x:alignment horizontal="center" vertical="center"/>
    </x:xf>
    <x:xf numFmtId="0" fontId="41" fillId="102" borderId="29" xfId="0" applyNumberFormat="1" applyFont="1" applyFill="1" applyBorder="1" applyAlignment="1">
      <x:alignment horizontal="center" vertical="center"/>
    </x:xf>
    <x:xf numFmtId="0" fontId="6" fillId="100" borderId="0" xfId="0" applyNumberFormat="1" applyFont="1" applyFill="1" applyBorder="1" applyAlignment="1">
      <x:alignment horizontal="center" vertical="center"/>
    </x:xf>
    <x:xf numFmtId="0" fontId="41" fillId="100" borderId="0" xfId="0" applyNumberFormat="1" applyFont="1" applyFill="1" applyBorder="1" applyAlignment="1">
      <x:alignment horizontal="center" vertical="center"/>
    </x:xf>
    <x:xf numFmtId="0" fontId="41" fillId="100" borderId="29" xfId="0" applyNumberFormat="1" applyFont="1" applyFill="1" applyBorder="1" applyAlignment="1">
      <x:alignment horizontal="center" vertical="center"/>
    </x:xf>
    <x:xf numFmtId="0" fontId="8" fillId="94" borderId="0" xfId="0" applyNumberFormat="1" applyFont="1" applyFill="1" applyBorder="1" applyAlignment="1">
      <x:alignment vertical="top" wrapText="1"/>
    </x:xf>
    <x:xf numFmtId="164" fontId="36" fillId="94" borderId="0" xfId="0" applyNumberFormat="1" applyFont="1" applyFill="1" applyBorder="1" applyAlignment="1">
      <x:alignment horizontal="center" vertical="center"/>
    </x:xf>
    <x:xf numFmtId="0" fontId="44" fillId="94" borderId="0" xfId="0" applyNumberFormat="1" applyFont="1" applyFill="1" applyBorder="1" applyAlignment="1">
      <x:alignment vertical="top" wrapText="1"/>
    </x:xf>
    <x:xf numFmtId="164" fontId="43" fillId="94" borderId="0" xfId="0" applyNumberFormat="1" applyFont="1" applyFill="1" applyBorder="1" applyAlignment="1">
      <x:alignment horizontal="center" vertical="center"/>
    </x:xf>
    <x:xf numFmtId="164" fontId="43" fillId="94" borderId="26" xfId="0" applyNumberFormat="1" applyFont="1" applyFill="1" applyBorder="1" applyAlignment="1">
      <x:alignment horizontal="center" vertical="center"/>
    </x:xf>
    <x:xf numFmtId="164" fontId="43" fillId="94" borderId="26" xfId="0" applyNumberFormat="1" applyFont="1" applyFill="1" applyBorder="1" applyAlignment="1">
      <x:alignment horizontal="center" vertical="center" wrapText="1"/>
    </x:xf>
    <x:xf numFmtId="164" fontId="43" fillId="94" borderId="26" xfId="0" applyNumberFormat="1" applyFont="1" applyFill="1" applyBorder="1" applyAlignment="1">
      <x:alignment horizontal="left" vertical="center" wrapText="1"/>
    </x:xf>
    <x:xf numFmtId="164" fontId="43" fillId="94" borderId="26" xfId="0" applyNumberFormat="1" applyFont="1" applyFill="1" applyBorder="1" applyAlignment="1">
      <x:alignment horizontal="left" vertical="top" wrapText="1"/>
    </x:xf>
    <x:xf numFmtId="164" fontId="50" fillId="97" borderId="26" xfId="0" applyNumberFormat="1" applyFont="1" applyFill="1" applyBorder="1" applyAlignment="1">
      <x:alignment horizontal="left" vertical="top" wrapText="1"/>
    </x:xf>
    <x:xf numFmtId="164" fontId="50" fillId="97" borderId="26" xfId="0" applyNumberFormat="1" applyFont="1" applyFill="1" applyBorder="1" applyAlignment="1">
      <x:alignment horizontal="center" vertical="top" wrapText="1"/>
    </x:xf>
    <x:xf numFmtId="164" fontId="50" fillId="97" borderId="26" xfId="0" applyNumberFormat="1" applyFont="1" applyFill="1" applyBorder="1" applyAlignment="1">
      <x:alignment horizontal="center" vertical="center" wrapText="1"/>
    </x:xf>
    <x:xf numFmtId="0" fontId="51" fillId="98" borderId="26" xfId="0" applyNumberFormat="1" applyFont="1" applyFill="1" applyBorder="1" applyAlignment="1">
      <x:alignment horizontal="left" vertical="top" wrapText="1"/>
    </x:xf>
    <x:xf numFmtId="0" fontId="44" fillId="97" borderId="26" xfId="0" applyNumberFormat="1" applyFont="1" applyFill="1" applyBorder="1" applyAlignment="1">
      <x:alignment horizontal="left" vertical="center" wrapText="1"/>
    </x:xf>
    <x:xf numFmtId="164" fontId="47" fillId="98" borderId="26" xfId="0" applyNumberFormat="1" applyFont="1" applyFill="1" applyBorder="1" applyAlignment="1">
      <x:alignment horizontal="right" vertical="center" wrapText="1"/>
    </x:xf>
    <x:xf numFmtId="0" fontId="47" fillId="98" borderId="26" xfId="0" applyNumberFormat="1" applyFont="1" applyFill="1" applyBorder="1" applyAlignment="1">
      <x:alignment horizontal="left" vertical="center" wrapText="1"/>
    </x:xf>
    <x:xf numFmtId="0" fontId="44" fillId="97" borderId="26" xfId="0" applyNumberFormat="1" applyFont="1" applyFill="1" applyBorder="1" applyAlignment="1">
      <x:alignment horizontal="right" vertical="center" wrapText="1"/>
    </x:xf>
    <x:xf numFmtId="164" fontId="44" fillId="97" borderId="26" xfId="0" applyNumberFormat="1" applyFont="1" applyFill="1" applyBorder="1" applyAlignment="1">
      <x:alignment horizontal="left" vertical="center" wrapText="1"/>
    </x:xf>
    <x:xf numFmtId="164" fontId="47" fillId="98" borderId="26" xfId="0" applyNumberFormat="1" applyFont="1" applyFill="1" applyBorder="1" applyAlignment="1">
      <x:alignment horizontal="left" vertical="center" wrapText="1"/>
    </x:xf>
    <x:xf numFmtId="0" fontId="44" fillId="55" borderId="26" xfId="0" applyNumberFormat="1" applyFont="1" applyFill="1" applyBorder="1" applyAlignment="1">
      <x:alignment horizontal="left" vertical="top" wrapText="1"/>
    </x:xf>
    <x:xf numFmtId="0" fontId="41" fillId="91" borderId="28" xfId="0" applyNumberFormat="1" applyFont="1" applyFill="1" applyBorder="1" applyAlignment="1">
      <x:alignment horizontal="left" vertical="center" wrapText="1"/>
    </x:xf>
    <x:xf numFmtId="0" fontId="4" fillId="0" borderId="1" xfId="0" applyNumberFormat="1" applyFont="1" applyFill="1" applyBorder="1" applyAlignment="1">
      <x:alignment horizontal="left" vertical="top" wrapText="1"/>
    </x:xf>
    <x:xf numFmtId="0" fontId="41" fillId="91" borderId="28" xfId="0" applyNumberFormat="1" applyFont="1" applyFill="1" applyBorder="1" applyAlignment="1">
      <x:alignment horizontal="left" vertical="top" wrapText="1"/>
    </x:xf>
    <x:xf numFmtId="164" fontId="4" fillId="7" borderId="1" xfId="0" applyNumberFormat="1" applyFont="1" applyFill="1" applyBorder="1" applyAlignment="1">
      <x:alignment horizontal="right" vertical="top" wrapText="1"/>
    </x:xf>
    <x:xf numFmtId="164" fontId="43" fillId="97" borderId="26" xfId="0" applyNumberFormat="1" applyFont="1" applyFill="1" applyBorder="1" applyAlignment="1">
      <x:alignment horizontal="right" vertical="top" wrapText="1"/>
    </x:xf>
    <x:xf numFmtId="164" fontId="4" fillId="7" borderId="1" xfId="0" applyNumberFormat="1" applyFont="1" applyFill="1" applyBorder="1" applyAlignment="1">
      <x:alignment horizontal="right" vertical="center" wrapText="1"/>
    </x:xf>
    <x:xf numFmtId="164" fontId="43" fillId="97" borderId="26" xfId="0" applyNumberFormat="1" applyFont="1" applyFill="1" applyBorder="1" applyAlignment="1">
      <x:alignment horizontal="right" vertical="center" wrapText="1"/>
    </x:xf>
    <x:xf numFmtId="0" fontId="41" fillId="91" borderId="28" xfId="0" applyNumberFormat="1" applyFont="1" applyFill="1" applyBorder="1" applyAlignment="1">
      <x:alignment horizontal="center" vertical="center" wrapText="1"/>
    </x:xf>
    <x:xf numFmtId="0" fontId="4" fillId="7" borderId="1" xfId="0" applyNumberFormat="1" applyFont="1" applyFill="1" applyBorder="1" applyAlignment="1">
      <x:alignment horizontal="center" vertical="top" wrapText="1"/>
    </x:xf>
    <x:xf numFmtId="0" fontId="4" fillId="7" borderId="1" xfId="0" applyNumberFormat="1" applyFont="1" applyFill="1" applyBorder="1" applyAlignment="1">
      <x:alignment horizontal="center" vertical="center" wrapText="1"/>
    </x:xf>
    <x:xf numFmtId="0" fontId="44" fillId="55" borderId="26" xfId="0" applyNumberFormat="1" applyFont="1" applyFill="1" applyBorder="1" applyAlignment="1">
      <x:alignment horizontal="right" vertical="top" wrapText="1"/>
    </x:xf>
    <x:xf numFmtId="0" fontId="44" fillId="55" borderId="26" xfId="0" applyNumberFormat="1" applyFont="1" applyFill="1" applyBorder="1" applyAlignment="1">
      <x:alignment horizontal="right" vertical="center" wrapText="1"/>
    </x:xf>
    <x:xf numFmtId="200" fontId="50" fillId="97" borderId="26" xfId="0" applyNumberFormat="1" applyFont="1" applyFill="1" applyBorder="1" applyAlignment="1">
      <x:alignment horizontal="right" vertical="center" wrapText="1"/>
    </x:xf>
    <x:xf numFmtId="164" fontId="50" fillId="97" borderId="26" xfId="0" applyNumberFormat="1" applyFont="1" applyFill="1" applyBorder="1" applyAlignment="1">
      <x:alignment horizontal="right" vertical="center" wrapText="1"/>
    </x:xf>
    <x:xf numFmtId="0" fontId="0" fillId="0" borderId="26" xfId="0" applyNumberFormat="1" applyFont="1" applyFill="1" applyBorder="1"/>
    <x:xf numFmtId="0" fontId="44" fillId="0" borderId="26" xfId="0" applyNumberFormat="1" applyFont="1" applyFill="1" applyBorder="1"/>
    <x:xf numFmtId="0" fontId="44" fillId="0" borderId="26" xfId="0" applyNumberFormat="1" applyFont="1" applyFill="1" applyBorder="1" applyAlignment="1">
      <x:alignment horizontal="left"/>
    </x:xf>
    <x:xf numFmtId="0" fontId="44" fillId="0" borderId="26" xfId="0" applyNumberFormat="1" applyFont="1" applyFill="1" applyBorder="1" applyAlignment="1">
      <x:alignment horizontal="left" vertical="top"/>
    </x:xf>
    <x:xf numFmtId="0" fontId="44" fillId="0" borderId="26" xfId="0" applyNumberFormat="1" applyFont="1" applyFill="1" applyBorder="1" applyAlignment="1">
      <x:alignment horizontal="left" vertical="top" wrapText="1"/>
    </x:xf>
    <x:xf numFmtId="0" fontId="44" fillId="103" borderId="26" xfId="0" applyNumberFormat="1" applyFont="1" applyFill="1" applyBorder="1" applyAlignment="1">
      <x:alignment horizontal="left" vertical="top" wrapText="1"/>
    </x:xf>
    <x:xf numFmtId="0" fontId="44" fillId="104" borderId="26" xfId="0" applyNumberFormat="1" applyFont="1" applyFill="1" applyBorder="1" applyAlignment="1">
      <x:alignment horizontal="left" vertical="top" wrapText="1"/>
    </x:xf>
    <x:xf numFmtId="0" fontId="44" fillId="105" borderId="26" xfId="0" applyNumberFormat="1" applyFont="1" applyFill="1" applyBorder="1" applyAlignment="1">
      <x:alignment horizontal="left" vertical="top" wrapText="1"/>
    </x:xf>
    <x:xf numFmtId="0" fontId="51" fillId="103" borderId="26" xfId="0" applyNumberFormat="1" applyFont="1" applyFill="1" applyBorder="1" applyAlignment="1">
      <x:alignment horizontal="left" vertical="top" wrapText="1"/>
    </x:xf>
    <x:xf numFmtId="0" fontId="0" fillId="106" borderId="26" xfId="0" applyNumberFormat="1" applyFont="1" applyFill="1" applyBorder="1"/>
    <x:xf numFmtId="0" fontId="50" fillId="106" borderId="26" xfId="0" applyNumberFormat="1" applyFont="1" applyFill="1" applyBorder="1"/>
    <x:xf numFmtId="0" fontId="50" fillId="106" borderId="26" xfId="0" applyNumberFormat="1" applyFont="1" applyFill="1" applyBorder="1" applyAlignment="1">
      <x:alignment horizontal="right"/>
    </x:xf>
    <x:xf numFmtId="0" fontId="50" fillId="106" borderId="26" xfId="0" applyNumberFormat="1" applyFont="1" applyFill="1" applyBorder="1" applyAlignment="1">
      <x:alignment horizontal="right" vertical="center"/>
    </x:xf>
    <x:xf numFmtId="0" fontId="50" fillId="106" borderId="26" xfId="0" applyNumberFormat="1" applyFont="1" applyFill="1" applyBorder="1" applyAlignment="1">
      <x:alignment horizontal="right" vertical="center" wrapText="1"/>
    </x:xf>
    <x:xf numFmtId="164" fontId="50" fillId="106" borderId="26" xfId="0" applyNumberFormat="1" applyFont="1" applyFill="1" applyBorder="1" applyAlignment="1">
      <x:alignment horizontal="right" vertical="center" wrapText="1"/>
    </x:xf>
    <x:xf numFmtId="0" fontId="44" fillId="0" borderId="0" xfId="0" applyNumberFormat="1" applyFont="1" applyFill="1" applyBorder="1"/>
    <x:xf numFmtId="0" fontId="44" fillId="0" borderId="0" xfId="0" applyNumberFormat="1" applyFont="1" applyFill="1" applyBorder="1" applyAlignment="1">
      <x:alignment horizontal="center"/>
    </x:xf>
    <x:xf numFmtId="0" fontId="44" fillId="0" borderId="0" xfId="0" applyNumberFormat="1" applyFont="1" applyFill="1" applyBorder="1" applyAlignment="1">
      <x:alignment horizontal="center" vertical="center"/>
    </x:xf>
    <x:xf numFmtId="0" fontId="44" fillId="0" borderId="0" xfId="0" applyNumberFormat="1" applyFont="1" applyFill="1" applyBorder="1" applyAlignment="1">
      <x:alignment horizontal="center" vertical="center" wrapText="1"/>
    </x:xf>
    <x:xf numFmtId="0" fontId="44" fillId="0" borderId="0" xfId="0" applyNumberFormat="1" applyFont="1" applyFill="1" applyBorder="1" applyAlignment="1">
      <x:alignment horizontal="left"/>
    </x:xf>
    <x:xf numFmtId="0" fontId="44" fillId="0" borderId="0" xfId="0" applyNumberFormat="1" applyFont="1" applyFill="1" applyBorder="1" applyAlignment="1">
      <x:alignment horizontal="left" vertical="top"/>
    </x:xf>
    <x:xf numFmtId="0" fontId="44" fillId="0" borderId="0" xfId="0" applyNumberFormat="1" applyFont="1" applyFill="1" applyBorder="1" applyAlignment="1">
      <x:alignment horizontal="left" vertical="top" wrapText="1"/>
    </x:xf>
    <x:xf numFmtId="0" fontId="0" fillId="107" borderId="0" xfId="0" applyNumberFormat="1" applyFont="1" applyFill="1" applyBorder="1"/>
    <x:xf numFmtId="0" fontId="6" fillId="107" borderId="0" xfId="0" applyNumberFormat="1" applyFont="1" applyFill="1" applyBorder="1"/>
    <x:xf numFmtId="0" fontId="6" fillId="107" borderId="0" xfId="0" applyNumberFormat="1" applyFont="1" applyFill="1" applyBorder="1" applyAlignment="1">
      <x:alignment horizontal="left"/>
    </x:xf>
    <x:xf numFmtId="0" fontId="6" fillId="107" borderId="0" xfId="0" applyNumberFormat="1" applyFont="1" applyFill="1" applyBorder="1" applyAlignment="1">
      <x:alignment horizontal="left" vertical="center"/>
    </x:xf>
    <x:xf numFmtId="0" fontId="0" fillId="108" borderId="0" xfId="0" applyNumberFormat="1" applyFont="1" applyFill="1" applyBorder="1"/>
    <x:xf numFmtId="0" fontId="52" fillId="108" borderId="0" xfId="0" applyNumberFormat="1" applyFont="1" applyFill="1" applyBorder="1"/>
    <x:xf numFmtId="0" fontId="52" fillId="108" borderId="0" xfId="0" applyNumberFormat="1" applyFont="1" applyFill="1" applyBorder="1" applyAlignment="1">
      <x:alignment horizontal="left"/>
    </x:xf>
    <x:xf numFmtId="0" fontId="52" fillId="108" borderId="0" xfId="0" applyNumberFormat="1" applyFont="1" applyFill="1" applyBorder="1" applyAlignment="1">
      <x:alignment horizontal="left" vertical="center"/>
    </x:xf>
    <x:xf numFmtId="0" fontId="0" fillId="109" borderId="0" xfId="0" applyNumberFormat="1" applyFont="1" applyFill="1" applyBorder="1"/>
    <x:xf numFmtId="0" fontId="53" fillId="109" borderId="0" xfId="0" applyNumberFormat="1" applyFont="1" applyFill="1" applyBorder="1"/>
    <x:xf numFmtId="0" fontId="53" fillId="109" borderId="0" xfId="0" applyNumberFormat="1" applyFont="1" applyFill="1" applyBorder="1" applyAlignment="1">
      <x:alignment horizontal="left"/>
    </x:xf>
    <x:xf numFmtId="0" fontId="53" fillId="109" borderId="0" xfId="0" applyNumberFormat="1" applyFont="1" applyFill="1" applyBorder="1" applyAlignment="1">
      <x:alignment horizontal="left" vertical="center"/>
    </x:xf>
  </x:cellXfs>
  <x:cellStyles count="49">
    <x:cellStyle name="Normal" xfId="0"/>
    <x:cellStyle name="Comma" xfId="1"/>
    <x:cellStyle name="Currency" xfId="2"/>
    <x:cellStyle name="Percent" xfId="3"/>
    <x:cellStyle name="Comma [0]" xfId="4"/>
    <x:cellStyle name="Currency [0]" xfId="5"/>
    <x:cellStyle name="Link" xfId="6"/>
    <x:cellStyle name="Followed Hyperlink" xfId="7"/>
    <x:cellStyle name="Note" xfId="8"/>
    <x:cellStyle name="Warning Text" xfId="9"/>
    <x:cellStyle name="Title" xfId="10"/>
    <x:cellStyle name="Explanatory Text" xfId="11"/>
    <x:cellStyle name="Heading 1" xfId="12"/>
    <x:cellStyle name="Heading 2" xfId="13"/>
    <x:cellStyle name="Heading 3" xfId="14"/>
    <x:cellStyle name="Heading 4" xfId="15"/>
    <x:cellStyle name="Input" xfId="16"/>
    <x:cellStyle name="Output" xfId="17"/>
    <x:cellStyle name="Calculation" xfId="18"/>
    <x:cellStyle name="Check Cell" xfId="19"/>
    <x:cellStyle name="Linked Cell" xfId="20"/>
    <x:cellStyle name="Total" xfId="21"/>
    <x:cellStyle name="Good" xfId="22"/>
    <x:cellStyle name="Bad" xfId="23"/>
    <x:cellStyle name="Neutral" xfId="24"/>
    <x:cellStyle name="Accent1" xfId="25"/>
    <x:cellStyle name="20% - Accent1" xfId="26"/>
    <x:cellStyle name="40% - Accent1" xfId="27"/>
    <x:cellStyle name="60% - Accent1" xfId="28"/>
    <x:cellStyle name="Accent2" xfId="29"/>
    <x:cellStyle name="20% - Accent2" xfId="30"/>
    <x:cellStyle name="40% - Accent2" xfId="31"/>
    <x:cellStyle name="60% - Accent2" xfId="32"/>
    <x:cellStyle name="Accent3" xfId="33"/>
    <x:cellStyle name="20% - Accent3" xfId="34"/>
    <x:cellStyle name="40% - Accent3" xfId="35"/>
    <x:cellStyle name="60% - Accent3" xfId="36"/>
    <x:cellStyle name="Accent4" xfId="37"/>
    <x:cellStyle name="20% - Accent4" xfId="38"/>
    <x:cellStyle name="40% - Accent4" xfId="39"/>
    <x:cellStyle name="60% - Accent4" xfId="40"/>
    <x:cellStyle name="Accent5" xfId="41"/>
    <x:cellStyle name="20% - Accent5" xfId="42"/>
    <x:cellStyle name="40% - Accent5" xfId="43"/>
    <x:cellStyle name="60% - Accent5" xfId="44"/>
    <x:cellStyle name="Accent6" xfId="45"/>
    <x:cellStyle name="20% - Accent6" xfId="46"/>
    <x:cellStyle name="40% - Accent6" xfId="47"/>
    <x:cellStyle name="60% - Accent6" xfId="48"/>
  </x:cellStyles>
  <x:dxfs count="37">
    <x:dxf>
      <x:font>
        <x:b/>
        <x:color rgb="FF006100"/>
      </x:font>
      <x:fill>
        <x:patternFill>
          <x:bgColor rgb="FFE2F0D9"/>
        </x:patternFill>
      </x:fill>
    </x:dxf>
    <x:dxf>
      <x:font>
        <x:b/>
        <x:color rgb="FF9C0006"/>
      </x:font>
      <x:fill>
        <x:patternFill>
          <x:bgColor rgb="FFFCE4D6"/>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
      <x:font>
        <x:color rgb="FF006100"/>
      </x:font>
      <x:fill>
        <x:patternFill>
          <x:bgColor rgb="FFE2F0D9"/>
        </x:patternFill>
      </x:fill>
    </x:dxf>
    <x:dxf>
      <x:font>
        <x:color rgb="FF9C0006"/>
      </x:font>
      <x:fill>
        <x:patternFill>
          <x:bgColor rgb="FFFCE4D6"/>
        </x:patternFill>
      </x:fill>
    </x:dxf>
    <x:dxf>
      <x:font>
        <x:color rgb="FF006100"/>
      </x:font>
      <x:fill>
        <x:patternFill>
          <x:bgColor rgb="FFE2F0D9"/>
        </x:patternFill>
      </x:fill>
    </x:dxf>
    <x:dxf>
      <x:font>
        <x:color rgb="FF9C0006"/>
      </x:font>
      <x:fill>
        <x:patternFill>
          <x:bgColor rgb="FFFCE4D6"/>
        </x:patternFill>
      </x:fill>
    </x:dxf>
    <x:dxf>
      <x:font>
        <x:color rgb="FF006100"/>
      </x:font>
      <x:fill>
        <x:patternFill>
          <x:bgColor rgb="FFE2F0D9"/>
        </x:patternFill>
      </x:fill>
    </x:dxf>
    <x:dxf>
      <x:font>
        <x:color rgb="FF9C0006"/>
      </x:font>
      <x:fill>
        <x:patternFill>
          <x:bgColor rgb="FFFCE4D6"/>
        </x:patternFill>
      </x:fill>
    </x:dxf>
    <x:dxf>
      <x:font>
        <x:color rgb="FF006100"/>
      </x:font>
      <x:fill>
        <x:patternFill>
          <x:bgColor rgb="FFE2F0D9"/>
        </x:patternFill>
      </x:fill>
    </x:dxf>
    <x:dxf>
      <x:font>
        <x:color rgb="FF9C0006"/>
      </x:font>
      <x:fill>
        <x:patternFill>
          <x:bgColor rgb="FFFCE4D6"/>
        </x:patternFill>
      </x:fill>
    </x:dxf>
    <x:dxf>
      <x:font>
        <x:color rgb="FF006100"/>
      </x:font>
      <x:fill>
        <x:patternFill>
          <x:bgColor rgb="FFE2F0D9"/>
        </x:patternFill>
      </x:fill>
    </x:dxf>
    <x:dxf>
      <x:font>
        <x:color rgb="FF9C0006"/>
      </x:font>
      <x:fill>
        <x:patternFill>
          <x:bgColor rgb="FFFCE4D6"/>
        </x:patternFill>
      </x:fill>
    </x:dxf>
    <x:dxf>
      <x:font>
        <x:color rgb="FF006100"/>
      </x:font>
      <x:fill>
        <x:patternFill>
          <x:bgColor rgb="FFE2F0D9"/>
        </x:patternFill>
      </x:fill>
    </x:dxf>
    <x:dxf>
      <x:font>
        <x:color rgb="FF9C0006"/>
      </x:font>
      <x:fill>
        <x:patternFill>
          <x:bgColor rgb="FFFCE4D6"/>
        </x:patternFill>
      </x:fill>
    </x:dxf>
    <x:dxf>
      <x:font>
        <x:color rgb="FF006100"/>
      </x:font>
      <x:fill>
        <x:patternFill>
          <x:bgColor rgb="FFE2F0D9"/>
        </x:patternFill>
      </x:fill>
    </x:dxf>
    <x:dxf>
      <x:font>
        <x:color rgb="FF9C0006"/>
      </x:font>
      <x:fill>
        <x:patternFill>
          <x:bgColor rgb="FFFCE4D6"/>
        </x:patternFill>
      </x:fill>
    </x:dxf>
    <x:dxf>
      <x:font>
        <x:color rgb="FF006100"/>
      </x:font>
      <x:fill>
        <x:patternFill>
          <x:bgColor rgb="FFE2F0D9"/>
        </x:patternFill>
      </x:fill>
    </x:dxf>
    <x:dxf>
      <x:font>
        <x:color rgb="FF9C0006"/>
      </x:font>
      <x:fill>
        <x:patternFill>
          <x:bgColor rgb="FFFCE4D6"/>
        </x:patternFill>
      </x:fill>
    </x:dxf>
    <x:dxf>
      <x:font>
        <x:color rgb="FF006100"/>
      </x:font>
      <x:fill>
        <x:patternFill patternType="solid">
          <x:bgColor rgb="FFE2F0D9"/>
        </x:patternFill>
      </x:fill>
    </x:dxf>
    <x:dxf>
      <x:font>
        <x:color rgb="FF9C0006"/>
      </x:font>
      <x:fill>
        <x:patternFill patternType="solid">
          <x:bgColor rgb="FF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b5ffee8fe224d25" /><Relationship Type="http://schemas.openxmlformats.org/officeDocument/2006/relationships/theme" Target="/xl/theme/theme1.xml" Id="Rf4e39de8688446cc" /><Relationship Type="http://schemas.openxmlformats.org/officeDocument/2006/relationships/sharedStrings" Target="/xl/sharedStrings.xml" Id="R465a005b01824036" /><Relationship Type="http://schemas.openxmlformats.org/officeDocument/2006/relationships/worksheet" Target="/xl/worksheets/sheet1.xml" Id="Raf46a5a6b82041f0" /><Relationship Type="http://schemas.openxmlformats.org/officeDocument/2006/relationships/worksheet" Target="/xl/worksheets/sheet2.xml" Id="R2d96ef47fa2e4a37" /><Relationship Type="http://schemas.openxmlformats.org/officeDocument/2006/relationships/worksheet" Target="/xl/worksheets/sheet3.xml" Id="R29f20c4962c446d1" /><Relationship Type="http://schemas.openxmlformats.org/officeDocument/2006/relationships/worksheet" Target="/xl/worksheets/sheet4.xml" Id="R2ab7acc00eb54bb0" /><Relationship Type="http://schemas.openxmlformats.org/officeDocument/2006/relationships/worksheet" Target="/xl/worksheets/sheet5.xml" Id="R601069b884ee4986" /><Relationship Type="http://schemas.openxmlformats.org/officeDocument/2006/relationships/worksheet" Target="/xl/worksheets/sheet6.xml" Id="Re439b5d6d8fe4771" /><Relationship Type="http://schemas.openxmlformats.org/officeDocument/2006/relationships/worksheet" Target="/xl/worksheets/sheet7.xml" Id="Rfb4ed52343c742ba" /><Relationship Type="http://schemas.openxmlformats.org/officeDocument/2006/relationships/worksheet" Target="/xl/worksheets/sheet8.xml" Id="R9e15ee74748c4f6d" /><Relationship Type="http://schemas.openxmlformats.org/officeDocument/2006/relationships/worksheet" Target="/xl/worksheets/sheet9.xml" Id="R4bcda49c45c14c1b" /><Relationship Type="http://schemas.openxmlformats.org/officeDocument/2006/relationships/worksheet" Target="/xl/worksheets/sheet10.xml" Id="Rebd045ec577d4927" /><Relationship Type="http://schemas.openxmlformats.org/officeDocument/2006/relationships/worksheet" Target="/xl/worksheets/sheet11.xml" Id="R2b0cf981975f4f67" /><Relationship Type="http://schemas.openxmlformats.org/officeDocument/2006/relationships/worksheet" Target="/xl/worksheets/sheet12.xml" Id="Rae55ac24257b4d9a" /></Relationships>
</file>

<file path=xl/tables/table1.xml><?xml version="1.0" encoding="utf-8"?>
<x:table xmlns:x="http://schemas.openxmlformats.org/spreadsheetml/2006/main" id="45" name="EpicTable" displayName="EpicTable" ref="A4:G5" headerRowCount="1" totalsRowCount="0" totalsRowShown="0">
  <x:tableColumns count="7">
    <x:tableColumn id="1" name="Epic ID"/>
    <x:tableColumn id="2" name="需求类型"/>
    <x:tableColumn id="3" name="需求名称"/>
    <x:tableColumn id="4" name="需求描述"/>
    <x:tableColumn id="5" name="涉及系统/数据"/>
    <x:tableColumn id="6" name="目标结果"/>
    <x:tableColumn id="7" name="公共约束/范围外"/>
  </x:tableColumns>
  <x:tableStyleInfo name="TableStyleMedium2" showFirstColumn="0" showLastColumn="0" showRowStripes="1" showColumnStripes="0"/>
</x:table>
</file>

<file path=xl/tables/table2.xml><?xml version="1.0" encoding="utf-8"?>
<x:table xmlns:x="http://schemas.openxmlformats.org/spreadsheetml/2006/main" id="46" name="FeatureTable" displayName="FeatureTable" ref="A4:I5" headerRowCount="1" totalsRowCount="0" totalsRowShown="0">
  <x:autoFilter ref="A4:I5"/>
  <x:tableColumns count="9">
    <x:tableColumn id="1" name="Feature ID"/>
    <x:tableColumn id="2" name="Epic ID"/>
    <x:tableColumn id="3" name="Epic 名称"/>
    <x:tableColumn id="4" name="子需求名称"/>
    <x:tableColumn id="5" name="场景/范围描述"/>
    <x:tableColumn id="6" name="涉及系统/数据"/>
    <x:tableColumn id="7" name="约束/NFR"/>
    <x:tableColumn id="8" name="来源类型"/>
    <x:tableColumn id="9" name="推断理由"/>
  </x:tableColumns>
  <x:tableStyleInfo name="TableStyleMedium2" showFirstColumn="0" showLastColumn="0" showRowStripes="1" showColumnStripes="0"/>
</x:table>
</file>

<file path=xl/tables/table3.xml><?xml version="1.0" encoding="utf-8"?>
<x:table xmlns:x="http://schemas.openxmlformats.org/spreadsheetml/2006/main" id="36" name="SOWStoryTable" displayName="SOWStoryTable" ref="A4:K5" headerRowCount="1" totalsRowCount="0" totalsRowShown="0">
  <x:tableColumns count="11">
    <x:tableColumn id="1" name="Story ID"/>
    <x:tableColumn id="2" name="Story名称"/>
    <x:tableColumn id="3" name="Feature ID"/>
    <x:tableColumn id="4" name="UAT分母"/>
    <x:tableColumn id="5" name="需求"/>
    <x:tableColumn id="6" name="子需求"/>
    <x:tableColumn id="7" name="验收条件"/>
    <x:tableColumn id="8" name="任务明细"/>
    <x:tableColumn id="9" name="人天"/>
    <x:tableColumn id="10" name="关联假设ID"/>
    <x:tableColumn id="11" name="假设状态"/>
  </x:tableColumns>
  <x:tableStyleInfo name="TableStyleMedium2" showFirstColumn="0" showLastColumn="0" showRowStripes="1" showColumnStripes="0"/>
</x:table>
</file>

<file path=xl/tables/table4.xml><?xml version="1.0" encoding="utf-8"?>
<x:table xmlns:x="http://schemas.openxmlformats.org/spreadsheetml/2006/main" id="4" name="AcceptanceCriterionTable" displayName="AcceptanceCriterionTable" ref="A4:D5" headerRowCount="1" totalsRowCount="0" totalsRowShown="0">
  <x:autoFilter ref="A4:D5"/>
  <x:tableColumns count="4">
    <x:tableColumn id="1" name="AC ID"/>
    <x:tableColumn id="2" name="Story ID"/>
    <x:tableColumn id="3" name="顺序"/>
    <x:tableColumn id="4" name="验收结果"/>
  </x:tableColumns>
  <x:tableStyleInfo name="TableStyleMedium2" showFirstColumn="0" showLastColumn="0" showRowStripes="1" showColumnStripes="0"/>
</x:table>
</file>

<file path=xl/tables/table5.xml><?xml version="1.0" encoding="utf-8"?>
<x:table xmlns:x="http://schemas.openxmlformats.org/spreadsheetml/2006/main" id="37" name="TaskTable" displayName="TaskTable" ref="A4:O5" headerRowCount="1" totalsRowCount="0" totalsRowShown="0">
  <x:tableColumns count="15">
    <x:tableColumn id="1" name="Task ID"/>
    <x:tableColumn id="2" name="Story ID"/>
    <x:tableColumn id="3" name="任务说明"/>
    <x:tableColumn id="4" name="基础单元ID"/>
    <x:tableColumn id="5" name="任务族"/>
    <x:tableColumn id="6" name="工作模式"/>
    <x:tableColumn id="7" name="工作模式理由"/>
    <x:tableColumn id="8" name="复杂度"/>
    <x:tableColumn id="9" name="复杂度理由"/>
    <x:tableColumn id="10" name="Integration ID"/>
    <x:tableColumn id="11" name="系统现状匹配"/>
    <x:tableColumn id="12" name="判断依据与备注"/>
    <x:tableColumn id="13" name="基础人天"/>
    <x:tableColumn id="14" name="复杂度倍率"/>
    <x:tableColumn id="15" name="人天小计"/>
  </x:tableColumns>
  <x:tableStyleInfo name="TableStyleMedium2" showFirstColumn="0" showLastColumn="0" showRowStripes="1" showColumnStripes="0"/>
</x:table>
</file>

<file path=xl/tables/table6.xml><?xml version="1.0" encoding="utf-8"?>
<x:table xmlns:x="http://schemas.openxmlformats.org/spreadsheetml/2006/main" id="38" name="IntegrationTable" displayName="IntegrationTable" ref="A4:M5" headerRowCount="1" totalsRowCount="0" totalsRowShown="0">
  <x:tableColumns count="13">
    <x:tableColumn id="1" name="Integration ID"/>
    <x:tableColumn id="2" name="Story ID"/>
    <x:tableColumn id="3" name="来源"/>
    <x:tableColumn id="4" name="目标"/>
    <x:tableColumn id="5" name="触发条件"/>
    <x:tableColumn id="6" name="方向"/>
    <x:tableColumn id="7" name="业务目的"/>
    <x:tableColumn id="8" name="责任边界"/>
    <x:tableColumn id="9" name="集成Task ID"/>
    <x:tableColumn id="10" name="工作模式"/>
    <x:tableColumn id="11" name="复杂度"/>
    <x:tableColumn id="12" name="支持单价"/>
    <x:tableColumn id="13" name="SIT人天"/>
  </x:tableColumns>
  <x:tableStyleInfo name="TableStyleMedium2" showFirstColumn="0" showLastColumn="0" showRowStripes="1" showColumnStripes="0"/>
</x:table>
</file>

<file path=xl/tables/table7.xml><?xml version="1.0" encoding="utf-8"?>
<x:table xmlns:x="http://schemas.openxmlformats.org/spreadsheetml/2006/main" id="7" name="AssumptionRiskTable" displayName="AssumptionRiskTable" ref="A4:I5" headerRowCount="1" totalsRowCount="0" totalsRowShown="0">
  <x:autoFilter ref="A4:I5"/>
  <x:tableColumns count="9">
    <x:tableColumn id="1" name="假设ID"/>
    <x:tableColumn id="2" name="类型"/>
    <x:tableColumn id="3" name="名称"/>
    <x:tableColumn id="4" name="触发条件"/>
    <x:tableColumn id="5" name="关联 Story ID"/>
    <x:tableColumn id="6" name="责任边界"/>
    <x:tableColumn id="7" name="状态"/>
    <x:tableColumn id="8" name="处理方式"/>
    <x:tableColumn id="9" name="关联 Story 人天">
      <x:calculatedColumnFormula>IF(OR([[#This Row],[关联 Story ID]]="",[[#This Row],状态]&lt;&gt;"待确认"),0,IFERROR(INDEX(SOWStoryTable[人天],MATCH([[#This Row],[关联 Story ID]],SOWStoryTable[Story ID],0)),0))</x:calculatedColumnFormula>
    </x:tableColumn>
  </x:tableColumns>
  <x:tableStyleInfo name="TableStyleMedium2" showFirstColumn="0" showLastColumn="0" showRowStripes="1" showColumnStripes="0"/>
</x:table>
</file>

<file path=xl/tables/table8.xml><?xml version="1.0" encoding="utf-8"?>
<x:table xmlns:x="http://schemas.openxmlformats.org/spreadsheetml/2006/main" id="8" name="ProjectSummaryTable" displayName="ProjectSummaryTable" ref="A4:F12" headerRowCount="1" totalsRowCount="0" totalsRowShown="0">
  <x:autoFilter ref="A4:F12"/>
  <x:tableColumns count="6">
    <x:tableColumn id="1" name="项目行"/>
    <x:tableColumn id="2" name="计算/分母"/>
    <x:tableColumn id="3" name="取整前"/>
    <x:tableColumn id="4" name="开发交付估算人天"/>
    <x:tableColumn id="5" name="口径"/>
    <x:tableColumn id="6" name="校验"/>
  </x:tableColumns>
  <x:tableStyleInfo name="TableStyleMedium2" showFirstColumn="0" showLastColumn="0" showRowStripes="1" showColumnStripes="0"/>
</x:table>
</file>

<file path=xl/tables/table9.xml><?xml version="1.0" encoding="utf-8"?>
<x:table xmlns:x="http://schemas.openxmlformats.org/spreadsheetml/2006/main" id="18" name="AsIsTopicTable" displayName="AsIsTopicTable" ref="A4:G13" headerRowCount="1" totalsRowCount="0" totalsRowShown="0">
  <x:tableColumns count="7">
    <x:tableColumn id="1" name="主题"/>
    <x:tableColumn id="2" name="评估状态"/>
    <x:tableColumn id="3" name="结论"/>
    <x:tableColumn id="4" name="当前事实数"/>
    <x:tableColumn id="5" name="承诺数"/>
    <x:tableColumn id="6" name="有效起点数"/>
    <x:tableColumn id="7" name="未决数"/>
  </x:tableColumns>
  <x:tableStyleInfo name="TableStyleMedium2" showFirstColumn="0" showLastColumn="0" showRowStripes="1" showColumnStripes="0"/>
</x:table>
</file>

<file path=xl/tables/table10.xml><?xml version="1.0" encoding="utf-8"?>
<x:table xmlns:x="http://schemas.openxmlformats.org/spreadsheetml/2006/main" id="19" name="AsIsDetailTable" displayName="AsIsDetailTable" ref="A17:I18" headerRowCount="1" totalsRowCount="0" totalsRowShown="0">
  <x:tableColumns count="9">
    <x:tableColumn id="1" name="主题"/>
    <x:tableColumn id="2" name="记录类型"/>
    <x:tableColumn id="3" name="记录 ID"/>
    <x:tableColumn id="4" name="分类/状态"/>
    <x:tableColumn id="5" name="名称"/>
    <x:tableColumn id="6" name="摘要/理由"/>
    <x:tableColumn id="7" name="关系/流向"/>
    <x:tableColumn id="8" name="关联 ID"/>
    <x:tableColumn id="9" name="证据引用"/>
  </x:tableColumns>
  <x:tableStyleInfo name="TableStyleMedium2" showFirstColumn="0" showLastColumn="0" showRowStripes="1" showColumnStripes="0"/>
</x:table>
</file>

<file path=xl/tables/table11.xml><?xml version="1.0" encoding="utf-8"?>
<x:table xmlns:x="http://schemas.openxmlformats.org/spreadsheetml/2006/main" id="44" name="ProjectParameterTable" displayName="ProjectParameterTable" ref="A4:F12" headerRowCount="1" totalsRowCount="0" totalsRowShown="0">
  <x:tableColumns count="6">
    <x:tableColumn id="1" name="参数代码"/>
    <x:tableColumn id="2" name="名称"/>
    <x:tableColumn id="3" name="值"/>
    <x:tableColumn id="4" name="单位"/>
    <x:tableColumn id="5" name="适用范围"/>
    <x:tableColumn id="6" name="验证状态/说明"/>
  </x:tableColumns>
  <x:tableStyleInfo name="TableStyleMedium2" showFirstColumn="0" showLastColumn="0" showRowStripes="1" showColumnStripes="0"/>
</x:table>
</file>

<file path=xl/tables/table12.xml><?xml version="1.0" encoding="utf-8"?>
<x:table xmlns:x="http://schemas.openxmlformats.org/spreadsheetml/2006/main" id="43" name="BaseUnitCatalogTable" displayName="BaseUnitCatalogTable" ref="A4:N41" headerRowCount="1" totalsRowCount="0" totalsRowShown="0">
  <x:tableColumns count="14">
    <x:tableColumn id="1" name="任务族ID"/>
    <x:tableColumn id="2" name="任务族名称"/>
    <x:tableColumn id="3" name="基础单元ID"/>
    <x:tableColumn id="4" name="基础单元名称"/>
    <x:tableColumn id="5" name="计数口径"/>
    <x:tableColumn id="6" name="包含内容"/>
    <x:tableColumn id="7" name="不包含内容"/>
    <x:tableColumn id="8" name="新建M档人天"/>
    <x:tableColumn id="9" name="调整M档人天"/>
    <x:tableColumn id="10" name="接入复用M档人天"/>
    <x:tableColumn id="11" name="S标准"/>
    <x:tableColumn id="12" name="M标准"/>
    <x:tableColumn id="13" name="L标准"/>
    <x:tableColumn id="14" name="X/拆分条件"/>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d6e87a857ea4b7a" /></Relationships>
</file>

<file path=xl/worksheets/_rels/sheet3.xml.rels>&#65279;<?xml version="1.0" encoding="utf-8"?><Relationships xmlns="http://schemas.openxmlformats.org/package/2006/relationships"><Relationship Type="http://schemas.openxmlformats.org/officeDocument/2006/relationships/table" Target="/xl/tables/table2.xml" Id="R7b4af7ceae2a4be3" /></Relationships>
</file>

<file path=xl/worksheets/_rels/sheet4.xml.rels>&#65279;<?xml version="1.0" encoding="utf-8"?><Relationships xmlns="http://schemas.openxmlformats.org/package/2006/relationships"><Relationship Type="http://schemas.openxmlformats.org/officeDocument/2006/relationships/table" Target="/xl/tables/table3.xml" Id="R3d4c4ff6ab81428f" /></Relationships>
</file>

<file path=xl/worksheets/_rels/sheet5.xml.rels>&#65279;<?xml version="1.0" encoding="utf-8"?><Relationships xmlns="http://schemas.openxmlformats.org/package/2006/relationships"><Relationship Type="http://schemas.openxmlformats.org/officeDocument/2006/relationships/table" Target="/xl/tables/table4.xml" Id="R6f12c26d24ee4c36" /></Relationships>
</file>

<file path=xl/worksheets/_rels/sheet6.xml.rels>&#65279;<?xml version="1.0" encoding="utf-8"?><Relationships xmlns="http://schemas.openxmlformats.org/package/2006/relationships"><Relationship Type="http://schemas.openxmlformats.org/officeDocument/2006/relationships/table" Target="/xl/tables/table5.xml" Id="Rcaa60815847a488b" /></Relationships>
</file>

<file path=xl/worksheets/_rels/sheet7.xml.rels>&#65279;<?xml version="1.0" encoding="utf-8"?><Relationships xmlns="http://schemas.openxmlformats.org/package/2006/relationships"><Relationship Type="http://schemas.openxmlformats.org/officeDocument/2006/relationships/table" Target="/xl/tables/table6.xml" Id="R7d019e6470fb4ff1" /></Relationships>
</file>

<file path=xl/worksheets/_rels/sheet8.xml.rels>&#65279;<?xml version="1.0" encoding="utf-8"?><Relationships xmlns="http://schemas.openxmlformats.org/package/2006/relationships"><Relationship Type="http://schemas.openxmlformats.org/officeDocument/2006/relationships/table" Target="/xl/tables/table7.xml" Id="R9addb65d3bde4a26" /></Relationships>
</file>

<file path=xl/worksheets/_rels/sheet9.xml.rels>&#65279;<?xml version="1.0" encoding="utf-8"?><Relationships xmlns="http://schemas.openxmlformats.org/package/2006/relationships"><Relationship Type="http://schemas.openxmlformats.org/officeDocument/2006/relationships/table" Target="/xl/tables/table8.xml" Id="Rf91a9f46a1f04dca" /></Relationships>
</file>

<file path=xl/worksheets/_rels/sheet10.xml.rels>&#65279;<?xml version="1.0" encoding="utf-8"?><Relationships xmlns="http://schemas.openxmlformats.org/package/2006/relationships"><Relationship Type="http://schemas.openxmlformats.org/officeDocument/2006/relationships/table" Target="/xl/tables/table9.xml" Id="Rf9d54c43134a45cb" /><Relationship Type="http://schemas.openxmlformats.org/officeDocument/2006/relationships/table" Target="/xl/tables/table10.xml" Id="R8287957676db45e1" /></Relationships>
</file>

<file path=xl/worksheets/_rels/sheet11.xml.rels>&#65279;<?xml version="1.0" encoding="utf-8"?><Relationships xmlns="http://schemas.openxmlformats.org/package/2006/relationships"><Relationship Type="http://schemas.openxmlformats.org/officeDocument/2006/relationships/table" Target="/xl/tables/table11.xml" Id="R7e33fdc8ab8e45a9" /></Relationships>
</file>

<file path=xl/worksheets/_rels/sheet12.xml.rels>&#65279;<?xml version="1.0" encoding="utf-8"?><Relationships xmlns="http://schemas.openxmlformats.org/package/2006/relationships"><Relationship Type="http://schemas.openxmlformats.org/officeDocument/2006/relationships/table" Target="/xl/tables/table12.xml" Id="R99fd43458e37410e" /></Relationships>
</file>

<file path=xl/worksheets/sheet1.xml><?xml version="1.0" encoding="utf-8"?>
<x:worksheet xmlns:x="http://schemas.openxmlformats.org/spreadsheetml/2006/main">
  <x:sheetViews>
    <x:sheetView showGridLines="0" workbookViewId="0"/>
  </x:sheetViews>
  <x:sheetFormatPr baseColWidth="8" defaultColWidth="9" defaultRowHeight="16.799999237060547"/>
  <x:cols>
    <x:col min="1" max="1" width="16" hidden="0" customWidth="1"/>
    <x:col min="2" max="2" width="49" hidden="0" customWidth="1"/>
    <x:col min="3" max="3" width="27" hidden="0" customWidth="1"/>
    <x:col min="4" max="4" width="30" hidden="0" customWidth="1"/>
    <x:col min="5" max="5" width="31" hidden="0" customWidth="1"/>
    <x:col min="6" max="6" width="24" hidden="0" customWidth="1"/>
    <x:col min="7" max="7" width="24" hidden="0" customWidth="1"/>
    <x:col min="8" max="8" width="16" hidden="0" customWidth="1"/>
  </x:cols>
  <x:sheetData>
    <x:row r="1" ht="31" customHeight="1">
      <x:c r="A1" s="402" t="str">
        <x:v>SOW估算与生成模板 v1.3</x:v>
      </x:c>
      <x:c r="B1" s="402"/>
      <x:c r="C1" s="402"/>
      <x:c r="D1" s="402"/>
      <x:c r="E1" s="402"/>
      <x:c r="F1" s="402"/>
      <x:c r="G1" s="402"/>
      <x:c r="H1" s="403"/>
    </x:row>
    <x:row r="2" ht="32" customHeight="1">
      <x:c r="A2" s="400" t="inlineStr">
        <x:is>
          <x:t xml:space="preserve">稳定 JSON 是业务事实源；XLSX 是参数、公式、取整和最终人天的唯一计算权威；本文件为 fill-only 生产模板</x:t>
        </x:is>
      </x:c>
      <x:c r="B2" s="400"/>
      <x:c r="C2" s="400"/>
      <x:c r="D2" s="400"/>
      <x:c r="E2" s="400"/>
      <x:c r="F2" s="400"/>
      <x:c r="G2" s="400"/>
      <x:c r="H2" s="400"/>
    </x:row>
    <x:row r="3" ht="9" customHeight="1">
      <x:c r="A3" s="404"/>
      <x:c r="B3" s="404"/>
      <x:c r="C3" s="404"/>
      <x:c r="D3" s="404"/>
      <x:c r="E3" s="404"/>
      <x:c r="F3" s="404"/>
      <x:c r="G3" s="404"/>
      <x:c r="H3" s="405"/>
    </x:row>
    <x:row r="4" ht="24" customHeight="1">
      <x:c r="A4" s="421" t="inlineStr">
        <x:is>
          <x:t xml:space="preserve">使用顺序</x:t>
        </x:is>
      </x:c>
      <x:c r="B4" s="426" t="n"/>
      <x:c r="C4" s="426" t="n"/>
      <x:c r="D4" s="426" t="n"/>
      <x:c r="E4" s="426" t="n"/>
      <x:c r="F4" s="426" t="n"/>
      <x:c r="G4" s="426" t="n"/>
      <x:c r="H4" s="427" t="n"/>
    </x:row>
    <x:row r="5" ht="24" customHeight="1">
      <x:c r="A5" s="448" t="n">
        <x:v>1</x:v>
      </x:c>
      <x:c r="B5" s="444" t="inlineStr">
        <x:is>
          <x:t xml:space="preserve">确认需求与子需求，形成稳定 ID 和来源追溯。</x:t>
        </x:is>
      </x:c>
      <x:c r="C5" s="444" t="n"/>
      <x:c r="D5" s="444" t="n"/>
      <x:c r="E5" s="444" t="n"/>
      <x:c r="F5" s="444" t="n"/>
      <x:c r="G5" s="444" t="n"/>
      <x:c r="H5" s="444" t="n"/>
    </x:row>
    <x:row r="6" ht="24" customHeight="1">
      <x:c r="A6" s="448" t="n">
        <x:v>2</x:v>
      </x:c>
      <x:c r="B6" s="444" t="inlineStr">
        <x:is>
          <x:t xml:space="preserve">确认 As-Is、有效起点、目标设计与范围裁决。</x:t>
        </x:is>
      </x:c>
      <x:c r="C6" s="444" t="n"/>
      <x:c r="D6" s="444" t="n"/>
      <x:c r="E6" s="444" t="n"/>
      <x:c r="F6" s="444" t="n"/>
      <x:c r="G6" s="444" t="n"/>
      <x:c r="H6" s="444" t="n"/>
    </x:row>
    <x:row r="7" ht="24" customHeight="1">
      <x:c r="A7" s="448" t="n">
        <x:v>3</x:v>
      </x:c>
      <x:c r="B7" s="444" t="str">
        <x:v>形成 Delivery Gap、无类型 Story、独立验收条件，并登记有证据支持的顶层 Integration。</x:v>
      </x:c>
      <x:c r="C7" s="444" t="n"/>
      <x:c r="D7" s="444" t="n"/>
      <x:c r="E7" s="444" t="n"/>
      <x:c r="F7" s="444" t="n"/>
      <x:c r="G7" s="444" t="n"/>
      <x:c r="H7" s="444" t="n"/>
    </x:row>
    <x:row r="8" ht="24" customHeight="1">
      <x:c r="A8" s="448" t="n">
        <x:v>4</x:v>
      </x:c>
      <x:c r="B8" s="444" t="inlineStr">
        <x:is>
          <x:t xml:space="preserve">登记假设/风险；类型只分类，状态仅限已明确/待确认。</x:t>
        </x:is>
      </x:c>
      <x:c r="C8" s="444" t="n"/>
      <x:c r="D8" s="444" t="n"/>
      <x:c r="E8" s="444" t="n"/>
      <x:c r="F8" s="444" t="n"/>
      <x:c r="G8" s="444" t="n"/>
      <x:c r="H8" s="444" t="n"/>
    </x:row>
    <x:row r="9" ht="24" customHeight="1">
      <x:c r="A9" s="448" t="n">
        <x:v>5</x:v>
      </x:c>
      <x:c r="B9" s="444" t="str">
        <x:v>按一个基础单元实例拆分一条 Task；选择基础单元、工作模式和复杂度，并填写相应理由。</x:v>
      </x:c>
      <x:c r="C9" s="444" t="n"/>
      <x:c r="D9" s="444" t="n"/>
      <x:c r="E9" s="444" t="n"/>
      <x:c r="F9" s="444" t="n"/>
      <x:c r="G9" s="444" t="n"/>
      <x:c r="H9" s="444" t="n"/>
    </x:row>
    <x:row r="10" ht="24" customHeight="1">
      <x:c r="A10" s="448" t="n">
        <x:v>6</x:v>
      </x:c>
      <x:c r="B10" s="444" t="str">
        <x:v>在 92-基础人天 的同一行选择基础单元，并按工作模式读取对应 M 档人天；S/L 必须说明偏离 M 的具体事实。</x:v>
      </x:c>
      <x:c r="C10" s="444" t="n"/>
      <x:c r="D10" s="444" t="n"/>
      <x:c r="E10" s="444" t="n"/>
      <x:c r="F10" s="444" t="n"/>
      <x:c r="G10" s="444" t="n"/>
      <x:c r="H10" s="444" t="n"/>
    </x:row>
    <x:row r="11" ht="24" customHeight="1">
      <x:c r="A11" s="448" t="n">
        <x:v>7</x:v>
      </x:c>
      <x:c r="B11" s="444" t="inlineStr">
        <x:is>
          <x:t xml:space="preserve">generate-sow 只填充 Table、复制公式原型、对账并打包，不执行公式。</x:t>
        </x:is>
      </x:c>
      <x:c r="C11" s="444" t="n"/>
      <x:c r="D11" s="444" t="n"/>
      <x:c r="E11" s="444" t="n"/>
      <x:c r="F11" s="444" t="n"/>
      <x:c r="G11" s="444" t="n"/>
      <x:c r="H11" s="444" t="n"/>
    </x:row>
    <x:row r="12" ht="24" customHeight="1">
      <x:c r="A12" s="448" t="n">
        <x:v>8</x:v>
      </x:c>
      <x:c r="B12" s="444" t="inlineStr">
        <x:is>
          <x:t xml:space="preserve">在电子表格应用中打开工作簿，由模板计算并核对项目汇总。</x:t>
        </x:is>
      </x:c>
      <x:c r="C12" s="444" t="n"/>
      <x:c r="D12" s="444" t="n"/>
      <x:c r="E12" s="444" t="n"/>
      <x:c r="F12" s="444" t="n"/>
      <x:c r="G12" s="444" t="n"/>
      <x:c r="H12" s="444" t="n"/>
    </x:row>
    <x:row r="13">
      <x:c r="A13" s="404"/>
      <x:c r="B13" s="404"/>
      <x:c r="C13" s="404"/>
      <x:c r="D13" s="404"/>
      <x:c r="E13" s="404"/>
      <x:c r="F13" s="404"/>
      <x:c r="G13" s="404"/>
      <x:c r="H13" s="405"/>
    </x:row>
    <x:row r="14" ht="24" customHeight="1">
      <x:c r="A14" s="421" t="str">
        <x:v>v1.3 计算合同</x:v>
      </x:c>
      <x:c r="B14" s="426" t="n"/>
      <x:c r="C14" s="426" t="n"/>
      <x:c r="D14" s="426" t="n"/>
      <x:c r="E14" s="426" t="n"/>
      <x:c r="F14" s="426" t="n"/>
      <x:c r="G14" s="426" t="n"/>
      <x:c r="H14" s="427" t="n"/>
    </x:row>
    <x:row r="15" ht="26" customHeight="1">
      <x:c r="A15" s="450" t="inlineStr">
        <x:is>
          <x:t xml:space="preserve">Task 枚举</x:t>
        </x:is>
      </x:c>
      <x:c r="B15" s="444" t="str">
        <x:v>基础单元：37 项；工作模式：新建/调整/接入复用；复杂度：S/M/L（X 只用于拆分或澄清）。</x:v>
      </x:c>
      <x:c r="C15" s="444" t="n"/>
      <x:c r="D15" s="444" t="n"/>
      <x:c r="E15" s="444" t="n"/>
      <x:c r="F15" s="444" t="n"/>
      <x:c r="G15" s="444" t="n"/>
      <x:c r="H15" s="444" t="n"/>
    </x:row>
    <x:row r="16" ht="26" customHeight="1">
      <x:c r="A16" s="450" t="inlineStr">
        <x:is>
          <x:t xml:space="preserve">基础人天</x:t>
        </x:is>
      </x:c>
      <x:c r="B16" s="444" t="str">
        <x:v>基础单元目录直接提供新建/调整/接入复用三列 M 档人天；❌ 组合不得进入正式估算。</x:v>
      </x:c>
      <x:c r="C16" s="444" t="n"/>
      <x:c r="D16" s="444" t="n"/>
      <x:c r="E16" s="444" t="n"/>
      <x:c r="F16" s="444" t="n"/>
      <x:c r="G16" s="444" t="n"/>
      <x:c r="H16" s="444" t="n"/>
    </x:row>
    <x:row r="17" ht="26" customHeight="1">
      <x:c r="A17" s="450" t="inlineStr">
        <x:is>
          <x:t xml:space="preserve">Story 人天</x:t>
        </x:is>
      </x:c>
      <x:c r="B17" s="444" t="inlineStr">
        <x:is>
          <x:t xml:space="preserve">同 Story 的 Task 小计求和后，向上取整至 ROUND_STORY。</x:t>
        </x:is>
      </x:c>
      <x:c r="C17" s="444" t="n"/>
      <x:c r="D17" s="444" t="n"/>
      <x:c r="E17" s="444" t="n"/>
      <x:c r="F17" s="444" t="n"/>
      <x:c r="G17" s="444" t="n"/>
      <x:c r="H17" s="444" t="n"/>
    </x:row>
    <x:row r="18" ht="26" customHeight="1">
      <x:c r="A18" s="450" t="inlineStr">
        <x:is>
          <x:t xml:space="preserve">SIT/UAT</x:t>
        </x:is>
      </x:c>
      <x:c r="B18" s="444" t="str">
        <x:v>内部/外部系统对接 Task 触发 SIT；UAT 仅汇总显式标记为适用的 Story。</x:v>
      </x:c>
      <x:c r="C18" s="444" t="n"/>
      <x:c r="D18" s="444" t="n"/>
      <x:c r="E18" s="444" t="n"/>
      <x:c r="F18" s="444" t="n"/>
      <x:c r="G18" s="444" t="n"/>
      <x:c r="H18" s="444" t="n"/>
    </x:row>
    <x:row r="19" ht="26" customHeight="1">
      <x:c r="A19" s="450" t="inlineStr">
        <x:is>
          <x:t xml:space="preserve">风险人天</x:t>
        </x:is>
      </x:c>
      <x:c r="B19" s="444" t="inlineStr">
        <x:is>
          <x:t xml:space="preserve">状态为待确认的关联 Story 按 Story 去重；同一 Story 多条待确认项只计一次。</x:t>
        </x:is>
      </x:c>
      <x:c r="C19" s="444" t="n"/>
      <x:c r="D19" s="444" t="n"/>
      <x:c r="E19" s="444" t="n"/>
      <x:c r="F19" s="444" t="n"/>
      <x:c r="G19" s="444" t="n"/>
      <x:c r="H19" s="444" t="n"/>
    </x:row>
    <x:row r="20" ht="26" customHeight="1">
      <x:c r="A20" s="450" t="inlineStr">
        <x:is>
          <x:t xml:space="preserve">项目总计</x:t>
        </x:is>
      </x:c>
      <x:c r="B20" s="444" t="inlineStr">
        <x:is>
          <x:t xml:space="preserve">直接开发 + SIT + UAT + 待确认风险人天；所有计算结果只存在于 XLSX。</x:t>
        </x:is>
      </x:c>
      <x:c r="C20" s="444" t="n"/>
      <x:c r="D20" s="444" t="n"/>
      <x:c r="E20" s="444" t="n"/>
      <x:c r="F20" s="444" t="n"/>
      <x:c r="G20" s="444" t="n"/>
      <x:c r="H20" s="444" t="n"/>
    </x:row>
    <x:row r="21">
      <x:c r="A21" s="404"/>
      <x:c r="B21" s="404"/>
      <x:c r="C21" s="404"/>
      <x:c r="D21" s="404"/>
      <x:c r="E21" s="404"/>
      <x:c r="F21" s="404"/>
      <x:c r="G21" s="404"/>
      <x:c r="H21" s="405"/>
    </x:row>
    <x:row r="22" ht="24" customHeight="1">
      <x:c r="A22" s="421" t="inlineStr">
        <x:is>
          <x:t xml:space="preserve">工作表职责</x:t>
        </x:is>
      </x:c>
      <x:c r="B22" s="426" t="n"/>
      <x:c r="C22" s="426" t="n"/>
      <x:c r="D22" s="426" t="n"/>
      <x:c r="E22" s="426" t="n"/>
      <x:c r="F22" s="426" t="n"/>
      <x:c r="G22" s="426" t="n"/>
      <x:c r="H22" s="427" t="n"/>
    </x:row>
    <x:row r="23" ht="34" customHeight="1">
      <x:c r="A23" s="453" t="inlineStr">
        <x:is>
          <x:t xml:space="preserve">工作表</x:t>
        </x:is>
      </x:c>
      <x:c r="B23" s="453" t="inlineStr">
        <x:is>
          <x:t xml:space="preserve">职责</x:t>
        </x:is>
      </x:c>
      <x:c r="C23" s="453" t="inlineStr">
        <x:is>
          <x:t xml:space="preserve">输入/事实</x:t>
        </x:is>
      </x:c>
      <x:c r="D23" s="453" t="inlineStr">
        <x:is>
          <x:t xml:space="preserve">公式/派生</x:t>
        </x:is>
      </x:c>
      <x:c r="E23" s="453" t="inlineStr">
        <x:is>
          <x:t xml:space="preserve">核心门禁</x:t>
        </x:is>
      </x:c>
      <x:c r="F23" s="453" t="inlineStr">
        <x:is>
          <x:t xml:space="preserve">上游</x:t>
        </x:is>
      </x:c>
      <x:c r="G23" s="453" t="inlineStr">
        <x:is>
          <x:t xml:space="preserve">下游</x:t>
        </x:is>
      </x:c>
      <x:c r="H23" s="453" t="inlineStr">
        <x:is>
          <x:t xml:space="preserve">备注</x:t>
        </x:is>
      </x:c>
    </x:row>
    <x:row r="24" ht="38" customHeight="1">
      <x:c r="A24" s="446" t="str">
        <x:v>01-需求</x:v>
      </x:c>
      <x:c r="B24" s="444" t="str">
        <x:v>Epic 投影</x:v>
      </x:c>
      <x:c r="C24" s="444" t="str">
        <x:v>Epic</x:v>
      </x:c>
      <x:c r="D24" s="444" t="str">
        <x:v>无</x:v>
      </x:c>
      <x:c r="E24" s="461" t="str">
        <x:v>稳定 ID</x:v>
      </x:c>
      <x:c r="F24" s="444" t="str">
        <x:v>source/technical requirements</x:v>
      </x:c>
      <x:c r="G24" s="444" t="str">
        <x:v>02-子需求</x:v>
      </x:c>
      <x:c r="H24" s="444" t="str"/>
    </x:row>
    <x:row r="25" ht="38" customHeight="1">
      <x:c r="A25" s="446" t="str">
        <x:v>02-子需求</x:v>
      </x:c>
      <x:c r="B25" s="444" t="str">
        <x:v>Feature 投影</x:v>
      </x:c>
      <x:c r="C25" s="444" t="str">
        <x:v>Feature</x:v>
      </x:c>
      <x:c r="D25" s="444" t="str">
        <x:v>无</x:v>
      </x:c>
      <x:c r="E25" s="461" t="str">
        <x:v>Epic 外键有效</x:v>
      </x:c>
      <x:c r="F25" s="444" t="str">
        <x:v>source/technical requirements</x:v>
      </x:c>
      <x:c r="G25" s="444" t="str">
        <x:v>SOW主表</x:v>
      </x:c>
      <x:c r="H25" s="444"/>
    </x:row>
    <x:row r="26" ht="38" customHeight="1">
      <x:c r="A26" s="446" t="str">
        <x:v>03-SOW主表</x:v>
      </x:c>
      <x:c r="B26" s="444" t="str">
        <x:v>Story 主视图</x:v>
      </x:c>
      <x:c r="C26" s="444" t="str">
        <x:v>Story / Feature ID</x:v>
      </x:c>
      <x:c r="D26" s="444" t="str">
        <x:v>验收条件、Task、人天、假设</x:v>
      </x:c>
      <x:c r="E26" s="461" t="str">
        <x:v>每个 Story 一个 Feature</x:v>
      </x:c>
      <x:c r="F26" s="444" t="str">
        <x:v>delivery/estimate</x:v>
      </x:c>
      <x:c r="G26" s="444" t="str">
        <x:v>AC/Task/集成/假设/汇总</x:v>
      </x:c>
      <x:c r="H26" s="444"/>
    </x:row>
    <x:row r="27" ht="38" customHeight="1">
      <x:c r="A27" s="446" t="str">
        <x:v>04-验收条件</x:v>
      </x:c>
      <x:c r="B27" s="444" t="str">
        <x:v>AC 明细</x:v>
      </x:c>
      <x:c r="C27" s="444" t="str">
        <x:v>AC</x:v>
      </x:c>
      <x:c r="D27" s="444" t="str">
        <x:v>无</x:v>
      </x:c>
      <x:c r="E27" s="461" t="str">
        <x:v>同 Story 顺序连续</x:v>
      </x:c>
      <x:c r="F27" s="444" t="str">
        <x:v>delivery.json</x:v>
      </x:c>
      <x:c r="G27" s="444" t="str">
        <x:v>SOW主表</x:v>
      </x:c>
      <x:c r="H27" s="444" t="str"/>
    </x:row>
    <x:row r="28" ht="38" customHeight="1">
      <x:c r="A28" s="446" t="str">
        <x:v>05-任务明细</x:v>
      </x:c>
      <x:c r="B28" s="444" t="str">
        <x:v>Task 实例与估算</x:v>
      </x:c>
      <x:c r="C28" s="444" t="str">
        <x:v>基础单元ID / 工作模式 / 复杂度 / Integration ID / Effective Start</x:v>
      </x:c>
      <x:c r="D28" s="444" t="str">
        <x:v>任务族 / 基础人天 / 复杂度倍率 / 人天小计</x:v>
      </x:c>
      <x:c r="E28" s="461" t="str">
        <x:v>一个基础单元实例一行；S/L 有理由；集成引用一对一</x:v>
      </x:c>
      <x:c r="F28" s="444" t="str">
        <x:v>estimate.json / 项目模板</x:v>
      </x:c>
      <x:c r="G28" s="444" t="str">
        <x:v>SOW主表 / SIT / 汇总</x:v>
      </x:c>
      <x:c r="H28" s="444"/>
    </x:row>
    <x:row r="29" ht="38" customHeight="1">
      <x:c r="A29" s="446" t="str">
        <x:v>06-集成点</x:v>
      </x:c>
      <x:c r="B29" s="444" t="str">
        <x:v>Integration 投影</x:v>
      </x:c>
      <x:c r="C29" s="444" t="str">
        <x:v>顶层 Integration</x:v>
      </x:c>
      <x:c r="D29" s="444" t="str">
        <x:v>集成Task / 工作模式 / 复杂度 / 支持单价 / SIT人天</x:v>
      </x:c>
      <x:c r="E29" s="461" t="str">
        <x:v>一行一个 Integration；由集成 Task 触发 SIT</x:v>
      </x:c>
      <x:c r="F29" s="444" t="str">
        <x:v>delivery/estimate</x:v>
      </x:c>
      <x:c r="G29" s="444" t="str">
        <x:v>汇总</x:v>
      </x:c>
      <x:c r="H29" s="444" t="str"/>
    </x:row>
    <x:row r="30" ht="38" customHeight="1">
      <x:c r="A30" s="446" t="str">
        <x:v>07-假设清单</x:v>
      </x:c>
      <x:c r="B30" s="444" t="str">
        <x:v>假设/风险实体投影</x:v>
      </x:c>
      <x:c r="C30" s="444" t="str">
        <x:v>一行一个假设或风险</x:v>
      </x:c>
      <x:c r="D30" s="444" t="str">
        <x:v>关联 Story 人天</x:v>
      </x:c>
      <x:c r="E30" s="461" t="str">
        <x:v>Story ID 有序去重</x:v>
      </x:c>
      <x:c r="F30" s="444" t="str">
        <x:v>delivery.json</x:v>
      </x:c>
      <x:c r="G30" s="444" t="str">
        <x:v>SOW主表/汇总</x:v>
      </x:c>
      <x:c r="H30" s="444" t="str"/>
    </x:row>
    <x:row r="31" ht="38" customHeight="1">
      <x:c r="A31" s="446" t="inlineStr">
        <x:is>
          <x:t xml:space="preserve">20-项目汇总</x:t>
        </x:is>
      </x:c>
      <x:c r="B31" s="444" t="inlineStr">
        <x:is>
          <x:t xml:space="preserve">固定汇总</x:t>
        </x:is>
      </x:c>
      <x:c r="C31" s="444" t="inlineStr">
        <x:is>
          <x:t xml:space="preserve">无</x:t>
        </x:is>
      </x:c>
      <x:c r="D31" s="444" t="inlineStr">
        <x:is>
          <x:t xml:space="preserve">Dev/SIT/UAT/风险/总计</x:t>
        </x:is>
      </x:c>
      <x:c r="E31" s="461" t="inlineStr">
        <x:is>
          <x:t xml:space="preserve">全部校验 OK</x:t>
        </x:is>
      </x:c>
      <x:c r="F31" s="444" t="inlineStr">
        <x:is>
          <x:t xml:space="preserve">全部计算表</x:t>
        </x:is>
      </x:c>
      <x:c r="G31" s="444" t="inlineStr">
        <x:is>
          <x:t xml:space="preserve">交付</x:t>
        </x:is>
      </x:c>
      <x:c r="H31" s="444" t="str"/>
    </x:row>
    <x:row r="32" ht="38" customHeight="1">
      <x:c r="A32" s="446" t="str">
        <x:v>90-系统现状</x:v>
      </x:c>
      <x:c r="B32" s="444" t="str">
        <x:v>动态 As-Is 投影</x:v>
      </x:c>
      <x:c r="C32" s="444" t="str">
        <x:v>Topic / 当前事实 / 承诺 / 有效起点 / Coverage / Uncertainty / Evidence</x:v>
      </x:c>
      <x:c r="D32" s="444" t="str">
        <x:v>无</x:v>
      </x:c>
      <x:c r="E32" s="461" t="str">
        <x:v>九主题完整、稳定 ID 与证据引用可追溯</x:v>
      </x:c>
      <x:c r="F32" s="444" t="str">
        <x:v>project.json / asis.json</x:v>
      </x:c>
      <x:c r="G32" s="444" t="str">
        <x:v>设计 / Story / Task / 审计</x:v>
      </x:c>
      <x:c r="H32" s="444" t="str"/>
    </x:row>
    <x:row r="33" ht="38" customHeight="1">
      <x:c r="A33" s="446" t="inlineStr">
        <x:is>
          <x:t xml:space="preserve">91-项目参数</x:t>
        </x:is>
      </x:c>
      <x:c r="B33" s="444" t="str">
        <x:v>项目级权威参数（含复杂度系数）</x:v>
      </x:c>
      <x:c r="C33" s="444" t="str">
        <x:v>S/M/L 系数 / UAT / SIT / 取整</x:v>
      </x:c>
      <x:c r="D33" s="444" t="inlineStr">
        <x:is>
          <x:t xml:space="preserve">无</x:t>
        </x:is>
      </x:c>
      <x:c r="E33" s="461" t="inlineStr">
        <x:is>
          <x:t xml:space="preserve">参数代码唯一</x:t>
        </x:is>
      </x:c>
      <x:c r="F33" s="444" t="inlineStr">
        <x:is>
          <x:t xml:space="preserve">模板维护</x:t>
        </x:is>
      </x:c>
      <x:c r="G33" s="444" t="inlineStr">
        <x:is>
          <x:t xml:space="preserve">公式</x:t>
        </x:is>
      </x:c>
      <x:c r="H33" s="444" t="str"/>
    </x:row>
    <x:row r="34" ht="38" customHeight="1">
      <x:c r="A34" s="446" t="inlineStr">
        <x:is>
          <x:t xml:space="preserve">92-基础人天</x:t>
        </x:is>
      </x:c>
      <x:c r="B34" s="444" t="str">
        <x:v>37 项基础单元、工作边界、三模式 M 档人天与复杂度标准</x:v>
      </x:c>
      <x:c r="C34" s="444" t="str">
        <x:v>计数口径 / 包含与不包含 / 新建·调整·接入复用人天 / S·M·L·X 标准</x:v>
      </x:c>
      <x:c r="D34" s="444" t="str">
        <x:v>无</x:v>
      </x:c>
      <x:c r="E34" s="461" t="str">
        <x:v>基础单元ID唯一；适用组合为正数，不适用组合为❌；规则完整</x:v>
      </x:c>
      <x:c r="F34" s="444" t="inlineStr">
        <x:is>
          <x:t xml:space="preserve">模板维护</x:t>
        </x:is>
      </x:c>
      <x:c r="G34" s="444" t="inlineStr">
        <x:is>
          <x:t xml:space="preserve">任务明细</x:t>
        </x:is>
      </x:c>
      <x:c r="H34" s="444" t="str"/>
    </x:row>
    <x:row r="35" ht="68" customHeight="1">
      <x:c r="A35"/>
      <x:c r="B35"/>
      <x:c r="C35"/>
      <x:c r="D35"/>
      <x:c r="E35"/>
      <x:c r="F35"/>
      <x:c r="G35"/>
      <x:c r="H35"/>
    </x:row>
    <x:row r="36" ht="68" customHeight="1"/>
    <x:row r="37" ht="68" customHeight="1"/>
    <x:row r="38" ht="68" customHeight="1"/>
    <x:row r="39" ht="68" customHeight="1"/>
    <x:row r="40" ht="68" customHeight="1"/>
    <x:row r="41" ht="68" customHeight="1"/>
    <x:row r="42" ht="68" customHeight="1"/>
    <x:row r="43">
      <x:c r="A43" s="638" t="str">
        <x:v>稳定输入 SHA-256</x:v>
      </x:c>
      <x:c r="B43" s="638"/>
      <x:c r="C43" s="638"/>
      <x:c r="D43" s="638"/>
      <x:c r="E43" s="638"/>
      <x:c r="F43" s="638"/>
      <x:c r="G43" s="638"/>
      <x:c r="H43" s="638"/>
    </x:row>
    <x:row r="44" ht="42" customHeight="1">
      <x:c r="A44" s="642" t="str">
        <x:v>sourceRequirements</x:v>
      </x:c>
      <x:c r="B44" s="646"/>
      <x:c r="C44" s="646" t="str">
        <x:v>Epic</x:v>
      </x:c>
      <x:c r="D44" s="646" t="str">
        <x:v>无</x:v>
      </x:c>
      <x:c r="E44" s="646" t="str">
        <x:v>稳定 ID</x:v>
      </x:c>
      <x:c r="F44" s="646" t="str">
        <x:v>source/technical requirements</x:v>
      </x:c>
      <x:c r="G44" s="646" t="str">
        <x:v>02-子需求</x:v>
      </x:c>
      <x:c r="H44" s="646"/>
    </x:row>
    <x:row r="45" ht="42" customHeight="1">
      <x:c r="A45" s="642" t="str">
        <x:v>asis</x:v>
      </x:c>
      <x:c r="B45" s="646"/>
      <x:c r="C45" s="646" t="str">
        <x:v>Epic</x:v>
      </x:c>
      <x:c r="D45" s="646" t="str">
        <x:v>无</x:v>
      </x:c>
      <x:c r="E45" s="646" t="str">
        <x:v>稳定 ID</x:v>
      </x:c>
      <x:c r="F45" s="646" t="str">
        <x:v>source/technical requirements</x:v>
      </x:c>
      <x:c r="G45" s="646" t="str">
        <x:v>02-子需求</x:v>
      </x:c>
      <x:c r="H45" s="646"/>
    </x:row>
    <x:row r="46" ht="42" customHeight="1">
      <x:c r="A46" s="642" t="str">
        <x:v>design</x:v>
      </x:c>
      <x:c r="B46" s="646"/>
      <x:c r="C46" s="646" t="str">
        <x:v>Epic</x:v>
      </x:c>
      <x:c r="D46" s="646" t="str">
        <x:v>无</x:v>
      </x:c>
      <x:c r="E46" s="646" t="str">
        <x:v>稳定 ID</x:v>
      </x:c>
      <x:c r="F46" s="646" t="str">
        <x:v>source/technical requirements</x:v>
      </x:c>
      <x:c r="G46" s="646" t="str">
        <x:v>02-子需求</x:v>
      </x:c>
      <x:c r="H46" s="646"/>
    </x:row>
    <x:row r="47" ht="42" customHeight="1">
      <x:c r="A47" s="642" t="str">
        <x:v>derivedRequirements</x:v>
      </x:c>
      <x:c r="B47" s="646"/>
      <x:c r="C47" s="646" t="str">
        <x:v>Epic</x:v>
      </x:c>
      <x:c r="D47" s="646" t="str">
        <x:v>无</x:v>
      </x:c>
      <x:c r="E47" s="646" t="str">
        <x:v>稳定 ID</x:v>
      </x:c>
      <x:c r="F47" s="646" t="str">
        <x:v>source/technical requirements</x:v>
      </x:c>
      <x:c r="G47" s="646" t="str">
        <x:v>02-子需求</x:v>
      </x:c>
      <x:c r="H47" s="646"/>
    </x:row>
    <x:row r="48" ht="42" customHeight="1">
      <x:c r="A48" s="642" t="str">
        <x:v>delivery</x:v>
      </x:c>
      <x:c r="B48" s="646"/>
      <x:c r="C48" s="646" t="str">
        <x:v>Epic</x:v>
      </x:c>
      <x:c r="D48" s="646" t="str">
        <x:v>无</x:v>
      </x:c>
      <x:c r="E48" s="646" t="str">
        <x:v>稳定 ID</x:v>
      </x:c>
      <x:c r="F48" s="646" t="str">
        <x:v>source/technical requirements</x:v>
      </x:c>
      <x:c r="G48" s="646" t="str">
        <x:v>02-子需求</x:v>
      </x:c>
      <x:c r="H48" s="646"/>
    </x:row>
    <x:row r="49" ht="42" customHeight="1">
      <x:c r="A49" s="642" t="str">
        <x:v>estimate</x:v>
      </x:c>
      <x:c r="B49" s="646"/>
      <x:c r="C49" s="646" t="str">
        <x:v>Epic</x:v>
      </x:c>
      <x:c r="D49" s="646" t="str">
        <x:v>无</x:v>
      </x:c>
      <x:c r="E49" s="646" t="str">
        <x:v>稳定 ID</x:v>
      </x:c>
      <x:c r="F49" s="646" t="str">
        <x:v>source/technical requirements</x:v>
      </x:c>
      <x:c r="G49" s="646" t="str">
        <x:v>02-子需求</x:v>
      </x:c>
      <x:c r="H49" s="646"/>
    </x:row>
    <x:row r="50" ht="42" customHeight="1"/>
    <x:row r="51" ht="42" customHeight="1"/>
  </x:sheetData>
  <x:mergeCells>
    <x:mergeCell ref="B9:H9"/>
    <x:mergeCell ref="B49:H49"/>
    <x:mergeCell ref="B6:H6"/>
    <x:mergeCell ref="B15:H15"/>
    <x:mergeCell ref="A1:H1"/>
    <x:mergeCell ref="B51:H51"/>
    <x:mergeCell ref="B5:H5"/>
    <x:mergeCell ref="B20:H20"/>
    <x:mergeCell ref="B45:H45"/>
    <x:mergeCell ref="B50:H50"/>
    <x:mergeCell ref="B47:H47"/>
    <x:mergeCell ref="B16:H16"/>
    <x:mergeCell ref="B7:H7"/>
    <x:mergeCell ref="B46:H46"/>
    <x:mergeCell ref="B18:H18"/>
    <x:mergeCell ref="A2:H2"/>
    <x:mergeCell ref="B12:H12"/>
    <x:mergeCell ref="B48:H48"/>
    <x:mergeCell ref="A14:H14"/>
    <x:mergeCell ref="B11:H11"/>
    <x:mergeCell ref="A22:H22"/>
    <x:mergeCell ref="A4:H4"/>
    <x:mergeCell ref="B8:H8"/>
    <x:mergeCell ref="B17:H17"/>
    <x:mergeCell ref="A43:H43"/>
    <x:mergeCell ref="B44:H44"/>
    <x:mergeCell ref="B10:H10"/>
    <x:mergeCell ref="B19: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ColWidth="9" defaultRowHeight="16.799999237060547"/>
  <x:cols>
    <x:col min="1" max="1" width="20" hidden="0" customWidth="1"/>
    <x:col min="2" max="2" width="15" hidden="0" customWidth="1"/>
    <x:col min="3" max="3" width="27" hidden="0" customWidth="1"/>
    <x:col min="4" max="4" width="46" hidden="0" customWidth="1"/>
    <x:col min="5" max="5" width="32" hidden="0" customWidth="1"/>
    <x:col min="6" max="6" width="32" hidden="0" customWidth="1"/>
    <x:col min="7" max="7" width="40" hidden="0" customWidth="1"/>
  </x:cols>
  <x:sheetData>
    <x:row r="1" ht="31" customHeight="1">
      <x:c r="A1" s="390" t="str">
        <x:v>需求（Epic）</x:v>
      </x:c>
      <x:c r="B1" s="390"/>
      <x:c r="C1" s="390"/>
      <x:c r="D1" s="390"/>
      <x:c r="E1" s="390"/>
      <x:c r="F1" s="390"/>
      <x:c r="G1" s="390"/>
    </x:row>
    <x:row r="2" ht="34" customHeight="1">
      <x:c r="A2" s="400" t="str">
        <x:v>业务与技术 Epic 使用同一结构；输入归一化是内部中间产物，不进入工作簿</x:v>
      </x:c>
      <x:c r="B2" s="400"/>
      <x:c r="C2" s="400"/>
      <x:c r="D2" s="400"/>
      <x:c r="E2" s="400"/>
      <x:c r="F2" s="400"/>
      <x:c r="G2" s="400"/>
    </x:row>
    <x:row r="3" ht="9" customHeight="1"/>
    <x:row r="4" ht="38" customHeight="1">
      <x:c r="A4" s="453" t="str">
        <x:v>Epic ID</x:v>
      </x:c>
      <x:c r="B4" s="453" t="str">
        <x:v>需求类型</x:v>
      </x:c>
      <x:c r="C4" s="453" t="str">
        <x:v>需求名称</x:v>
      </x:c>
      <x:c r="D4" s="453" t="str">
        <x:v>需求描述</x:v>
      </x:c>
      <x:c r="E4" s="453" t="str">
        <x:v>涉及系统/数据</x:v>
      </x:c>
      <x:c r="F4" s="453" t="str">
        <x:v>目标结果</x:v>
      </x:c>
      <x:c r="G4" s="453" t="str">
        <x:v>公共约束/范围外</x:v>
      </x:c>
    </x:row>
    <x:row r="5" ht="32" customHeight="1">
      <x:c r="A5" s="461" t="n"/>
      <x:c r="B5" s="473" t="n"/>
      <x:c r="C5" s="461" t="n"/>
      <x:c r="D5" s="461" t="n"/>
      <x:c r="E5" s="461" t="n"/>
      <x:c r="F5" s="461" t="n"/>
      <x:c r="G5" s="461" t="n"/>
    </x:row>
    <x:row r="6" ht="32" customHeight="1">
      <x:c r="A6" s="461" t="n"/>
      <x:c r="B6" s="473" t="n"/>
      <x:c r="C6" s="461" t="n"/>
      <x:c r="D6" s="461" t="n"/>
      <x:c r="E6" s="461" t="n"/>
      <x:c r="F6" s="461" t="n"/>
      <x:c r="G6" s="461" t="n"/>
    </x:row>
    <x:row r="7" ht="32" customHeight="1">
      <x:c r="A7" s="461" t="n"/>
      <x:c r="B7" s="473" t="n"/>
      <x:c r="C7" s="461" t="n"/>
      <x:c r="D7" s="461" t="n"/>
      <x:c r="E7" s="461" t="n"/>
      <x:c r="F7" s="461" t="n"/>
      <x:c r="G7" s="461" t="n"/>
    </x:row>
    <x:row r="8" ht="32" customHeight="1">
      <x:c r="A8" s="461"/>
      <x:c r="B8" s="473"/>
      <x:c r="C8" s="461"/>
      <x:c r="D8" s="461"/>
      <x:c r="E8" s="461"/>
      <x:c r="F8" s="461"/>
      <x:c r="G8" s="461"/>
    </x:row>
    <x:row r="9" ht="32" customHeight="1">
      <x:c r="A9" s="461"/>
      <x:c r="B9" s="473"/>
      <x:c r="C9" s="461"/>
      <x:c r="D9" s="461"/>
      <x:c r="E9" s="461"/>
      <x:c r="F9" s="461"/>
      <x:c r="G9" s="461"/>
    </x:row>
    <x:row r="10" ht="32" customHeight="1">
      <x:c r="A10" s="461"/>
      <x:c r="B10" s="473"/>
      <x:c r="C10" s="461"/>
      <x:c r="D10" s="461"/>
      <x:c r="E10" s="461"/>
      <x:c r="F10" s="461"/>
      <x:c r="G10" s="461"/>
    </x:row>
    <x:row r="11" ht="32" customHeight="1">
      <x:c r="A11" s="461"/>
      <x:c r="B11" s="473"/>
      <x:c r="C11" s="461"/>
      <x:c r="D11" s="461"/>
      <x:c r="E11" s="461"/>
      <x:c r="F11" s="461"/>
      <x:c r="G11" s="461"/>
    </x:row>
    <x:row r="12" ht="32" customHeight="1">
      <x:c r="A12" s="461"/>
      <x:c r="B12" s="473"/>
      <x:c r="C12" s="461"/>
      <x:c r="D12" s="461"/>
      <x:c r="E12" s="461"/>
      <x:c r="F12" s="461"/>
      <x:c r="G12" s="461"/>
    </x:row>
    <x:row r="13" ht="32" customHeight="1">
      <x:c r="A13" s="461"/>
      <x:c r="B13" s="473"/>
      <x:c r="C13" s="461"/>
      <x:c r="D13" s="461"/>
      <x:c r="E13" s="461"/>
      <x:c r="F13" s="461"/>
      <x:c r="G13" s="461"/>
    </x:row>
    <x:row r="14" ht="32" customHeight="1">
      <x:c r="A14" s="461"/>
      <x:c r="B14" s="473"/>
      <x:c r="C14" s="461"/>
      <x:c r="D14" s="461"/>
      <x:c r="E14" s="461"/>
      <x:c r="F14" s="461"/>
      <x:c r="G14" s="461"/>
    </x:row>
    <x:row r="15" ht="32" customHeight="1">
      <x:c r="A15" s="461"/>
      <x:c r="B15" s="473"/>
      <x:c r="C15" s="461"/>
      <x:c r="D15" s="461"/>
      <x:c r="E15" s="461"/>
      <x:c r="F15" s="461"/>
      <x:c r="G15" s="461"/>
    </x:row>
    <x:row r="16" ht="32" customHeight="1">
      <x:c r="A16" s="461"/>
      <x:c r="B16" s="473"/>
      <x:c r="C16" s="461"/>
      <x:c r="D16" s="461"/>
      <x:c r="E16" s="461"/>
      <x:c r="F16" s="461"/>
      <x:c r="G16" s="461"/>
    </x:row>
    <x:row r="17" ht="32" customHeight="1">
      <x:c r="A17" s="461"/>
      <x:c r="B17" s="473"/>
      <x:c r="C17" s="461"/>
      <x:c r="D17" s="461"/>
      <x:c r="E17" s="461"/>
      <x:c r="F17" s="461"/>
      <x:c r="G17" s="461"/>
    </x:row>
    <x:row r="18" ht="32" customHeight="1">
      <x:c r="A18" s="461"/>
      <x:c r="B18" s="473"/>
      <x:c r="C18" s="461"/>
      <x:c r="D18" s="461"/>
      <x:c r="E18" s="461"/>
      <x:c r="F18" s="461"/>
      <x:c r="G18" s="461"/>
    </x:row>
    <x:row r="19" ht="32" customHeight="1">
      <x:c r="A19" s="461"/>
      <x:c r="B19" s="473"/>
      <x:c r="C19" s="461"/>
      <x:c r="D19" s="461"/>
      <x:c r="E19" s="461"/>
      <x:c r="F19" s="461"/>
      <x:c r="G19" s="461"/>
    </x:row>
    <x:row r="20" ht="32" customHeight="1">
      <x:c r="A20" s="461"/>
      <x:c r="B20" s="473"/>
      <x:c r="C20" s="461"/>
      <x:c r="D20" s="461"/>
      <x:c r="E20" s="461"/>
      <x:c r="F20" s="461"/>
      <x:c r="G20" s="461"/>
    </x:row>
    <x:row r="21" ht="32" customHeight="1">
      <x:c r="A21" s="461"/>
      <x:c r="B21" s="473"/>
      <x:c r="C21" s="461"/>
      <x:c r="D21" s="461"/>
      <x:c r="E21" s="461"/>
      <x:c r="F21" s="461"/>
      <x:c r="G21" s="461"/>
    </x:row>
    <x:row r="22" ht="32" customHeight="1">
      <x:c r="A22" s="461"/>
      <x:c r="B22" s="473"/>
      <x:c r="C22" s="461"/>
      <x:c r="D22" s="461"/>
      <x:c r="E22" s="461"/>
      <x:c r="F22" s="461"/>
      <x:c r="G22" s="461"/>
    </x:row>
    <x:row r="23" ht="32" customHeight="1">
      <x:c r="A23" s="461"/>
      <x:c r="B23" s="473"/>
      <x:c r="C23" s="461"/>
      <x:c r="D23" s="461"/>
      <x:c r="E23" s="461"/>
      <x:c r="F23" s="461"/>
      <x:c r="G23" s="461"/>
    </x:row>
    <x:row r="24" ht="32" customHeight="1">
      <x:c r="A24" s="461"/>
      <x:c r="B24" s="473"/>
      <x:c r="C24" s="461"/>
      <x:c r="D24" s="461"/>
      <x:c r="E24" s="461"/>
      <x:c r="F24" s="461"/>
      <x:c r="G24" s="461"/>
    </x:row>
    <x:row r="25" ht="32" customHeight="1">
      <x:c r="A25" s="461"/>
      <x:c r="B25" s="473"/>
      <x:c r="C25" s="461"/>
      <x:c r="D25" s="461"/>
      <x:c r="E25" s="461"/>
      <x:c r="F25" s="461"/>
      <x:c r="G25" s="461"/>
    </x:row>
    <x:row r="26" ht="32" customHeight="1">
      <x:c r="A26" s="461"/>
      <x:c r="B26" s="473"/>
      <x:c r="C26" s="461"/>
      <x:c r="D26" s="461"/>
      <x:c r="E26" s="461"/>
      <x:c r="F26" s="461"/>
      <x:c r="G26" s="461"/>
    </x:row>
    <x:row r="27" ht="32" customHeight="1">
      <x:c r="A27" s="461"/>
      <x:c r="B27" s="473"/>
      <x:c r="C27" s="461"/>
      <x:c r="D27" s="461"/>
      <x:c r="E27" s="461"/>
      <x:c r="F27" s="461"/>
      <x:c r="G27" s="461"/>
    </x:row>
    <x:row r="28" ht="32" customHeight="1">
      <x:c r="A28" s="461"/>
      <x:c r="B28" s="473"/>
      <x:c r="C28" s="461"/>
      <x:c r="D28" s="461"/>
      <x:c r="E28" s="461"/>
      <x:c r="F28" s="461"/>
      <x:c r="G28" s="461"/>
    </x:row>
    <x:row r="29" ht="32" customHeight="1">
      <x:c r="A29" s="461"/>
      <x:c r="B29" s="473"/>
      <x:c r="C29" s="461"/>
      <x:c r="D29" s="461"/>
      <x:c r="E29" s="461"/>
      <x:c r="F29" s="461"/>
      <x:c r="G29" s="461"/>
    </x:row>
    <x:row r="30" ht="32" customHeight="1">
      <x:c r="A30" s="461"/>
      <x:c r="B30" s="473"/>
      <x:c r="C30" s="461"/>
      <x:c r="D30" s="461"/>
      <x:c r="E30" s="461"/>
      <x:c r="F30" s="461"/>
      <x:c r="G30" s="461"/>
    </x:row>
    <x:row r="31" ht="32" customHeight="1">
      <x:c r="A31" s="461"/>
      <x:c r="B31" s="473"/>
      <x:c r="C31" s="461"/>
      <x:c r="D31" s="461"/>
      <x:c r="E31" s="461"/>
      <x:c r="F31" s="461"/>
      <x:c r="G31" s="461"/>
    </x:row>
    <x:row r="32" ht="32" customHeight="1">
      <x:c r="A32" s="461"/>
      <x:c r="B32" s="473"/>
      <x:c r="C32" s="461"/>
      <x:c r="D32" s="461"/>
      <x:c r="E32" s="461"/>
      <x:c r="F32" s="461"/>
      <x:c r="G32" s="461"/>
    </x:row>
    <x:row r="33" ht="32" customHeight="1">
      <x:c r="A33" s="461"/>
      <x:c r="B33" s="473"/>
      <x:c r="C33" s="461"/>
      <x:c r="D33" s="461"/>
      <x:c r="E33" s="461"/>
      <x:c r="F33" s="461"/>
      <x:c r="G33" s="461"/>
    </x:row>
    <x:row r="34" ht="32" customHeight="1">
      <x:c r="A34" s="461"/>
      <x:c r="B34" s="473"/>
      <x:c r="C34" s="461"/>
      <x:c r="D34" s="461"/>
      <x:c r="E34" s="461"/>
      <x:c r="F34" s="461"/>
      <x:c r="G34" s="461"/>
    </x:row>
    <x:row r="35" ht="32" customHeight="1">
      <x:c r="A35" s="461"/>
      <x:c r="B35" s="473"/>
      <x:c r="C35" s="461"/>
      <x:c r="D35" s="461"/>
      <x:c r="E35" s="461"/>
      <x:c r="F35" s="461"/>
      <x:c r="G35" s="461"/>
    </x:row>
    <x:row r="36" ht="32" customHeight="1">
      <x:c r="A36" s="461"/>
      <x:c r="B36" s="473"/>
      <x:c r="C36" s="461"/>
      <x:c r="D36" s="461"/>
      <x:c r="E36" s="461"/>
      <x:c r="F36" s="461"/>
      <x:c r="G36" s="461"/>
    </x:row>
    <x:row r="37" ht="32" customHeight="1">
      <x:c r="A37" s="461"/>
      <x:c r="B37" s="473"/>
      <x:c r="C37" s="461"/>
      <x:c r="D37" s="461"/>
      <x:c r="E37" s="461"/>
      <x:c r="F37" s="461"/>
      <x:c r="G37" s="461"/>
    </x:row>
    <x:row r="38" ht="32" customHeight="1">
      <x:c r="A38" s="461"/>
      <x:c r="B38" s="473"/>
      <x:c r="C38" s="461"/>
      <x:c r="D38" s="461"/>
      <x:c r="E38" s="461"/>
      <x:c r="F38" s="461"/>
      <x:c r="G38" s="461"/>
    </x:row>
    <x:row r="39" ht="32" customHeight="1">
      <x:c r="A39" s="461"/>
      <x:c r="B39" s="473"/>
      <x:c r="C39" s="461"/>
      <x:c r="D39" s="461"/>
      <x:c r="E39" s="461"/>
      <x:c r="F39" s="461"/>
      <x:c r="G39" s="461"/>
    </x:row>
    <x:row r="40" ht="32" customHeight="1">
      <x:c r="A40" s="461"/>
      <x:c r="B40" s="473"/>
      <x:c r="C40" s="461"/>
      <x:c r="D40" s="461"/>
      <x:c r="E40" s="461"/>
      <x:c r="F40" s="461"/>
      <x:c r="G40" s="461"/>
    </x:row>
    <x:row r="41" ht="32" customHeight="1">
      <x:c r="A41" s="461"/>
      <x:c r="B41" s="473"/>
      <x:c r="C41" s="461"/>
      <x:c r="D41" s="461"/>
      <x:c r="E41" s="461"/>
      <x:c r="F41" s="461"/>
      <x:c r="G41" s="461"/>
    </x:row>
    <x:row r="42" ht="32" customHeight="1">
      <x:c r="A42" s="461"/>
      <x:c r="B42" s="473"/>
      <x:c r="C42" s="461"/>
      <x:c r="D42" s="461"/>
      <x:c r="E42" s="461"/>
      <x:c r="F42" s="461"/>
      <x:c r="G42" s="461"/>
    </x:row>
    <x:row r="43" ht="32" customHeight="1">
      <x:c r="A43" s="461"/>
      <x:c r="B43" s="473"/>
      <x:c r="C43" s="461"/>
      <x:c r="D43" s="461"/>
      <x:c r="E43" s="461"/>
      <x:c r="F43" s="461"/>
      <x:c r="G43" s="461"/>
    </x:row>
    <x:row r="44" ht="32" customHeight="1">
      <x:c r="A44" s="461"/>
      <x:c r="B44" s="473"/>
      <x:c r="C44" s="461"/>
      <x:c r="D44" s="461"/>
      <x:c r="E44" s="461"/>
      <x:c r="F44" s="461"/>
      <x:c r="G44" s="461"/>
    </x:row>
    <x:row r="45" ht="32" customHeight="1">
      <x:c r="A45" s="461"/>
      <x:c r="B45" s="473"/>
      <x:c r="C45" s="461"/>
      <x:c r="D45" s="461"/>
      <x:c r="E45" s="461"/>
      <x:c r="F45" s="461"/>
      <x:c r="G45" s="461"/>
    </x:row>
    <x:row r="46" ht="32" customHeight="1">
      <x:c r="A46" s="461"/>
      <x:c r="B46" s="473"/>
      <x:c r="C46" s="461"/>
      <x:c r="D46" s="461"/>
      <x:c r="E46" s="461"/>
      <x:c r="F46" s="461"/>
      <x:c r="G46" s="461"/>
    </x:row>
    <x:row r="47" ht="32" customHeight="1">
      <x:c r="A47" s="461"/>
      <x:c r="B47" s="473"/>
      <x:c r="C47" s="461"/>
      <x:c r="D47" s="461"/>
      <x:c r="E47" s="461"/>
      <x:c r="F47" s="461"/>
      <x:c r="G47" s="461"/>
    </x:row>
    <x:row r="48" ht="32" customHeight="1">
      <x:c r="A48" s="461"/>
      <x:c r="B48" s="473"/>
      <x:c r="C48" s="461"/>
      <x:c r="D48" s="461"/>
      <x:c r="E48" s="461"/>
      <x:c r="F48" s="461"/>
      <x:c r="G48" s="461"/>
    </x:row>
    <x:row r="49" ht="32" customHeight="1">
      <x:c r="A49" s="461"/>
      <x:c r="B49" s="473"/>
      <x:c r="C49" s="461"/>
      <x:c r="D49" s="461"/>
      <x:c r="E49" s="461"/>
      <x:c r="F49" s="461"/>
      <x:c r="G49" s="461"/>
    </x:row>
    <x:row r="50" ht="32" customHeight="1">
      <x:c r="A50" s="461"/>
      <x:c r="B50" s="473"/>
      <x:c r="C50" s="461"/>
      <x:c r="D50" s="461"/>
      <x:c r="E50" s="461"/>
      <x:c r="F50" s="461"/>
      <x:c r="G50" s="461"/>
    </x:row>
    <x:row r="51" ht="32" customHeight="1">
      <x:c r="A51" s="461"/>
      <x:c r="B51" s="473"/>
      <x:c r="C51" s="461"/>
      <x:c r="D51" s="461"/>
      <x:c r="E51" s="461"/>
      <x:c r="F51" s="461"/>
      <x:c r="G51" s="461"/>
    </x:row>
    <x:row r="52" ht="32" customHeight="1">
      <x:c r="A52" s="461"/>
      <x:c r="B52" s="473"/>
      <x:c r="C52" s="461"/>
      <x:c r="D52" s="461"/>
      <x:c r="E52" s="461"/>
      <x:c r="F52" s="461"/>
      <x:c r="G52" s="461"/>
    </x:row>
    <x:row r="53" ht="32" customHeight="1">
      <x:c r="A53" s="461"/>
      <x:c r="B53" s="473"/>
      <x:c r="C53" s="461"/>
      <x:c r="D53" s="461"/>
      <x:c r="E53" s="461"/>
      <x:c r="F53" s="461"/>
      <x:c r="G53" s="461"/>
    </x:row>
    <x:row r="54" ht="32" customHeight="1">
      <x:c r="A54" s="461"/>
      <x:c r="B54" s="473"/>
      <x:c r="C54" s="461"/>
      <x:c r="D54" s="461"/>
      <x:c r="E54" s="461"/>
      <x:c r="F54" s="461"/>
      <x:c r="G54" s="461"/>
    </x:row>
    <x:row r="55" ht="32" customHeight="1">
      <x:c r="A55" s="461"/>
      <x:c r="B55" s="473"/>
      <x:c r="C55" s="461"/>
      <x:c r="D55" s="461"/>
      <x:c r="E55" s="461"/>
      <x:c r="F55" s="461"/>
      <x:c r="G55" s="461"/>
    </x:row>
    <x:row r="56" ht="32" customHeight="1">
      <x:c r="A56" s="461"/>
      <x:c r="B56" s="473"/>
      <x:c r="C56" s="461"/>
      <x:c r="D56" s="461"/>
      <x:c r="E56" s="461"/>
      <x:c r="F56" s="461"/>
      <x:c r="G56" s="461"/>
    </x:row>
    <x:row r="57" ht="32" customHeight="1">
      <x:c r="A57" s="461"/>
      <x:c r="B57" s="473"/>
      <x:c r="C57" s="461"/>
      <x:c r="D57" s="461"/>
      <x:c r="E57" s="461"/>
      <x:c r="F57" s="461"/>
      <x:c r="G57" s="461"/>
    </x:row>
    <x:row r="58" ht="32" customHeight="1">
      <x:c r="A58" s="461"/>
      <x:c r="B58" s="473"/>
      <x:c r="C58" s="461"/>
      <x:c r="D58" s="461"/>
      <x:c r="E58" s="461"/>
      <x:c r="F58" s="461"/>
      <x:c r="G58" s="461"/>
    </x:row>
    <x:row r="59" ht="32" customHeight="1">
      <x:c r="A59" s="461"/>
      <x:c r="B59" s="473"/>
      <x:c r="C59" s="461"/>
      <x:c r="D59" s="461"/>
      <x:c r="E59" s="461"/>
      <x:c r="F59" s="461"/>
      <x:c r="G59" s="461"/>
    </x:row>
    <x:row r="60" ht="32" customHeight="1">
      <x:c r="A60" s="461"/>
      <x:c r="B60" s="473"/>
      <x:c r="C60" s="461"/>
      <x:c r="D60" s="461"/>
      <x:c r="E60" s="461"/>
      <x:c r="F60" s="461"/>
      <x:c r="G60" s="461"/>
    </x:row>
    <x:row r="61" ht="32" customHeight="1">
      <x:c r="A61" s="461"/>
      <x:c r="B61" s="473"/>
      <x:c r="C61" s="461"/>
      <x:c r="D61" s="461"/>
      <x:c r="E61" s="461"/>
      <x:c r="F61" s="461"/>
      <x:c r="G61" s="461"/>
    </x:row>
    <x:row r="62" ht="32" customHeight="1">
      <x:c r="A62" s="461"/>
      <x:c r="B62" s="473"/>
      <x:c r="C62" s="461"/>
      <x:c r="D62" s="461"/>
      <x:c r="E62" s="461"/>
      <x:c r="F62" s="461"/>
      <x:c r="G62" s="461"/>
    </x:row>
    <x:row r="63" ht="32" customHeight="1">
      <x:c r="A63" s="461"/>
      <x:c r="B63" s="473"/>
      <x:c r="C63" s="461"/>
      <x:c r="D63" s="461"/>
      <x:c r="E63" s="461"/>
      <x:c r="F63" s="461"/>
      <x:c r="G63" s="461"/>
    </x:row>
    <x:row r="64" ht="32" customHeight="1">
      <x:c r="A64" s="461"/>
      <x:c r="B64" s="473"/>
      <x:c r="C64" s="461"/>
      <x:c r="D64" s="461"/>
      <x:c r="E64" s="461"/>
      <x:c r="F64" s="461"/>
      <x:c r="G64" s="461"/>
    </x:row>
    <x:row r="65" ht="32" customHeight="1">
      <x:c r="A65" s="461"/>
      <x:c r="B65" s="473"/>
      <x:c r="C65" s="461"/>
      <x:c r="D65" s="461"/>
      <x:c r="E65" s="461"/>
      <x:c r="F65" s="461"/>
      <x:c r="G65" s="461"/>
    </x:row>
    <x:row r="66" ht="32" customHeight="1">
      <x:c r="A66" s="461"/>
      <x:c r="B66" s="473"/>
      <x:c r="C66" s="461"/>
      <x:c r="D66" s="461"/>
      <x:c r="E66" s="461"/>
      <x:c r="F66" s="461"/>
      <x:c r="G66" s="461"/>
    </x:row>
    <x:row r="67" ht="32" customHeight="1">
      <x:c r="A67" s="461"/>
      <x:c r="B67" s="473"/>
      <x:c r="C67" s="461"/>
      <x:c r="D67" s="461"/>
      <x:c r="E67" s="461"/>
      <x:c r="F67" s="461"/>
      <x:c r="G67" s="461"/>
    </x:row>
    <x:row r="68" ht="32" customHeight="1">
      <x:c r="A68" s="461"/>
      <x:c r="B68" s="473"/>
      <x:c r="C68" s="461"/>
      <x:c r="D68" s="461"/>
      <x:c r="E68" s="461"/>
      <x:c r="F68" s="461"/>
      <x:c r="G68" s="461"/>
    </x:row>
    <x:row r="69" ht="32" customHeight="1">
      <x:c r="A69" s="461"/>
      <x:c r="B69" s="473"/>
      <x:c r="C69" s="461"/>
      <x:c r="D69" s="461"/>
      <x:c r="E69" s="461"/>
      <x:c r="F69" s="461"/>
      <x:c r="G69" s="461"/>
    </x:row>
    <x:row r="70" ht="32" customHeight="1">
      <x:c r="A70" s="461"/>
      <x:c r="B70" s="473"/>
      <x:c r="C70" s="461"/>
      <x:c r="D70" s="461"/>
      <x:c r="E70" s="461"/>
      <x:c r="F70" s="461"/>
      <x:c r="G70" s="461"/>
    </x:row>
    <x:row r="71" ht="32" customHeight="1">
      <x:c r="A71" s="461"/>
      <x:c r="B71" s="473"/>
      <x:c r="C71" s="461"/>
      <x:c r="D71" s="461"/>
      <x:c r="E71" s="461"/>
      <x:c r="F71" s="461"/>
      <x:c r="G71" s="461"/>
    </x:row>
    <x:row r="72" ht="32" customHeight="1">
      <x:c r="A72" s="461"/>
      <x:c r="B72" s="473"/>
      <x:c r="C72" s="461"/>
      <x:c r="D72" s="461"/>
      <x:c r="E72" s="461"/>
      <x:c r="F72" s="461"/>
      <x:c r="G72" s="461"/>
    </x:row>
    <x:row r="73" ht="32" customHeight="1">
      <x:c r="A73" s="461"/>
      <x:c r="B73" s="473"/>
      <x:c r="C73" s="461"/>
      <x:c r="D73" s="461"/>
      <x:c r="E73" s="461"/>
      <x:c r="F73" s="461"/>
      <x:c r="G73" s="461"/>
    </x:row>
    <x:row r="74" ht="32" customHeight="1">
      <x:c r="A74" s="461"/>
      <x:c r="B74" s="473"/>
      <x:c r="C74" s="461"/>
      <x:c r="D74" s="461"/>
      <x:c r="E74" s="461"/>
      <x:c r="F74" s="461"/>
      <x:c r="G74" s="461"/>
    </x:row>
    <x:row r="75" ht="32" customHeight="1">
      <x:c r="A75" s="461"/>
      <x:c r="B75" s="473"/>
      <x:c r="C75" s="461"/>
      <x:c r="D75" s="461"/>
      <x:c r="E75" s="461"/>
      <x:c r="F75" s="461"/>
      <x:c r="G75" s="461"/>
    </x:row>
    <x:row r="76" ht="32" customHeight="1">
      <x:c r="A76" s="461"/>
      <x:c r="B76" s="473"/>
      <x:c r="C76" s="461"/>
      <x:c r="D76" s="461"/>
      <x:c r="E76" s="461"/>
      <x:c r="F76" s="461"/>
      <x:c r="G76" s="461"/>
    </x:row>
    <x:row r="77" ht="32" customHeight="1">
      <x:c r="A77" s="461"/>
      <x:c r="B77" s="473"/>
      <x:c r="C77" s="461"/>
      <x:c r="D77" s="461"/>
      <x:c r="E77" s="461"/>
      <x:c r="F77" s="461"/>
      <x:c r="G77" s="461"/>
    </x:row>
    <x:row r="78" ht="32" customHeight="1">
      <x:c r="A78" s="461"/>
      <x:c r="B78" s="473"/>
      <x:c r="C78" s="461"/>
      <x:c r="D78" s="461"/>
      <x:c r="E78" s="461"/>
      <x:c r="F78" s="461"/>
      <x:c r="G78" s="461"/>
    </x:row>
    <x:row r="79" ht="32" customHeight="1">
      <x:c r="A79" s="461"/>
      <x:c r="B79" s="473"/>
      <x:c r="C79" s="461"/>
      <x:c r="D79" s="461"/>
      <x:c r="E79" s="461"/>
      <x:c r="F79" s="461"/>
      <x:c r="G79" s="461"/>
    </x:row>
    <x:row r="80" ht="32" customHeight="1">
      <x:c r="A80" s="461"/>
      <x:c r="B80" s="473"/>
      <x:c r="C80" s="461"/>
      <x:c r="D80" s="461"/>
      <x:c r="E80" s="461"/>
      <x:c r="F80" s="461"/>
      <x:c r="G80" s="461"/>
    </x:row>
    <x:row r="81" ht="32" customHeight="1">
      <x:c r="A81" s="461"/>
      <x:c r="B81" s="473"/>
      <x:c r="C81" s="461"/>
      <x:c r="D81" s="461"/>
      <x:c r="E81" s="461"/>
      <x:c r="F81" s="461"/>
      <x:c r="G81" s="461"/>
    </x:row>
    <x:row r="82" ht="32" customHeight="1">
      <x:c r="A82" s="461"/>
      <x:c r="B82" s="473"/>
      <x:c r="C82" s="461"/>
      <x:c r="D82" s="461"/>
      <x:c r="E82" s="461"/>
      <x:c r="F82" s="461"/>
      <x:c r="G82" s="461"/>
    </x:row>
    <x:row r="83" ht="32" customHeight="1">
      <x:c r="A83" s="461"/>
      <x:c r="B83" s="473"/>
      <x:c r="C83" s="461"/>
      <x:c r="D83" s="461"/>
      <x:c r="E83" s="461"/>
      <x:c r="F83" s="461"/>
      <x:c r="G83" s="461"/>
    </x:row>
    <x:row r="84" ht="32" customHeight="1">
      <x:c r="A84" s="461"/>
      <x:c r="B84" s="473"/>
      <x:c r="C84" s="461"/>
      <x:c r="D84" s="461"/>
      <x:c r="E84" s="461"/>
      <x:c r="F84" s="461"/>
      <x:c r="G84" s="461"/>
    </x:row>
    <x:row r="85" ht="32" customHeight="1">
      <x:c r="A85" s="461"/>
      <x:c r="B85" s="473"/>
      <x:c r="C85" s="461"/>
      <x:c r="D85" s="461"/>
      <x:c r="E85" s="461"/>
      <x:c r="F85" s="461"/>
      <x:c r="G85" s="461"/>
    </x:row>
    <x:row r="86" ht="32" customHeight="1">
      <x:c r="A86" s="461"/>
      <x:c r="B86" s="473"/>
      <x:c r="C86" s="461"/>
      <x:c r="D86" s="461"/>
      <x:c r="E86" s="461"/>
      <x:c r="F86" s="461"/>
      <x:c r="G86" s="461"/>
    </x:row>
    <x:row r="87" ht="32" customHeight="1">
      <x:c r="A87" s="461"/>
      <x:c r="B87" s="473"/>
      <x:c r="C87" s="461"/>
      <x:c r="D87" s="461"/>
      <x:c r="E87" s="461"/>
      <x:c r="F87" s="461"/>
      <x:c r="G87" s="461"/>
    </x:row>
    <x:row r="88" ht="32" customHeight="1">
      <x:c r="A88" s="461"/>
      <x:c r="B88" s="473"/>
      <x:c r="C88" s="461"/>
      <x:c r="D88" s="461"/>
      <x:c r="E88" s="461"/>
      <x:c r="F88" s="461"/>
      <x:c r="G88" s="461"/>
    </x:row>
    <x:row r="89" ht="32" customHeight="1">
      <x:c r="A89" s="461"/>
      <x:c r="B89" s="473"/>
      <x:c r="C89" s="461"/>
      <x:c r="D89" s="461"/>
      <x:c r="E89" s="461"/>
      <x:c r="F89" s="461"/>
      <x:c r="G89" s="461"/>
    </x:row>
    <x:row r="90" ht="32" customHeight="1">
      <x:c r="A90" s="461"/>
      <x:c r="B90" s="473"/>
      <x:c r="C90" s="461"/>
      <x:c r="D90" s="461"/>
      <x:c r="E90" s="461"/>
      <x:c r="F90" s="461"/>
      <x:c r="G90" s="461"/>
    </x:row>
    <x:row r="91" ht="32" customHeight="1">
      <x:c r="A91" s="461"/>
      <x:c r="B91" s="473"/>
      <x:c r="C91" s="461"/>
      <x:c r="D91" s="461"/>
      <x:c r="E91" s="461"/>
      <x:c r="F91" s="461"/>
      <x:c r="G91" s="461"/>
    </x:row>
    <x:row r="92" ht="32" customHeight="1">
      <x:c r="A92" s="461"/>
      <x:c r="B92" s="473"/>
      <x:c r="C92" s="461"/>
      <x:c r="D92" s="461"/>
      <x:c r="E92" s="461"/>
      <x:c r="F92" s="461"/>
      <x:c r="G92" s="461"/>
    </x:row>
    <x:row r="93" ht="32" customHeight="1">
      <x:c r="A93" s="461"/>
      <x:c r="B93" s="473"/>
      <x:c r="C93" s="461"/>
      <x:c r="D93" s="461"/>
      <x:c r="E93" s="461"/>
      <x:c r="F93" s="461"/>
      <x:c r="G93" s="461"/>
    </x:row>
    <x:row r="94" ht="32" customHeight="1">
      <x:c r="A94" s="461"/>
      <x:c r="B94" s="473"/>
      <x:c r="C94" s="461"/>
      <x:c r="D94" s="461"/>
      <x:c r="E94" s="461"/>
      <x:c r="F94" s="461"/>
      <x:c r="G94" s="461"/>
    </x:row>
    <x:row r="95" ht="32" customHeight="1">
      <x:c r="A95" s="461"/>
      <x:c r="B95" s="473"/>
      <x:c r="C95" s="461"/>
      <x:c r="D95" s="461"/>
      <x:c r="E95" s="461"/>
      <x:c r="F95" s="461"/>
      <x:c r="G95" s="461"/>
    </x:row>
    <x:row r="96" ht="32" customHeight="1">
      <x:c r="A96" s="461"/>
      <x:c r="B96" s="473"/>
      <x:c r="C96" s="461"/>
      <x:c r="D96" s="461"/>
      <x:c r="E96" s="461"/>
      <x:c r="F96" s="461"/>
      <x:c r="G96" s="461"/>
    </x:row>
    <x:row r="97" ht="32" customHeight="1">
      <x:c r="A97" s="461"/>
      <x:c r="B97" s="473"/>
      <x:c r="C97" s="461"/>
      <x:c r="D97" s="461"/>
      <x:c r="E97" s="461"/>
      <x:c r="F97" s="461"/>
      <x:c r="G97" s="461"/>
    </x:row>
    <x:row r="98" ht="32" customHeight="1">
      <x:c r="A98" s="461"/>
      <x:c r="B98" s="473"/>
      <x:c r="C98" s="461"/>
      <x:c r="D98" s="461"/>
      <x:c r="E98" s="461"/>
      <x:c r="F98" s="461"/>
      <x:c r="G98" s="461"/>
    </x:row>
    <x:row r="99" ht="32" customHeight="1">
      <x:c r="A99" s="461"/>
      <x:c r="B99" s="473"/>
      <x:c r="C99" s="461"/>
      <x:c r="D99" s="461"/>
      <x:c r="E99" s="461"/>
      <x:c r="F99" s="461"/>
      <x:c r="G99" s="461"/>
    </x:row>
    <x:row r="100" ht="32" customHeight="1">
      <x:c r="A100" s="461"/>
      <x:c r="B100" s="473"/>
      <x:c r="C100" s="461"/>
      <x:c r="D100" s="461"/>
      <x:c r="E100" s="461"/>
      <x:c r="F100" s="461"/>
      <x:c r="G100" s="461"/>
    </x:row>
    <x:row r="101" ht="32" customHeight="1">
      <x:c r="A101" s="461"/>
      <x:c r="B101" s="473"/>
      <x:c r="C101" s="461"/>
      <x:c r="D101" s="461"/>
      <x:c r="E101" s="461"/>
      <x:c r="F101" s="461"/>
      <x:c r="G101" s="461"/>
    </x:row>
    <x:row r="102" ht="32" customHeight="1">
      <x:c r="A102" s="461"/>
      <x:c r="B102" s="473"/>
      <x:c r="C102" s="461"/>
      <x:c r="D102" s="461"/>
      <x:c r="E102" s="461"/>
      <x:c r="F102" s="461"/>
      <x:c r="G102" s="461"/>
    </x:row>
    <x:row r="103" ht="32" customHeight="1">
      <x:c r="A103" s="461"/>
      <x:c r="B103" s="473"/>
      <x:c r="C103" s="461"/>
      <x:c r="D103" s="461"/>
      <x:c r="E103" s="461"/>
      <x:c r="F103" s="461"/>
      <x:c r="G103" s="461"/>
    </x:row>
    <x:row r="104" ht="32" customHeight="1">
      <x:c r="A104" s="461"/>
      <x:c r="B104" s="473"/>
      <x:c r="C104" s="461"/>
      <x:c r="D104" s="461"/>
      <x:c r="E104" s="461"/>
      <x:c r="F104" s="461"/>
      <x:c r="G104" s="461"/>
    </x:row>
  </x:sheetData>
  <x:mergeCells>
    <x:mergeCell ref="A2:G2"/>
    <x:mergeCell ref="A1:G1"/>
  </x:mergeCells>
  <x:dataValidations count="1">
    <x:dataValidation type="list" sqref="B5:B104">
      <x:formula1>"BUSINESS,TECHNICAL"</x:formula1>
    </x:dataValidation>
  </x:dataValidations>
  <x:pageMargins left="0.7" right="0.7" top="0.75" bottom="0.75" header="0.3" footer="0.3"/>
  <x:tableParts count="1">
    <x:tablePart xmlns:r="http://schemas.openxmlformats.org/officeDocument/2006/relationships" r:id="Rfd6e87a857ea4b7a"/>
  </x:tableParts>
</x:worksheet>
</file>

<file path=xl/worksheets/sheet3.xml><?xml version="1.0" encoding="utf-8"?>
<x:worksheet xmlns:x="http://schemas.openxmlformats.org/spreadsheetml/2006/main">
  <x:sheetViews>
    <x:sheetView showGridLines="0" workbookViewId="0"/>
  </x:sheetViews>
  <x:sheetFormatPr baseColWidth="8" defaultColWidth="9" defaultRowHeight="16.799999237060547"/>
  <x:cols>
    <x:col min="1" max="2" width="15" customWidth="1"/>
    <x:col min="3" max="3" width="25" hidden="0" customWidth="1"/>
    <x:col min="4" max="4" width="28" hidden="0" customWidth="1"/>
    <x:col min="5" max="5" width="44" hidden="0" customWidth="1"/>
    <x:col min="6" max="7" width="34" customWidth="1"/>
    <x:col min="8" max="8" width="16" hidden="0" customWidth="1"/>
    <x:col min="9" max="9" width="38" hidden="0" customWidth="1"/>
    <x:col min="1" max="1" width="21" hidden="0" customWidth="1"/>
    <x:col min="2" max="2" width="21" hidden="0" customWidth="1"/>
    <x:col min="6" max="6" width="32" hidden="0" customWidth="1"/>
    <x:col min="7" max="7" width="34" hidden="0" customWidth="1"/>
    <x:col min="10" max="10" width="18" hidden="0" customWidth="1"/>
    <x:col min="11" max="11" width="38" hidden="0" customWidth="1"/>
  </x:cols>
  <x:sheetData>
    <x:row r="1" ht="31" customHeight="1">
      <x:c r="A1" s="390" t="str">
        <x:v>子需求（Feature）</x:v>
      </x:c>
      <x:c r="B1" s="390"/>
      <x:c r="C1" s="390"/>
      <x:c r="D1" s="390"/>
      <x:c r="E1" s="390"/>
      <x:c r="F1" s="390"/>
      <x:c r="G1" s="390"/>
      <x:c r="H1" s="390"/>
      <x:c r="I1" s="390"/>
    </x:row>
    <x:row r="2" ht="34" customHeight="1">
      <x:c r="A2" s="400" t="str">
        <x:v>Feature 是范围与交付的最小稳定需求实体；业务与技术 Feature 使用同一结构</x:v>
      </x:c>
      <x:c r="B2" s="400"/>
      <x:c r="C2" s="400"/>
      <x:c r="D2" s="400"/>
      <x:c r="E2" s="400"/>
      <x:c r="F2" s="400"/>
      <x:c r="G2" s="400"/>
      <x:c r="H2" s="400"/>
      <x:c r="I2" s="400"/>
    </x:row>
    <x:row r="3" ht="9" customHeight="1"/>
    <x:row r="4" ht="38" customHeight="1">
      <x:c r="A4" s="453" t="str">
        <x:v>Feature ID</x:v>
      </x:c>
      <x:c r="B4" s="453" t="str">
        <x:v>Epic ID</x:v>
      </x:c>
      <x:c r="C4" s="453" t="str">
        <x:v>Epic 名称</x:v>
      </x:c>
      <x:c r="D4" s="453" t="str">
        <x:v>子需求名称</x:v>
      </x:c>
      <x:c r="E4" s="453" t="str">
        <x:v>场景/范围描述</x:v>
      </x:c>
      <x:c r="F4" s="453" t="str">
        <x:v>涉及系统/数据</x:v>
      </x:c>
      <x:c r="G4" s="453" t="str">
        <x:v>约束/NFR</x:v>
      </x:c>
      <x:c r="H4" s="453" t="str">
        <x:v>来源类型</x:v>
      </x:c>
      <x:c r="I4" s="453" t="str">
        <x:v>推断理由</x:v>
      </x:c>
      <x:c r="J4"/>
      <x:c r="K4"/>
    </x:row>
    <x:row r="5" ht="34" customHeight="1">
      <x:c r="A5" s="461" t="n"/>
      <x:c r="B5" s="461" t="n"/>
      <x:c r="C5" s="461" t="n"/>
      <x:c r="D5" s="461" t="n"/>
      <x:c r="E5" s="461" t="n"/>
      <x:c r="F5" s="461" t="n"/>
      <x:c r="G5" s="461" t="n"/>
      <x:c r="H5" s="473" t="n"/>
      <x:c r="I5" s="461" t="n"/>
      <x:c r="J5"/>
      <x:c r="K5"/>
    </x:row>
    <x:row r="6" ht="34" customHeight="1">
      <x:c r="A6" s="461" t="n"/>
      <x:c r="B6" s="461" t="n"/>
      <x:c r="C6" s="461" t="n"/>
      <x:c r="D6" s="461" t="n"/>
      <x:c r="E6" s="461" t="n"/>
      <x:c r="F6" s="461" t="n"/>
      <x:c r="G6" s="461" t="n"/>
      <x:c r="H6" s="473" t="n"/>
      <x:c r="I6" s="461" t="n"/>
      <x:c r="J6"/>
      <x:c r="K6"/>
    </x:row>
    <x:row r="7" ht="34" customHeight="1">
      <x:c r="A7" s="461" t="n"/>
      <x:c r="B7" s="461" t="n"/>
      <x:c r="C7" s="461" t="n"/>
      <x:c r="D7" s="461" t="n"/>
      <x:c r="E7" s="461" t="n"/>
      <x:c r="F7" s="461" t="n"/>
      <x:c r="G7" s="461" t="n"/>
      <x:c r="H7" s="473" t="n"/>
      <x:c r="I7" s="461" t="n"/>
      <x:c r="J7"/>
      <x:c r="K7"/>
    </x:row>
    <x:row r="8" ht="34" customHeight="1">
      <x:c r="A8" s="461" t="n"/>
      <x:c r="B8" s="461" t="n"/>
      <x:c r="C8" s="461" t="n"/>
      <x:c r="D8" s="461" t="n"/>
      <x:c r="E8" s="461" t="n"/>
      <x:c r="F8" s="461" t="n"/>
      <x:c r="G8" s="461" t="n"/>
      <x:c r="H8" s="473" t="n"/>
      <x:c r="I8" s="461" t="n"/>
      <x:c r="J8"/>
      <x:c r="K8"/>
    </x:row>
    <x:row r="9" ht="34" customHeight="1">
      <x:c r="A9" s="461" t="n"/>
      <x:c r="B9" s="461" t="n"/>
      <x:c r="C9" s="461" t="n"/>
      <x:c r="D9" s="461" t="n"/>
      <x:c r="E9" s="461" t="n"/>
      <x:c r="F9" s="461" t="n"/>
      <x:c r="G9" s="461" t="n"/>
      <x:c r="H9" s="473" t="n"/>
      <x:c r="I9" s="461" t="n"/>
      <x:c r="J9"/>
      <x:c r="K9"/>
    </x:row>
    <x:row r="10" ht="34" customHeight="1">
      <x:c r="A10" s="461" t="n"/>
      <x:c r="B10" s="461" t="n"/>
      <x:c r="C10" s="461" t="n"/>
      <x:c r="D10" s="461" t="n"/>
      <x:c r="E10" s="461" t="n"/>
      <x:c r="F10" s="461" t="n"/>
      <x:c r="G10" s="461" t="n"/>
      <x:c r="H10" s="473" t="n"/>
      <x:c r="I10" s="461" t="n"/>
      <x:c r="J10"/>
      <x:c r="K10"/>
    </x:row>
    <x:row r="11" ht="34" customHeight="1">
      <x:c r="A11" s="461" t="n"/>
      <x:c r="B11" s="461" t="n"/>
      <x:c r="C11" s="461" t="n"/>
      <x:c r="D11" s="461" t="n"/>
      <x:c r="E11" s="461" t="n"/>
      <x:c r="F11" s="461" t="n"/>
      <x:c r="G11" s="461" t="n"/>
      <x:c r="H11" s="473" t="n"/>
      <x:c r="I11" s="461" t="n"/>
      <x:c r="J11"/>
      <x:c r="K11"/>
    </x:row>
    <x:row r="12" ht="34" customHeight="1">
      <x:c r="A12" s="461" t="n"/>
      <x:c r="B12" s="461" t="n"/>
      <x:c r="C12" s="461" t="n"/>
      <x:c r="D12" s="461" t="n"/>
      <x:c r="E12" s="461" t="n"/>
      <x:c r="F12" s="461" t="n"/>
      <x:c r="G12" s="461" t="n"/>
      <x:c r="H12" s="473" t="n"/>
      <x:c r="I12" s="461" t="n"/>
      <x:c r="J12"/>
      <x:c r="K12"/>
    </x:row>
    <x:row r="13" ht="34" customHeight="1">
      <x:c r="A13" s="461"/>
      <x:c r="B13" s="461"/>
      <x:c r="C13" s="461"/>
      <x:c r="D13" s="461"/>
      <x:c r="E13" s="461"/>
      <x:c r="F13" s="461"/>
      <x:c r="G13" s="461"/>
      <x:c r="H13" s="473"/>
      <x:c r="I13" s="461"/>
      <x:c r="J13"/>
      <x:c r="K13"/>
    </x:row>
    <x:row r="14" ht="34" customHeight="1">
      <x:c r="A14" s="461"/>
      <x:c r="B14" s="461"/>
      <x:c r="C14" s="461"/>
      <x:c r="D14" s="461"/>
      <x:c r="E14" s="461"/>
      <x:c r="F14" s="461"/>
      <x:c r="G14" s="461"/>
      <x:c r="H14" s="473"/>
      <x:c r="I14" s="461"/>
      <x:c r="J14"/>
      <x:c r="K14"/>
    </x:row>
    <x:row r="15" ht="34" customHeight="1">
      <x:c r="A15" s="461"/>
      <x:c r="B15" s="461"/>
      <x:c r="C15" s="461"/>
      <x:c r="D15" s="461"/>
      <x:c r="E15" s="461"/>
      <x:c r="F15" s="461"/>
      <x:c r="G15" s="461"/>
      <x:c r="H15" s="473"/>
      <x:c r="I15" s="461"/>
      <x:c r="J15"/>
      <x:c r="K15"/>
    </x:row>
    <x:row r="16" ht="34" customHeight="1">
      <x:c r="A16" s="461"/>
      <x:c r="B16" s="461"/>
      <x:c r="C16" s="461"/>
      <x:c r="D16" s="461"/>
      <x:c r="E16" s="461"/>
      <x:c r="F16" s="461"/>
      <x:c r="G16" s="461"/>
      <x:c r="H16" s="473"/>
      <x:c r="I16" s="461"/>
      <x:c r="J16"/>
      <x:c r="K16"/>
    </x:row>
    <x:row r="17" ht="34" customHeight="1">
      <x:c r="A17" s="461"/>
      <x:c r="B17" s="461"/>
      <x:c r="C17" s="461"/>
      <x:c r="D17" s="461"/>
      <x:c r="E17" s="461"/>
      <x:c r="F17" s="461"/>
      <x:c r="G17" s="461"/>
      <x:c r="H17" s="473"/>
      <x:c r="I17" s="461"/>
      <x:c r="J17"/>
      <x:c r="K17"/>
    </x:row>
    <x:row r="18" ht="34" customHeight="1">
      <x:c r="A18" s="461"/>
      <x:c r="B18" s="461"/>
      <x:c r="C18" s="461"/>
      <x:c r="D18" s="461"/>
      <x:c r="E18" s="461"/>
      <x:c r="F18" s="461"/>
      <x:c r="G18" s="461"/>
      <x:c r="H18" s="473"/>
      <x:c r="I18" s="461"/>
      <x:c r="J18"/>
      <x:c r="K18"/>
    </x:row>
    <x:row r="19" ht="34" customHeight="1">
      <x:c r="A19" s="461"/>
      <x:c r="B19" s="461"/>
      <x:c r="C19" s="461"/>
      <x:c r="D19" s="461"/>
      <x:c r="E19" s="461"/>
      <x:c r="F19" s="461"/>
      <x:c r="G19" s="461"/>
      <x:c r="H19" s="473"/>
      <x:c r="I19" s="461"/>
      <x:c r="J19"/>
      <x:c r="K19"/>
    </x:row>
    <x:row r="20" ht="34" customHeight="1">
      <x:c r="A20" s="461"/>
      <x:c r="B20" s="461"/>
      <x:c r="C20" s="461"/>
      <x:c r="D20" s="461"/>
      <x:c r="E20" s="461"/>
      <x:c r="F20" s="461"/>
      <x:c r="G20" s="461"/>
      <x:c r="H20" s="473"/>
      <x:c r="I20" s="461"/>
      <x:c r="J20"/>
      <x:c r="K20"/>
    </x:row>
    <x:row r="21" ht="34" customHeight="1">
      <x:c r="A21" s="461"/>
      <x:c r="B21" s="461"/>
      <x:c r="C21" s="461"/>
      <x:c r="D21" s="461"/>
      <x:c r="E21" s="461"/>
      <x:c r="F21" s="461"/>
      <x:c r="G21" s="461"/>
      <x:c r="H21" s="473"/>
      <x:c r="I21" s="461"/>
      <x:c r="J21"/>
      <x:c r="K21"/>
    </x:row>
    <x:row r="22" ht="34" customHeight="1">
      <x:c r="A22" s="461"/>
      <x:c r="B22" s="461"/>
      <x:c r="C22" s="461"/>
      <x:c r="D22" s="461"/>
      <x:c r="E22" s="461"/>
      <x:c r="F22" s="461"/>
      <x:c r="G22" s="461"/>
      <x:c r="H22" s="473"/>
      <x:c r="I22" s="461"/>
      <x:c r="J22"/>
      <x:c r="K22"/>
    </x:row>
    <x:row r="23" ht="34" customHeight="1">
      <x:c r="A23" s="461"/>
      <x:c r="B23" s="461"/>
      <x:c r="C23" s="461"/>
      <x:c r="D23" s="461"/>
      <x:c r="E23" s="461"/>
      <x:c r="F23" s="461"/>
      <x:c r="G23" s="461"/>
      <x:c r="H23" s="473"/>
      <x:c r="I23" s="461"/>
      <x:c r="J23"/>
      <x:c r="K23"/>
    </x:row>
    <x:row r="24" ht="34" customHeight="1">
      <x:c r="A24" s="461"/>
      <x:c r="B24" s="461"/>
      <x:c r="C24" s="461"/>
      <x:c r="D24" s="461"/>
      <x:c r="E24" s="461"/>
      <x:c r="F24" s="461"/>
      <x:c r="G24" s="461"/>
      <x:c r="H24" s="473"/>
      <x:c r="I24" s="461"/>
      <x:c r="J24"/>
      <x:c r="K24"/>
    </x:row>
    <x:row r="25" ht="34" customHeight="1">
      <x:c r="A25" s="461"/>
      <x:c r="B25" s="461"/>
      <x:c r="C25" s="461"/>
      <x:c r="D25" s="461"/>
      <x:c r="E25" s="461"/>
      <x:c r="F25" s="461"/>
      <x:c r="G25" s="461"/>
      <x:c r="H25" s="473"/>
      <x:c r="I25" s="461"/>
      <x:c r="J25"/>
      <x:c r="K25"/>
    </x:row>
    <x:row r="26" ht="34" customHeight="1">
      <x:c r="A26" s="461"/>
      <x:c r="B26" s="461"/>
      <x:c r="C26" s="461"/>
      <x:c r="D26" s="461"/>
      <x:c r="E26" s="461"/>
      <x:c r="F26" s="461"/>
      <x:c r="G26" s="461"/>
      <x:c r="H26" s="473"/>
      <x:c r="I26" s="461"/>
      <x:c r="J26"/>
      <x:c r="K26"/>
    </x:row>
    <x:row r="27" ht="34" customHeight="1">
      <x:c r="A27" s="461"/>
      <x:c r="B27" s="461"/>
      <x:c r="C27" s="461"/>
      <x:c r="D27" s="461"/>
      <x:c r="E27" s="461"/>
      <x:c r="F27" s="461"/>
      <x:c r="G27" s="461"/>
      <x:c r="H27" s="473"/>
      <x:c r="I27" s="461"/>
      <x:c r="J27"/>
      <x:c r="K27"/>
    </x:row>
    <x:row r="28" ht="34" customHeight="1">
      <x:c r="A28" s="461"/>
      <x:c r="B28" s="461"/>
      <x:c r="C28" s="461"/>
      <x:c r="D28" s="461"/>
      <x:c r="E28" s="461"/>
      <x:c r="F28" s="461"/>
      <x:c r="G28" s="461"/>
      <x:c r="H28" s="473"/>
      <x:c r="I28" s="461"/>
      <x:c r="J28"/>
      <x:c r="K28"/>
    </x:row>
    <x:row r="29" ht="34" customHeight="1">
      <x:c r="A29" s="461"/>
      <x:c r="B29" s="461"/>
      <x:c r="C29" s="461"/>
      <x:c r="D29" s="461"/>
      <x:c r="E29" s="461"/>
      <x:c r="F29" s="461"/>
      <x:c r="G29" s="461"/>
      <x:c r="H29" s="473"/>
      <x:c r="I29" s="461"/>
      <x:c r="J29"/>
      <x:c r="K29"/>
    </x:row>
    <x:row r="30" ht="34" customHeight="1">
      <x:c r="A30" s="461"/>
      <x:c r="B30" s="461"/>
      <x:c r="C30" s="461"/>
      <x:c r="D30" s="461"/>
      <x:c r="E30" s="461"/>
      <x:c r="F30" s="461"/>
      <x:c r="G30" s="461"/>
      <x:c r="H30" s="473"/>
      <x:c r="I30" s="461"/>
      <x:c r="J30"/>
      <x:c r="K30"/>
    </x:row>
    <x:row r="31" ht="34" customHeight="1">
      <x:c r="A31" s="461"/>
      <x:c r="B31" s="461"/>
      <x:c r="C31" s="461"/>
      <x:c r="D31" s="461"/>
      <x:c r="E31" s="461"/>
      <x:c r="F31" s="461"/>
      <x:c r="G31" s="461"/>
      <x:c r="H31" s="473"/>
      <x:c r="I31" s="461"/>
      <x:c r="J31"/>
      <x:c r="K31"/>
    </x:row>
    <x:row r="32" ht="34" customHeight="1">
      <x:c r="A32" s="461"/>
      <x:c r="B32" s="461"/>
      <x:c r="C32" s="461"/>
      <x:c r="D32" s="461"/>
      <x:c r="E32" s="461"/>
      <x:c r="F32" s="461"/>
      <x:c r="G32" s="461"/>
      <x:c r="H32" s="473"/>
      <x:c r="I32" s="461"/>
      <x:c r="J32"/>
      <x:c r="K32"/>
    </x:row>
    <x:row r="33" ht="34" customHeight="1">
      <x:c r="A33" s="461"/>
      <x:c r="B33" s="461"/>
      <x:c r="C33" s="461"/>
      <x:c r="D33" s="461"/>
      <x:c r="E33" s="461"/>
      <x:c r="F33" s="461"/>
      <x:c r="G33" s="461"/>
      <x:c r="H33" s="473"/>
      <x:c r="I33" s="461"/>
      <x:c r="J33"/>
      <x:c r="K33"/>
    </x:row>
    <x:row r="34" ht="34" customHeight="1">
      <x:c r="A34" s="461"/>
      <x:c r="B34" s="461"/>
      <x:c r="C34" s="461"/>
      <x:c r="D34" s="461"/>
      <x:c r="E34" s="461"/>
      <x:c r="F34" s="461"/>
      <x:c r="G34" s="461"/>
      <x:c r="H34" s="473"/>
      <x:c r="I34" s="461"/>
      <x:c r="J34"/>
      <x:c r="K34"/>
    </x:row>
    <x:row r="35" ht="34" customHeight="1">
      <x:c r="A35" s="461"/>
      <x:c r="B35" s="461"/>
      <x:c r="C35" s="461"/>
      <x:c r="D35" s="461"/>
      <x:c r="E35" s="461"/>
      <x:c r="F35" s="461"/>
      <x:c r="G35" s="461"/>
      <x:c r="H35" s="473"/>
      <x:c r="I35" s="461"/>
      <x:c r="J35"/>
      <x:c r="K35"/>
    </x:row>
    <x:row r="36" ht="34" customHeight="1">
      <x:c r="A36" s="461"/>
      <x:c r="B36" s="461"/>
      <x:c r="C36" s="461"/>
      <x:c r="D36" s="461"/>
      <x:c r="E36" s="461"/>
      <x:c r="F36" s="461"/>
      <x:c r="G36" s="461"/>
      <x:c r="H36" s="473"/>
      <x:c r="I36" s="461"/>
      <x:c r="J36"/>
      <x:c r="K36"/>
    </x:row>
    <x:row r="37" ht="34" customHeight="1">
      <x:c r="A37" s="461"/>
      <x:c r="B37" s="461"/>
      <x:c r="C37" s="461"/>
      <x:c r="D37" s="461"/>
      <x:c r="E37" s="461"/>
      <x:c r="F37" s="461"/>
      <x:c r="G37" s="461"/>
      <x:c r="H37" s="473"/>
      <x:c r="I37" s="461"/>
      <x:c r="J37"/>
      <x:c r="K37"/>
    </x:row>
    <x:row r="38" ht="34" customHeight="1">
      <x:c r="A38" s="461"/>
      <x:c r="B38" s="461"/>
      <x:c r="C38" s="461"/>
      <x:c r="D38" s="461"/>
      <x:c r="E38" s="461"/>
      <x:c r="F38" s="461"/>
      <x:c r="G38" s="461"/>
      <x:c r="H38" s="473"/>
      <x:c r="I38" s="461"/>
      <x:c r="J38"/>
      <x:c r="K38"/>
    </x:row>
    <x:row r="39" ht="34" customHeight="1">
      <x:c r="A39" s="461"/>
      <x:c r="B39" s="461"/>
      <x:c r="C39" s="461"/>
      <x:c r="D39" s="461"/>
      <x:c r="E39" s="461"/>
      <x:c r="F39" s="461"/>
      <x:c r="G39" s="461"/>
      <x:c r="H39" s="473"/>
      <x:c r="I39" s="461"/>
      <x:c r="J39"/>
      <x:c r="K39"/>
    </x:row>
    <x:row r="40" ht="34" customHeight="1">
      <x:c r="A40" s="461"/>
      <x:c r="B40" s="461"/>
      <x:c r="C40" s="461"/>
      <x:c r="D40" s="461"/>
      <x:c r="E40" s="461"/>
      <x:c r="F40" s="461"/>
      <x:c r="G40" s="461"/>
      <x:c r="H40" s="473"/>
      <x:c r="I40" s="461"/>
      <x:c r="J40"/>
      <x:c r="K40"/>
    </x:row>
    <x:row r="41" ht="34" customHeight="1">
      <x:c r="A41" s="461"/>
      <x:c r="B41" s="461"/>
      <x:c r="C41" s="461"/>
      <x:c r="D41" s="461"/>
      <x:c r="E41" s="461"/>
      <x:c r="F41" s="461"/>
      <x:c r="G41" s="461"/>
      <x:c r="H41" s="473"/>
      <x:c r="I41" s="461"/>
      <x:c r="J41"/>
      <x:c r="K41"/>
    </x:row>
    <x:row r="42" ht="34" customHeight="1">
      <x:c r="A42" s="461"/>
      <x:c r="B42" s="461"/>
      <x:c r="C42" s="461"/>
      <x:c r="D42" s="461"/>
      <x:c r="E42" s="461"/>
      <x:c r="F42" s="461"/>
      <x:c r="G42" s="461"/>
      <x:c r="H42" s="473"/>
      <x:c r="I42" s="461"/>
      <x:c r="J42"/>
      <x:c r="K42"/>
    </x:row>
    <x:row r="43" ht="34" customHeight="1">
      <x:c r="A43" s="461"/>
      <x:c r="B43" s="461"/>
      <x:c r="C43" s="461"/>
      <x:c r="D43" s="461"/>
      <x:c r="E43" s="461"/>
      <x:c r="F43" s="461"/>
      <x:c r="G43" s="461"/>
      <x:c r="H43" s="473"/>
      <x:c r="I43" s="461"/>
      <x:c r="J43"/>
      <x:c r="K43"/>
    </x:row>
    <x:row r="44" ht="34" customHeight="1">
      <x:c r="A44" s="461"/>
      <x:c r="B44" s="461"/>
      <x:c r="C44" s="461"/>
      <x:c r="D44" s="461"/>
      <x:c r="E44" s="461"/>
      <x:c r="F44" s="461"/>
      <x:c r="G44" s="461"/>
      <x:c r="H44" s="473"/>
      <x:c r="I44" s="461"/>
      <x:c r="J44"/>
      <x:c r="K44"/>
    </x:row>
    <x:row r="45" ht="34" customHeight="1">
      <x:c r="A45" s="461"/>
      <x:c r="B45" s="461"/>
      <x:c r="C45" s="461"/>
      <x:c r="D45" s="461"/>
      <x:c r="E45" s="461"/>
      <x:c r="F45" s="461"/>
      <x:c r="G45" s="461"/>
      <x:c r="H45" s="473"/>
      <x:c r="I45" s="461"/>
      <x:c r="J45"/>
      <x:c r="K45"/>
    </x:row>
    <x:row r="46" ht="34" customHeight="1">
      <x:c r="A46" s="461"/>
      <x:c r="B46" s="461"/>
      <x:c r="C46" s="461"/>
      <x:c r="D46" s="461"/>
      <x:c r="E46" s="461"/>
      <x:c r="F46" s="461"/>
      <x:c r="G46" s="461"/>
      <x:c r="H46" s="473"/>
      <x:c r="I46" s="461"/>
      <x:c r="J46"/>
      <x:c r="K46"/>
    </x:row>
    <x:row r="47" ht="34" customHeight="1">
      <x:c r="A47" s="461"/>
      <x:c r="B47" s="461"/>
      <x:c r="C47" s="461"/>
      <x:c r="D47" s="461"/>
      <x:c r="E47" s="461"/>
      <x:c r="F47" s="461"/>
      <x:c r="G47" s="461"/>
      <x:c r="H47" s="473"/>
      <x:c r="I47" s="461"/>
      <x:c r="J47"/>
      <x:c r="K47"/>
    </x:row>
    <x:row r="48" ht="34" customHeight="1">
      <x:c r="A48" s="461"/>
      <x:c r="B48" s="461"/>
      <x:c r="C48" s="461"/>
      <x:c r="D48" s="461"/>
      <x:c r="E48" s="461"/>
      <x:c r="F48" s="461"/>
      <x:c r="G48" s="461"/>
      <x:c r="H48" s="473"/>
      <x:c r="I48" s="461"/>
      <x:c r="J48"/>
      <x:c r="K48"/>
    </x:row>
    <x:row r="49" ht="34" customHeight="1">
      <x:c r="A49" s="461"/>
      <x:c r="B49" s="461"/>
      <x:c r="C49" s="461"/>
      <x:c r="D49" s="461"/>
      <x:c r="E49" s="461"/>
      <x:c r="F49" s="461"/>
      <x:c r="G49" s="461"/>
      <x:c r="H49" s="473"/>
      <x:c r="I49" s="461"/>
      <x:c r="J49"/>
      <x:c r="K49"/>
    </x:row>
    <x:row r="50" ht="34" customHeight="1">
      <x:c r="A50" s="461"/>
      <x:c r="B50" s="461"/>
      <x:c r="C50" s="461"/>
      <x:c r="D50" s="461"/>
      <x:c r="E50" s="461"/>
      <x:c r="F50" s="461"/>
      <x:c r="G50" s="461"/>
      <x:c r="H50" s="473"/>
      <x:c r="I50" s="461"/>
      <x:c r="J50"/>
      <x:c r="K50"/>
    </x:row>
    <x:row r="51" ht="34" customHeight="1">
      <x:c r="A51" s="461"/>
      <x:c r="B51" s="461"/>
      <x:c r="C51" s="461"/>
      <x:c r="D51" s="461"/>
      <x:c r="E51" s="461"/>
      <x:c r="F51" s="461"/>
      <x:c r="G51" s="461"/>
      <x:c r="H51" s="473"/>
      <x:c r="I51" s="461"/>
      <x:c r="J51"/>
      <x:c r="K51"/>
    </x:row>
    <x:row r="52" ht="34" customHeight="1">
      <x:c r="A52" s="461"/>
      <x:c r="B52" s="461"/>
      <x:c r="C52" s="461"/>
      <x:c r="D52" s="461"/>
      <x:c r="E52" s="461"/>
      <x:c r="F52" s="461"/>
      <x:c r="G52" s="461"/>
      <x:c r="H52" s="473"/>
      <x:c r="I52" s="461"/>
      <x:c r="J52"/>
      <x:c r="K52"/>
    </x:row>
    <x:row r="53" ht="34" customHeight="1">
      <x:c r="A53" s="461"/>
      <x:c r="B53" s="461"/>
      <x:c r="C53" s="461"/>
      <x:c r="D53" s="461"/>
      <x:c r="E53" s="461"/>
      <x:c r="F53" s="461"/>
      <x:c r="G53" s="461"/>
      <x:c r="H53" s="473"/>
      <x:c r="I53" s="461"/>
      <x:c r="J53"/>
      <x:c r="K53"/>
    </x:row>
    <x:row r="54" ht="34" customHeight="1">
      <x:c r="A54" s="461"/>
      <x:c r="B54" s="461"/>
      <x:c r="C54" s="461"/>
      <x:c r="D54" s="461"/>
      <x:c r="E54" s="461"/>
      <x:c r="F54" s="461"/>
      <x:c r="G54" s="461"/>
      <x:c r="H54" s="473"/>
      <x:c r="I54" s="461"/>
      <x:c r="J54"/>
      <x:c r="K54"/>
    </x:row>
    <x:row r="55" ht="34" customHeight="1">
      <x:c r="A55" s="461"/>
      <x:c r="B55" s="461"/>
      <x:c r="C55" s="461"/>
      <x:c r="D55" s="461"/>
      <x:c r="E55" s="461"/>
      <x:c r="F55" s="461"/>
      <x:c r="G55" s="461"/>
      <x:c r="H55" s="473"/>
      <x:c r="I55" s="461"/>
      <x:c r="J55"/>
      <x:c r="K55"/>
    </x:row>
    <x:row r="56" ht="34" customHeight="1">
      <x:c r="A56" s="461"/>
      <x:c r="B56" s="461"/>
      <x:c r="C56" s="461"/>
      <x:c r="D56" s="461"/>
      <x:c r="E56" s="461"/>
      <x:c r="F56" s="461"/>
      <x:c r="G56" s="461"/>
      <x:c r="H56" s="473"/>
      <x:c r="I56" s="461"/>
      <x:c r="J56"/>
      <x:c r="K56"/>
    </x:row>
    <x:row r="57" ht="34" customHeight="1">
      <x:c r="A57" s="461"/>
      <x:c r="B57" s="461"/>
      <x:c r="C57" s="461"/>
      <x:c r="D57" s="461"/>
      <x:c r="E57" s="461"/>
      <x:c r="F57" s="461"/>
      <x:c r="G57" s="461"/>
      <x:c r="H57" s="473"/>
      <x:c r="I57" s="461"/>
      <x:c r="J57"/>
      <x:c r="K57"/>
    </x:row>
    <x:row r="58" ht="34" customHeight="1">
      <x:c r="A58" s="461"/>
      <x:c r="B58" s="461"/>
      <x:c r="C58" s="461"/>
      <x:c r="D58" s="461"/>
      <x:c r="E58" s="461"/>
      <x:c r="F58" s="461"/>
      <x:c r="G58" s="461"/>
      <x:c r="H58" s="473"/>
      <x:c r="I58" s="461"/>
      <x:c r="J58"/>
      <x:c r="K58"/>
    </x:row>
    <x:row r="59" ht="34" customHeight="1">
      <x:c r="A59" s="461"/>
      <x:c r="B59" s="461"/>
      <x:c r="C59" s="461"/>
      <x:c r="D59" s="461"/>
      <x:c r="E59" s="461"/>
      <x:c r="F59" s="461"/>
      <x:c r="G59" s="461"/>
      <x:c r="H59" s="473"/>
      <x:c r="I59" s="461"/>
      <x:c r="J59"/>
      <x:c r="K59"/>
    </x:row>
    <x:row r="60" ht="34" customHeight="1">
      <x:c r="A60" s="461"/>
      <x:c r="B60" s="461"/>
      <x:c r="C60" s="461"/>
      <x:c r="D60" s="461"/>
      <x:c r="E60" s="461"/>
      <x:c r="F60" s="461"/>
      <x:c r="G60" s="461"/>
      <x:c r="H60" s="473"/>
      <x:c r="I60" s="461"/>
      <x:c r="J60"/>
      <x:c r="K60"/>
    </x:row>
    <x:row r="61" ht="34" customHeight="1">
      <x:c r="A61" s="461"/>
      <x:c r="B61" s="461"/>
      <x:c r="C61" s="461"/>
      <x:c r="D61" s="461"/>
      <x:c r="E61" s="461"/>
      <x:c r="F61" s="461"/>
      <x:c r="G61" s="461"/>
      <x:c r="H61" s="473"/>
      <x:c r="I61" s="461"/>
      <x:c r="J61"/>
      <x:c r="K61"/>
    </x:row>
    <x:row r="62" ht="34" customHeight="1">
      <x:c r="A62" s="461"/>
      <x:c r="B62" s="461"/>
      <x:c r="C62" s="461"/>
      <x:c r="D62" s="461"/>
      <x:c r="E62" s="461"/>
      <x:c r="F62" s="461"/>
      <x:c r="G62" s="461"/>
      <x:c r="H62" s="473"/>
      <x:c r="I62" s="461"/>
      <x:c r="J62"/>
      <x:c r="K62"/>
    </x:row>
    <x:row r="63" ht="34" customHeight="1">
      <x:c r="A63" s="461"/>
      <x:c r="B63" s="461"/>
      <x:c r="C63" s="461"/>
      <x:c r="D63" s="461"/>
      <x:c r="E63" s="461"/>
      <x:c r="F63" s="461"/>
      <x:c r="G63" s="461"/>
      <x:c r="H63" s="473"/>
      <x:c r="I63" s="461"/>
      <x:c r="J63"/>
      <x:c r="K63"/>
    </x:row>
    <x:row r="64" ht="34" customHeight="1">
      <x:c r="A64" s="461"/>
      <x:c r="B64" s="461"/>
      <x:c r="C64" s="461"/>
      <x:c r="D64" s="461"/>
      <x:c r="E64" s="461"/>
      <x:c r="F64" s="461"/>
      <x:c r="G64" s="461"/>
      <x:c r="H64" s="473"/>
      <x:c r="I64" s="461"/>
      <x:c r="J64"/>
      <x:c r="K64"/>
    </x:row>
    <x:row r="65" ht="34" customHeight="1">
      <x:c r="A65" s="461"/>
      <x:c r="B65" s="461"/>
      <x:c r="C65" s="461"/>
      <x:c r="D65" s="461"/>
      <x:c r="E65" s="461"/>
      <x:c r="F65" s="461"/>
      <x:c r="G65" s="461"/>
      <x:c r="H65" s="473"/>
      <x:c r="I65" s="461"/>
      <x:c r="J65"/>
      <x:c r="K65"/>
    </x:row>
    <x:row r="66" ht="34" customHeight="1">
      <x:c r="A66" s="461"/>
      <x:c r="B66" s="461"/>
      <x:c r="C66" s="461"/>
      <x:c r="D66" s="461"/>
      <x:c r="E66" s="461"/>
      <x:c r="F66" s="461"/>
      <x:c r="G66" s="461"/>
      <x:c r="H66" s="473"/>
      <x:c r="I66" s="461"/>
      <x:c r="J66"/>
      <x:c r="K66"/>
    </x:row>
    <x:row r="67" ht="34" customHeight="1">
      <x:c r="A67" s="461"/>
      <x:c r="B67" s="461"/>
      <x:c r="C67" s="461"/>
      <x:c r="D67" s="461"/>
      <x:c r="E67" s="461"/>
      <x:c r="F67" s="461"/>
      <x:c r="G67" s="461"/>
      <x:c r="H67" s="473"/>
      <x:c r="I67" s="461"/>
      <x:c r="J67"/>
      <x:c r="K67"/>
    </x:row>
    <x:row r="68" ht="34" customHeight="1">
      <x:c r="A68" s="461"/>
      <x:c r="B68" s="461"/>
      <x:c r="C68" s="461"/>
      <x:c r="D68" s="461"/>
      <x:c r="E68" s="461"/>
      <x:c r="F68" s="461"/>
      <x:c r="G68" s="461"/>
      <x:c r="H68" s="473"/>
      <x:c r="I68" s="461"/>
      <x:c r="J68"/>
      <x:c r="K68"/>
    </x:row>
    <x:row r="69" ht="34" customHeight="1">
      <x:c r="A69" s="461"/>
      <x:c r="B69" s="461"/>
      <x:c r="C69" s="461"/>
      <x:c r="D69" s="461"/>
      <x:c r="E69" s="461"/>
      <x:c r="F69" s="461"/>
      <x:c r="G69" s="461"/>
      <x:c r="H69" s="473"/>
      <x:c r="I69" s="461"/>
      <x:c r="J69"/>
      <x:c r="K69"/>
    </x:row>
    <x:row r="70" ht="34" customHeight="1">
      <x:c r="A70" s="461"/>
      <x:c r="B70" s="461"/>
      <x:c r="C70" s="461"/>
      <x:c r="D70" s="461"/>
      <x:c r="E70" s="461"/>
      <x:c r="F70" s="461"/>
      <x:c r="G70" s="461"/>
      <x:c r="H70" s="473"/>
      <x:c r="I70" s="461"/>
      <x:c r="J70"/>
      <x:c r="K70"/>
    </x:row>
    <x:row r="71" ht="34" customHeight="1">
      <x:c r="A71" s="461"/>
      <x:c r="B71" s="461"/>
      <x:c r="C71" s="461"/>
      <x:c r="D71" s="461"/>
      <x:c r="E71" s="461"/>
      <x:c r="F71" s="461"/>
      <x:c r="G71" s="461"/>
      <x:c r="H71" s="473"/>
      <x:c r="I71" s="461"/>
      <x:c r="J71"/>
      <x:c r="K71"/>
    </x:row>
    <x:row r="72" ht="34" customHeight="1">
      <x:c r="A72" s="461"/>
      <x:c r="B72" s="461"/>
      <x:c r="C72" s="461"/>
      <x:c r="D72" s="461"/>
      <x:c r="E72" s="461"/>
      <x:c r="F72" s="461"/>
      <x:c r="G72" s="461"/>
      <x:c r="H72" s="473"/>
      <x:c r="I72" s="461"/>
      <x:c r="J72"/>
      <x:c r="K72"/>
    </x:row>
    <x:row r="73" ht="34" customHeight="1">
      <x:c r="A73" s="461"/>
      <x:c r="B73" s="461"/>
      <x:c r="C73" s="461"/>
      <x:c r="D73" s="461"/>
      <x:c r="E73" s="461"/>
      <x:c r="F73" s="461"/>
      <x:c r="G73" s="461"/>
      <x:c r="H73" s="473"/>
      <x:c r="I73" s="461"/>
      <x:c r="J73"/>
      <x:c r="K73"/>
    </x:row>
    <x:row r="74" ht="34" customHeight="1">
      <x:c r="A74" s="461"/>
      <x:c r="B74" s="461"/>
      <x:c r="C74" s="461"/>
      <x:c r="D74" s="461"/>
      <x:c r="E74" s="461"/>
      <x:c r="F74" s="461"/>
      <x:c r="G74" s="461"/>
      <x:c r="H74" s="473"/>
      <x:c r="I74" s="461"/>
      <x:c r="J74"/>
      <x:c r="K74"/>
    </x:row>
    <x:row r="75" ht="34" customHeight="1">
      <x:c r="A75" s="461"/>
      <x:c r="B75" s="461"/>
      <x:c r="C75" s="461"/>
      <x:c r="D75" s="461"/>
      <x:c r="E75" s="461"/>
      <x:c r="F75" s="461"/>
      <x:c r="G75" s="461"/>
      <x:c r="H75" s="473"/>
      <x:c r="I75" s="461"/>
      <x:c r="J75"/>
      <x:c r="K75"/>
    </x:row>
    <x:row r="76" ht="34" customHeight="1">
      <x:c r="A76" s="461"/>
      <x:c r="B76" s="461"/>
      <x:c r="C76" s="461"/>
      <x:c r="D76" s="461"/>
      <x:c r="E76" s="461"/>
      <x:c r="F76" s="461"/>
      <x:c r="G76" s="461"/>
      <x:c r="H76" s="473"/>
      <x:c r="I76" s="461"/>
      <x:c r="J76"/>
      <x:c r="K76"/>
    </x:row>
    <x:row r="77" ht="34" customHeight="1">
      <x:c r="A77" s="461"/>
      <x:c r="B77" s="461"/>
      <x:c r="C77" s="461"/>
      <x:c r="D77" s="461"/>
      <x:c r="E77" s="461"/>
      <x:c r="F77" s="461"/>
      <x:c r="G77" s="461"/>
      <x:c r="H77" s="473"/>
      <x:c r="I77" s="461"/>
      <x:c r="J77"/>
      <x:c r="K77"/>
    </x:row>
    <x:row r="78" ht="34" customHeight="1">
      <x:c r="A78" s="461"/>
      <x:c r="B78" s="461"/>
      <x:c r="C78" s="461"/>
      <x:c r="D78" s="461"/>
      <x:c r="E78" s="461"/>
      <x:c r="F78" s="461"/>
      <x:c r="G78" s="461"/>
      <x:c r="H78" s="473"/>
      <x:c r="I78" s="461"/>
      <x:c r="J78"/>
      <x:c r="K78"/>
    </x:row>
    <x:row r="79" ht="34" customHeight="1">
      <x:c r="A79" s="461"/>
      <x:c r="B79" s="461"/>
      <x:c r="C79" s="461"/>
      <x:c r="D79" s="461"/>
      <x:c r="E79" s="461"/>
      <x:c r="F79" s="461"/>
      <x:c r="G79" s="461"/>
      <x:c r="H79" s="473"/>
      <x:c r="I79" s="461"/>
      <x:c r="J79"/>
      <x:c r="K79"/>
    </x:row>
    <x:row r="80" ht="34" customHeight="1">
      <x:c r="A80" s="461"/>
      <x:c r="B80" s="461"/>
      <x:c r="C80" s="461"/>
      <x:c r="D80" s="461"/>
      <x:c r="E80" s="461"/>
      <x:c r="F80" s="461"/>
      <x:c r="G80" s="461"/>
      <x:c r="H80" s="473"/>
      <x:c r="I80" s="461"/>
      <x:c r="J80"/>
      <x:c r="K80"/>
    </x:row>
    <x:row r="81" ht="34" customHeight="1">
      <x:c r="A81" s="461"/>
      <x:c r="B81" s="461"/>
      <x:c r="C81" s="461"/>
      <x:c r="D81" s="461"/>
      <x:c r="E81" s="461"/>
      <x:c r="F81" s="461"/>
      <x:c r="G81" s="461"/>
      <x:c r="H81" s="473"/>
      <x:c r="I81" s="461"/>
      <x:c r="J81"/>
      <x:c r="K81"/>
    </x:row>
    <x:row r="82" ht="34" customHeight="1">
      <x:c r="A82" s="461"/>
      <x:c r="B82" s="461"/>
      <x:c r="C82" s="461"/>
      <x:c r="D82" s="461"/>
      <x:c r="E82" s="461"/>
      <x:c r="F82" s="461"/>
      <x:c r="G82" s="461"/>
      <x:c r="H82" s="473"/>
      <x:c r="I82" s="461"/>
      <x:c r="J82"/>
      <x:c r="K82"/>
    </x:row>
    <x:row r="83" ht="34" customHeight="1">
      <x:c r="A83" s="461"/>
      <x:c r="B83" s="461"/>
      <x:c r="C83" s="461"/>
      <x:c r="D83" s="461"/>
      <x:c r="E83" s="461"/>
      <x:c r="F83" s="461"/>
      <x:c r="G83" s="461"/>
      <x:c r="H83" s="473"/>
      <x:c r="I83" s="461"/>
      <x:c r="J83"/>
      <x:c r="K83"/>
    </x:row>
    <x:row r="84" ht="34" customHeight="1">
      <x:c r="A84" s="461"/>
      <x:c r="B84" s="461"/>
      <x:c r="C84" s="461"/>
      <x:c r="D84" s="461"/>
      <x:c r="E84" s="461"/>
      <x:c r="F84" s="461"/>
      <x:c r="G84" s="461"/>
      <x:c r="H84" s="473"/>
      <x:c r="I84" s="461"/>
      <x:c r="J84"/>
      <x:c r="K84"/>
    </x:row>
    <x:row r="85" ht="34" customHeight="1">
      <x:c r="A85" s="461"/>
      <x:c r="B85" s="461"/>
      <x:c r="C85" s="461"/>
      <x:c r="D85" s="461"/>
      <x:c r="E85" s="461"/>
      <x:c r="F85" s="461"/>
      <x:c r="G85" s="461"/>
      <x:c r="H85" s="473"/>
      <x:c r="I85" s="461"/>
      <x:c r="J85"/>
      <x:c r="K85"/>
    </x:row>
    <x:row r="86" ht="34" customHeight="1">
      <x:c r="A86" s="461"/>
      <x:c r="B86" s="461"/>
      <x:c r="C86" s="461"/>
      <x:c r="D86" s="461"/>
      <x:c r="E86" s="461"/>
      <x:c r="F86" s="461"/>
      <x:c r="G86" s="461"/>
      <x:c r="H86" s="473"/>
      <x:c r="I86" s="461"/>
      <x:c r="J86"/>
      <x:c r="K86"/>
    </x:row>
    <x:row r="87" ht="34" customHeight="1">
      <x:c r="A87" s="461"/>
      <x:c r="B87" s="461"/>
      <x:c r="C87" s="461"/>
      <x:c r="D87" s="461"/>
      <x:c r="E87" s="461"/>
      <x:c r="F87" s="461"/>
      <x:c r="G87" s="461"/>
      <x:c r="H87" s="473"/>
      <x:c r="I87" s="461"/>
      <x:c r="J87"/>
      <x:c r="K87"/>
    </x:row>
    <x:row r="88" ht="34" customHeight="1">
      <x:c r="A88" s="461"/>
      <x:c r="B88" s="461"/>
      <x:c r="C88" s="461"/>
      <x:c r="D88" s="461"/>
      <x:c r="E88" s="461"/>
      <x:c r="F88" s="461"/>
      <x:c r="G88" s="461"/>
      <x:c r="H88" s="473"/>
      <x:c r="I88" s="461"/>
      <x:c r="J88"/>
      <x:c r="K88"/>
    </x:row>
    <x:row r="89" ht="34" customHeight="1">
      <x:c r="A89" s="461"/>
      <x:c r="B89" s="461"/>
      <x:c r="C89" s="461"/>
      <x:c r="D89" s="461"/>
      <x:c r="E89" s="461"/>
      <x:c r="F89" s="461"/>
      <x:c r="G89" s="461"/>
      <x:c r="H89" s="473"/>
      <x:c r="I89" s="461"/>
      <x:c r="J89"/>
      <x:c r="K89"/>
    </x:row>
    <x:row r="90" ht="34" customHeight="1">
      <x:c r="A90" s="461"/>
      <x:c r="B90" s="461"/>
      <x:c r="C90" s="461"/>
      <x:c r="D90" s="461"/>
      <x:c r="E90" s="461"/>
      <x:c r="F90" s="461"/>
      <x:c r="G90" s="461"/>
      <x:c r="H90" s="473"/>
      <x:c r="I90" s="461"/>
      <x:c r="J90"/>
      <x:c r="K90"/>
    </x:row>
    <x:row r="91" ht="34" customHeight="1">
      <x:c r="A91" s="461"/>
      <x:c r="B91" s="461"/>
      <x:c r="C91" s="461"/>
      <x:c r="D91" s="461"/>
      <x:c r="E91" s="461"/>
      <x:c r="F91" s="461"/>
      <x:c r="G91" s="461"/>
      <x:c r="H91" s="473"/>
      <x:c r="I91" s="461"/>
      <x:c r="J91"/>
      <x:c r="K91"/>
    </x:row>
    <x:row r="92" ht="34" customHeight="1">
      <x:c r="A92" s="461"/>
      <x:c r="B92" s="461"/>
      <x:c r="C92" s="461"/>
      <x:c r="D92" s="461"/>
      <x:c r="E92" s="461"/>
      <x:c r="F92" s="461"/>
      <x:c r="G92" s="461"/>
      <x:c r="H92" s="473"/>
      <x:c r="I92" s="461"/>
      <x:c r="J92"/>
      <x:c r="K92"/>
    </x:row>
    <x:row r="93" ht="34" customHeight="1">
      <x:c r="A93" s="461"/>
      <x:c r="B93" s="461"/>
      <x:c r="C93" s="461"/>
      <x:c r="D93" s="461"/>
      <x:c r="E93" s="461"/>
      <x:c r="F93" s="461"/>
      <x:c r="G93" s="461"/>
      <x:c r="H93" s="473"/>
      <x:c r="I93" s="461"/>
      <x:c r="J93"/>
      <x:c r="K93"/>
    </x:row>
    <x:row r="94" ht="34" customHeight="1">
      <x:c r="A94" s="461"/>
      <x:c r="B94" s="461"/>
      <x:c r="C94" s="461"/>
      <x:c r="D94" s="461"/>
      <x:c r="E94" s="461"/>
      <x:c r="F94" s="461"/>
      <x:c r="G94" s="461"/>
      <x:c r="H94" s="473"/>
      <x:c r="I94" s="461"/>
      <x:c r="J94"/>
      <x:c r="K94"/>
    </x:row>
    <x:row r="95" ht="34" customHeight="1">
      <x:c r="A95" s="461"/>
      <x:c r="B95" s="461"/>
      <x:c r="C95" s="461"/>
      <x:c r="D95" s="461"/>
      <x:c r="E95" s="461"/>
      <x:c r="F95" s="461"/>
      <x:c r="G95" s="461"/>
      <x:c r="H95" s="473"/>
      <x:c r="I95" s="461"/>
      <x:c r="J95"/>
      <x:c r="K95"/>
    </x:row>
    <x:row r="96" ht="34" customHeight="1">
      <x:c r="A96" s="461"/>
      <x:c r="B96" s="461"/>
      <x:c r="C96" s="461"/>
      <x:c r="D96" s="461"/>
      <x:c r="E96" s="461"/>
      <x:c r="F96" s="461"/>
      <x:c r="G96" s="461"/>
      <x:c r="H96" s="473"/>
      <x:c r="I96" s="461"/>
      <x:c r="J96"/>
      <x:c r="K96"/>
    </x:row>
    <x:row r="97" ht="34" customHeight="1">
      <x:c r="A97" s="461"/>
      <x:c r="B97" s="461"/>
      <x:c r="C97" s="461"/>
      <x:c r="D97" s="461"/>
      <x:c r="E97" s="461"/>
      <x:c r="F97" s="461"/>
      <x:c r="G97" s="461"/>
      <x:c r="H97" s="473"/>
      <x:c r="I97" s="461"/>
      <x:c r="J97"/>
      <x:c r="K97"/>
    </x:row>
    <x:row r="98" ht="34" customHeight="1">
      <x:c r="A98" s="461"/>
      <x:c r="B98" s="461"/>
      <x:c r="C98" s="461"/>
      <x:c r="D98" s="461"/>
      <x:c r="E98" s="461"/>
      <x:c r="F98" s="461"/>
      <x:c r="G98" s="461"/>
      <x:c r="H98" s="473"/>
      <x:c r="I98" s="461"/>
      <x:c r="J98"/>
      <x:c r="K98"/>
    </x:row>
    <x:row r="99" ht="34" customHeight="1">
      <x:c r="A99" s="461"/>
      <x:c r="B99" s="461"/>
      <x:c r="C99" s="461"/>
      <x:c r="D99" s="461"/>
      <x:c r="E99" s="461"/>
      <x:c r="F99" s="461"/>
      <x:c r="G99" s="461"/>
      <x:c r="H99" s="473"/>
      <x:c r="I99" s="461"/>
      <x:c r="J99"/>
      <x:c r="K99"/>
    </x:row>
    <x:row r="100" ht="34" customHeight="1">
      <x:c r="A100" s="461"/>
      <x:c r="B100" s="461"/>
      <x:c r="C100" s="461"/>
      <x:c r="D100" s="461"/>
      <x:c r="E100" s="461"/>
      <x:c r="F100" s="461"/>
      <x:c r="G100" s="461"/>
      <x:c r="H100" s="473"/>
      <x:c r="I100" s="461"/>
      <x:c r="J100"/>
      <x:c r="K100"/>
    </x:row>
    <x:row r="101" ht="34" customHeight="1">
      <x:c r="A101" s="461"/>
      <x:c r="B101" s="461"/>
      <x:c r="C101" s="461"/>
      <x:c r="D101" s="461"/>
      <x:c r="E101" s="461"/>
      <x:c r="F101" s="461"/>
      <x:c r="G101" s="461"/>
      <x:c r="H101" s="473"/>
      <x:c r="I101" s="461"/>
      <x:c r="J101"/>
      <x:c r="K101"/>
    </x:row>
    <x:row r="102" ht="34" customHeight="1">
      <x:c r="A102" s="461"/>
      <x:c r="B102" s="461"/>
      <x:c r="C102" s="461"/>
      <x:c r="D102" s="461"/>
      <x:c r="E102" s="461"/>
      <x:c r="F102" s="461"/>
      <x:c r="G102" s="461"/>
      <x:c r="H102" s="473"/>
      <x:c r="I102" s="461"/>
      <x:c r="J102"/>
      <x:c r="K102"/>
    </x:row>
    <x:row r="103" ht="34" customHeight="1">
      <x:c r="A103" s="461"/>
      <x:c r="B103" s="461"/>
      <x:c r="C103" s="461"/>
      <x:c r="D103" s="461"/>
      <x:c r="E103" s="461"/>
      <x:c r="F103" s="461"/>
      <x:c r="G103" s="461"/>
      <x:c r="H103" s="473"/>
      <x:c r="I103" s="461"/>
      <x:c r="J103"/>
      <x:c r="K103"/>
    </x:row>
    <x:row r="104" ht="34" customHeight="1">
      <x:c r="A104" s="461"/>
      <x:c r="B104" s="461"/>
      <x:c r="C104" s="461"/>
      <x:c r="D104" s="461"/>
      <x:c r="E104" s="461"/>
      <x:c r="F104" s="461"/>
      <x:c r="G104" s="461"/>
      <x:c r="H104" s="473"/>
      <x:c r="I104" s="461"/>
      <x:c r="J104"/>
      <x:c r="K104"/>
    </x:row>
  </x:sheetData>
  <x:mergeCells>
    <x:mergeCell ref="A1:I1"/>
    <x:mergeCell ref="A2:I2"/>
  </x:mergeCells>
  <x:dataValidations count="2">
    <x:dataValidation type="list" sqref="B5:B104">
      <x:formula1>INDIRECT("'01-需求'!$A$5:$A$104")</x:formula1>
    </x:dataValidation>
    <x:dataValidation type="list" sqref="H5:H104">
      <x:formula1>"SOURCE_INPUT,DESIGN_DERIVED"</x:formula1>
    </x:dataValidation>
  </x:dataValidations>
  <x:pageMargins left="0.7" right="0.7" top="0.75" bottom="0.75" header="0.3" footer="0.3"/>
  <x:tableParts count="1">
    <x:tablePart xmlns:r="http://schemas.openxmlformats.org/officeDocument/2006/relationships" r:id="R7b4af7ceae2a4be3"/>
  </x:tableParts>
</x:worksheet>
</file>

<file path=xl/worksheets/sheet4.xml><?xml version="1.0" encoding="utf-8"?>
<x:worksheet xmlns:x="http://schemas.openxmlformats.org/spreadsheetml/2006/main">
  <x:sheetViews>
    <x:sheetView showGridLines="0" workbookViewId="0"/>
  </x:sheetViews>
  <x:sheetFormatPr baseColWidth="8" defaultColWidth="9" defaultRowHeight="16.799999237060547"/>
  <x:cols>
    <x:col min="1" max="1" width="19" hidden="0" customWidth="1"/>
    <x:col min="2" max="2" width="31" hidden="0" customWidth="1"/>
    <x:col min="3" max="4" width="14" customWidth="1"/>
    <x:col min="4" max="4" width="13" hidden="0" customWidth="1"/>
    <x:col min="5" max="5" width="27" hidden="0" customWidth="1"/>
    <x:col min="6" max="7" width="45" customWidth="1"/>
    <x:col min="7" max="7" width="46" hidden="0" customWidth="1"/>
    <x:col min="8" max="8" width="46" hidden="0" customWidth="1"/>
    <x:col min="9" max="9" width="13" hidden="0" customWidth="1"/>
    <x:col min="10" max="10" width="25" hidden="0" customWidth="1"/>
    <x:col min="11" max="11" width="15" hidden="0" customWidth="1"/>
    <x:col min="12" max="12" width="13" customWidth="1"/>
    <x:col min="3" max="3" width="21" hidden="0" customWidth="1"/>
    <x:col min="6" max="6" width="28" hidden="0" customWidth="1"/>
  </x:cols>
  <x:sheetData>
    <x:row r="1" ht="31" customHeight="1">
      <x:c r="A1" s="390" t="str">
        <x:v>SOW主表 / SowStory</x:v>
      </x:c>
      <x:c r="B1" s="390" t="str">
        <x:v>SOW主表 / SowStory</x:v>
      </x:c>
      <x:c r="C1" s="390" t="str">
        <x:v>SOW主表 / SowStory</x:v>
      </x:c>
      <x:c r="D1" s="390" t="str">
        <x:v>SOW主表 / SowStory</x:v>
      </x:c>
      <x:c r="E1" s="390" t="str">
        <x:v>SOW主表 / SowStory</x:v>
      </x:c>
      <x:c r="F1" s="390" t="str">
        <x:v>SOW主表 / SowStory</x:v>
      </x:c>
      <x:c r="G1" s="390" t="str">
        <x:v>SOW主表 / SowStory</x:v>
      </x:c>
      <x:c r="H1" s="390" t="str">
        <x:v>SOW主表 / SowStory</x:v>
      </x:c>
      <x:c r="I1" s="390" t="str">
        <x:v>SOW主表 / SowStory</x:v>
      </x:c>
      <x:c r="J1" s="390" t="str">
        <x:v>SOW主表 / SowStory</x:v>
      </x:c>
      <x:c r="K1" s="390" t="str">
        <x:v>SOW主表 / SowStory</x:v>
      </x:c>
      <x:c r="L1" s="390"/>
    </x:row>
    <x:row r="2" ht="34" customHeight="1">
      <x:c r="A2" s="400" t="str">
        <x:v>Story 无类型字段；每个 Story 来源于一个 Feature；UAT 适用性显式记录；任务与人天由 Task 表汇总。</x:v>
      </x:c>
      <x:c r="B2" s="400" t="str">
        <x:v>Story 无类型字段；每个 Story 来源于一个 Feature；UAT 适用性显式记录；任务与人天由 Task 表汇总。</x:v>
      </x:c>
      <x:c r="C2" s="400" t="str">
        <x:v>Story 无类型字段；每个 Story 来源于一个 Feature；UAT 适用性显式记录；任务与人天由 Task 表汇总。</x:v>
      </x:c>
      <x:c r="D2" s="400" t="str">
        <x:v>Story 无类型字段；每个 Story 来源于一个 Feature；UAT 适用性显式记录；任务与人天由 Task 表汇总。</x:v>
      </x:c>
      <x:c r="E2" s="400" t="str">
        <x:v>Story 无类型字段；每个 Story 来源于一个 Feature；UAT 适用性显式记录；任务与人天由 Task 表汇总。</x:v>
      </x:c>
      <x:c r="F2" s="400" t="str">
        <x:v>Story 无类型字段；每个 Story 来源于一个 Feature；UAT 适用性显式记录；任务与人天由 Task 表汇总。</x:v>
      </x:c>
      <x:c r="G2" s="400" t="str">
        <x:v>Story 无类型字段；每个 Story 来源于一个 Feature；UAT 适用性显式记录；任务与人天由 Task 表汇总。</x:v>
      </x:c>
      <x:c r="H2" s="400" t="str">
        <x:v>Story 无类型字段；每个 Story 来源于一个 Feature；UAT 适用性显式记录；任务与人天由 Task 表汇总。</x:v>
      </x:c>
      <x:c r="I2" s="400" t="str">
        <x:v>Story 无类型字段；每个 Story 来源于一个 Feature；UAT 适用性显式记录；任务与人天由 Task 表汇总。</x:v>
      </x:c>
      <x:c r="J2" s="400" t="str">
        <x:v>Story 无类型字段；每个 Story 来源于一个 Feature；UAT 适用性显式记录；任务与人天由 Task 表汇总。</x:v>
      </x:c>
      <x:c r="K2" s="400" t="str">
        <x:v>Story 无类型字段；每个 Story 来源于一个 Feature；UAT 适用性显式记录；任务与人天由 Task 表汇总。</x:v>
      </x:c>
      <x:c r="L2" s="400"/>
    </x:row>
    <x:row r="3" ht="9" customHeight="1"/>
    <x:row r="4" ht="38" customHeight="1">
      <x:c r="A4" s="453" t="str">
        <x:v>Story ID</x:v>
      </x:c>
      <x:c r="B4" s="453" t="str">
        <x:v>Story名称</x:v>
      </x:c>
      <x:c r="C4" s="453" t="str">
        <x:v>Feature ID</x:v>
      </x:c>
      <x:c r="D4" s="453" t="str">
        <x:v>UAT分母</x:v>
      </x:c>
      <x:c r="E4" s="453" t="str">
        <x:v>需求</x:v>
      </x:c>
      <x:c r="F4" s="453" t="str">
        <x:v>子需求</x:v>
      </x:c>
      <x:c r="G4" s="453" t="str">
        <x:v>验收条件</x:v>
      </x:c>
      <x:c r="H4" s="453" t="str">
        <x:v>任务明细</x:v>
      </x:c>
      <x:c r="I4" s="453" t="str">
        <x:v>人天</x:v>
      </x:c>
      <x:c r="J4" s="453" t="str">
        <x:v>关联假设ID</x:v>
      </x:c>
      <x:c r="K4" s="453" t="str">
        <x:v>假设状态</x:v>
      </x:c>
      <x:c r="L4"/>
    </x:row>
    <x:row r="5" ht="42" customHeight="1">
      <x:c r="A5" s="461"/>
      <x:c r="B5" s="461"/>
      <x:c r="C5" s="461"/>
      <x:c r="D5" s="473"/>
      <x:c r="E5" s="492" t="str">
        <x:f>IF(C5="","",IFERROR(INDEX(EpicTable[需求名称],MATCH(INDEX(FeatureTable[Epic ID],MATCH(C5,FeatureTable[Feature ID],0)),EpicTable[Epic ID],0)),"来源未匹配"))</x:f>
      </x:c>
      <x:c r="F5" s="492" t="str">
        <x:f>IF(C5="","",IFERROR(INDEX(FeatureTable[子需求名称],MATCH(C5,FeatureTable[Feature ID],0)),"来源未匹配"))</x:f>
      </x:c>
      <x:c r="G5" s="492" t="str">
        <x:f>IF(A5="","",IFERROR(_xlfn.TEXTJOIN(CHAR(10),TRUE,_xlfn._xlws.FILTER(AcceptanceCriterionTable[顺序]&amp;"）"&amp;AcceptanceCriterionTable[验收结果],AcceptanceCriterionTable[Story ID]=A5,"")),""))</x:f>
      </x:c>
      <x:c r="H5" s="493" t="str">
        <x:f>IF(A5="","",IFERROR(_xlfn.TEXTJOIN(CHAR(10),TRUE,_xlfn._xlws.FILTER("• "&amp;TaskTable[任务说明],TaskTable[Story ID]=A5,"")),""))</x:f>
      </x:c>
      <x:c r="I5" s="593" t="str">
        <x:f>IF(A5="","",CEILING(SUMIF(TaskTable[Story ID],A5,TaskTable[人天小计]),INDEX(ProjectParameterTable[值],MATCH("ROUND_STORY",ProjectParameterTable[参数代码],0))))</x:f>
      </x:c>
      <x:c r="J5" s="492" t="str">
        <x:f>IF(A5="","",IFERROR(_xlfn.TEXTJOIN("、",TRUE,_xlfn._xlws.FILTER(AssumptionRiskTable[假设ID],ISNUMBER(SEARCH("、"&amp;A5&amp;"、","、"&amp;AssumptionRiskTable[关联 Story ID]&amp;"、")),"")),""))</x:f>
      </x:c>
      <x:c r="K5" s="495" t="str">
        <x:f>IF(A5="","",IF(SUMPRODUCT(ISNUMBER(SEARCH("、"&amp;A5&amp;"、","、"&amp;AssumptionRiskTable[关联 Story ID]&amp;"、"))*(AssumptionRiskTable[状态]="待确认"))&gt;0,"待确认","已明确"))</x:f>
      </x:c>
      <x:c r="L5"/>
    </x:row>
    <x:row r="6" ht="42" customHeight="1">
      <x:c r="A6" s="461"/>
      <x:c r="B6" s="461"/>
      <x:c r="C6" s="461"/>
      <x:c r="D6" s="473"/>
      <x:c r="E6" s="492"/>
      <x:c r="F6" s="492"/>
      <x:c r="G6" s="492"/>
      <x:c r="H6" s="493"/>
      <x:c r="I6" s="593"/>
      <x:c r="J6" s="492"/>
      <x:c r="K6" s="495"/>
      <x:c r="L6"/>
    </x:row>
    <x:row r="7" ht="42" customHeight="1">
      <x:c r="A7" s="461"/>
      <x:c r="B7" s="461"/>
      <x:c r="C7" s="461"/>
      <x:c r="D7" s="473"/>
      <x:c r="E7" s="492"/>
      <x:c r="F7" s="492"/>
      <x:c r="G7" s="492"/>
      <x:c r="H7" s="493"/>
      <x:c r="I7" s="593"/>
      <x:c r="J7" s="492"/>
      <x:c r="K7" s="495"/>
      <x:c r="L7"/>
    </x:row>
    <x:row r="8" ht="42" customHeight="1">
      <x:c r="A8" s="461"/>
      <x:c r="B8" s="461"/>
      <x:c r="C8" s="461"/>
      <x:c r="D8" s="473"/>
      <x:c r="E8" s="492"/>
      <x:c r="F8" s="492"/>
      <x:c r="G8" s="492"/>
      <x:c r="H8" s="493"/>
      <x:c r="I8" s="593"/>
      <x:c r="J8" s="492"/>
      <x:c r="K8" s="495"/>
      <x:c r="L8"/>
    </x:row>
    <x:row r="9" ht="42" customHeight="1">
      <x:c r="A9" s="461"/>
      <x:c r="B9" s="461"/>
      <x:c r="C9" s="461"/>
      <x:c r="D9" s="473"/>
      <x:c r="E9" s="492"/>
      <x:c r="F9" s="492"/>
      <x:c r="G9" s="492"/>
      <x:c r="H9" s="493"/>
      <x:c r="I9" s="593"/>
      <x:c r="J9" s="492"/>
      <x:c r="K9" s="495"/>
      <x:c r="L9"/>
    </x:row>
    <x:row r="10" ht="42" customHeight="1">
      <x:c r="A10" s="461"/>
      <x:c r="B10" s="461"/>
      <x:c r="C10" s="461"/>
      <x:c r="D10" s="473"/>
      <x:c r="E10" s="492"/>
      <x:c r="F10" s="492"/>
      <x:c r="G10" s="492"/>
      <x:c r="H10" s="493"/>
      <x:c r="I10" s="593"/>
      <x:c r="J10" s="492"/>
      <x:c r="K10" s="495"/>
      <x:c r="L10"/>
    </x:row>
    <x:row r="11" ht="42" customHeight="1">
      <x:c r="A11" s="461"/>
      <x:c r="B11" s="461"/>
      <x:c r="C11" s="461"/>
      <x:c r="D11" s="473"/>
      <x:c r="E11" s="492"/>
      <x:c r="F11" s="492"/>
      <x:c r="G11" s="492"/>
      <x:c r="H11" s="493"/>
      <x:c r="I11" s="593"/>
      <x:c r="J11" s="492"/>
      <x:c r="K11" s="495"/>
      <x:c r="L11"/>
    </x:row>
    <x:row r="12" ht="42" customHeight="1">
      <x:c r="A12" s="461"/>
      <x:c r="B12" s="461"/>
      <x:c r="C12" s="461"/>
      <x:c r="D12" s="473"/>
      <x:c r="E12" s="492"/>
      <x:c r="F12" s="492"/>
      <x:c r="G12" s="492"/>
      <x:c r="H12" s="493"/>
      <x:c r="I12" s="593"/>
      <x:c r="J12" s="492"/>
      <x:c r="K12" s="495"/>
      <x:c r="L12"/>
    </x:row>
    <x:row r="13" ht="42" customHeight="1">
      <x:c r="A13" s="461"/>
      <x:c r="B13" s="461"/>
      <x:c r="C13" s="461"/>
      <x:c r="D13" s="473"/>
      <x:c r="E13" s="492"/>
      <x:c r="F13" s="492"/>
      <x:c r="G13" s="492"/>
      <x:c r="H13" s="493"/>
      <x:c r="I13" s="593"/>
      <x:c r="J13" s="492"/>
      <x:c r="K13" s="495"/>
      <x:c r="L13"/>
    </x:row>
    <x:row r="14" ht="42" customHeight="1">
      <x:c r="A14" s="461"/>
      <x:c r="B14" s="461"/>
      <x:c r="C14" s="461"/>
      <x:c r="D14" s="473"/>
      <x:c r="E14" s="492"/>
      <x:c r="F14" s="492"/>
      <x:c r="G14" s="492"/>
      <x:c r="H14" s="493"/>
      <x:c r="I14" s="593"/>
      <x:c r="J14" s="492"/>
      <x:c r="K14" s="495"/>
      <x:c r="L14"/>
    </x:row>
    <x:row r="15" ht="42" customHeight="1">
      <x:c r="A15" s="461"/>
      <x:c r="B15" s="461"/>
      <x:c r="C15" s="461"/>
      <x:c r="D15" s="473"/>
      <x:c r="E15" s="492"/>
      <x:c r="F15" s="492"/>
      <x:c r="G15" s="492"/>
      <x:c r="H15" s="493"/>
      <x:c r="I15" s="593"/>
      <x:c r="J15" s="492"/>
      <x:c r="K15" s="495"/>
    </x:row>
    <x:row r="16" ht="42" customHeight="1">
      <x:c r="A16" s="461"/>
      <x:c r="B16" s="461"/>
      <x:c r="C16" s="461"/>
      <x:c r="D16" s="473"/>
      <x:c r="E16" s="492"/>
      <x:c r="F16" s="492"/>
      <x:c r="G16" s="492"/>
      <x:c r="H16" s="493"/>
      <x:c r="I16" s="593"/>
      <x:c r="J16" s="492"/>
      <x:c r="K16" s="495"/>
    </x:row>
    <x:row r="17" ht="42" customHeight="1">
      <x:c r="A17" s="461"/>
      <x:c r="B17" s="461"/>
      <x:c r="C17" s="461"/>
      <x:c r="D17" s="473"/>
      <x:c r="E17" s="492"/>
      <x:c r="F17" s="492"/>
      <x:c r="G17" s="492"/>
      <x:c r="H17" s="493"/>
      <x:c r="I17" s="593"/>
      <x:c r="J17" s="492"/>
      <x:c r="K17" s="495"/>
    </x:row>
    <x:row r="18" ht="42" customHeight="1">
      <x:c r="A18" s="461"/>
      <x:c r="B18" s="461"/>
      <x:c r="C18" s="461"/>
      <x:c r="D18" s="473"/>
      <x:c r="E18" s="492"/>
      <x:c r="F18" s="492"/>
      <x:c r="G18" s="492"/>
      <x:c r="H18" s="493"/>
      <x:c r="I18" s="593"/>
      <x:c r="J18" s="492"/>
      <x:c r="K18" s="495"/>
    </x:row>
    <x:row r="19" ht="42" customHeight="1">
      <x:c r="A19" s="461"/>
      <x:c r="B19" s="461"/>
      <x:c r="C19" s="461"/>
      <x:c r="D19" s="473"/>
      <x:c r="E19" s="492"/>
      <x:c r="F19" s="492"/>
      <x:c r="G19" s="492"/>
      <x:c r="H19" s="493"/>
      <x:c r="I19" s="593"/>
      <x:c r="J19" s="492"/>
      <x:c r="K19" s="495"/>
    </x:row>
    <x:row r="20" ht="42" customHeight="1">
      <x:c r="A20" s="461"/>
      <x:c r="B20" s="461"/>
      <x:c r="C20" s="461"/>
      <x:c r="D20" s="473"/>
      <x:c r="E20" s="492"/>
      <x:c r="F20" s="492"/>
      <x:c r="G20" s="492"/>
      <x:c r="H20" s="493"/>
      <x:c r="I20" s="593"/>
      <x:c r="J20" s="492"/>
      <x:c r="K20" s="495"/>
    </x:row>
    <x:row r="21" ht="42" customHeight="1">
      <x:c r="A21" s="461"/>
      <x:c r="B21" s="461"/>
      <x:c r="C21" s="461"/>
      <x:c r="D21" s="473"/>
      <x:c r="E21" s="492"/>
      <x:c r="F21" s="492"/>
      <x:c r="G21" s="492"/>
      <x:c r="H21" s="493"/>
      <x:c r="I21" s="593"/>
      <x:c r="J21" s="492"/>
      <x:c r="K21" s="495"/>
    </x:row>
    <x:row r="22" ht="42" customHeight="1">
      <x:c r="A22" s="461"/>
      <x:c r="B22" s="461"/>
      <x:c r="C22" s="461"/>
      <x:c r="D22" s="473"/>
      <x:c r="E22" s="492"/>
      <x:c r="F22" s="492"/>
      <x:c r="G22" s="492"/>
      <x:c r="H22" s="493"/>
      <x:c r="I22" s="593"/>
      <x:c r="J22" s="492"/>
      <x:c r="K22" s="495"/>
    </x:row>
    <x:row r="23" ht="42" customHeight="1">
      <x:c r="A23" s="461"/>
      <x:c r="B23" s="461"/>
      <x:c r="C23" s="461"/>
      <x:c r="D23" s="473"/>
      <x:c r="E23" s="492"/>
      <x:c r="F23" s="492"/>
      <x:c r="G23" s="492"/>
      <x:c r="H23" s="493"/>
      <x:c r="I23" s="593"/>
      <x:c r="J23" s="492"/>
      <x:c r="K23" s="495"/>
    </x:row>
    <x:row r="24" ht="42" customHeight="1">
      <x:c r="A24" s="461"/>
      <x:c r="B24" s="461"/>
      <x:c r="C24" s="461"/>
      <x:c r="D24" s="473"/>
      <x:c r="E24" s="492"/>
      <x:c r="F24" s="492"/>
      <x:c r="G24" s="492"/>
      <x:c r="H24" s="493"/>
      <x:c r="I24" s="593"/>
      <x:c r="J24" s="492"/>
      <x:c r="K24" s="495"/>
    </x:row>
    <x:row r="25" ht="42" customHeight="1">
      <x:c r="A25" s="461"/>
      <x:c r="B25" s="461"/>
      <x:c r="C25" s="461"/>
      <x:c r="D25" s="473"/>
      <x:c r="E25" s="492"/>
      <x:c r="F25" s="492"/>
      <x:c r="G25" s="492"/>
      <x:c r="H25" s="493"/>
      <x:c r="I25" s="593"/>
      <x:c r="J25" s="492"/>
      <x:c r="K25" s="495"/>
    </x:row>
    <x:row r="26" ht="42" customHeight="1">
      <x:c r="A26" s="461"/>
      <x:c r="B26" s="461"/>
      <x:c r="C26" s="461"/>
      <x:c r="D26" s="473"/>
      <x:c r="E26" s="492"/>
      <x:c r="F26" s="492"/>
      <x:c r="G26" s="492"/>
      <x:c r="H26" s="493"/>
      <x:c r="I26" s="593"/>
      <x:c r="J26" s="492"/>
      <x:c r="K26" s="495"/>
    </x:row>
    <x:row r="27" ht="42" customHeight="1">
      <x:c r="A27" s="461"/>
      <x:c r="B27" s="461"/>
      <x:c r="C27" s="461"/>
      <x:c r="D27" s="473"/>
      <x:c r="E27" s="492"/>
      <x:c r="F27" s="492"/>
      <x:c r="G27" s="492"/>
      <x:c r="H27" s="493"/>
      <x:c r="I27" s="593"/>
      <x:c r="J27" s="492"/>
      <x:c r="K27" s="495"/>
    </x:row>
    <x:row r="28" ht="42" customHeight="1">
      <x:c r="A28" s="461"/>
      <x:c r="B28" s="461"/>
      <x:c r="C28" s="461"/>
      <x:c r="D28" s="473"/>
      <x:c r="E28" s="492"/>
      <x:c r="F28" s="492"/>
      <x:c r="G28" s="492"/>
      <x:c r="H28" s="493"/>
      <x:c r="I28" s="593"/>
      <x:c r="J28" s="492"/>
      <x:c r="K28" s="495"/>
    </x:row>
    <x:row r="29" ht="42" customHeight="1">
      <x:c r="A29" s="461"/>
      <x:c r="B29" s="461"/>
      <x:c r="C29" s="461"/>
      <x:c r="D29" s="473"/>
      <x:c r="E29" s="492"/>
      <x:c r="F29" s="492"/>
      <x:c r="G29" s="492"/>
      <x:c r="H29" s="493"/>
      <x:c r="I29" s="593"/>
      <x:c r="J29" s="492"/>
      <x:c r="K29" s="495"/>
    </x:row>
    <x:row r="30" ht="42" customHeight="1">
      <x:c r="A30" s="461"/>
      <x:c r="B30" s="461"/>
      <x:c r="C30" s="461"/>
      <x:c r="D30" s="473"/>
      <x:c r="E30" s="492"/>
      <x:c r="F30" s="492"/>
      <x:c r="G30" s="492"/>
      <x:c r="H30" s="493"/>
      <x:c r="I30" s="593"/>
      <x:c r="J30" s="492"/>
      <x:c r="K30" s="495"/>
    </x:row>
    <x:row r="31" ht="42" customHeight="1">
      <x:c r="A31" s="461"/>
      <x:c r="B31" s="461"/>
      <x:c r="C31" s="461"/>
      <x:c r="D31" s="473"/>
      <x:c r="E31" s="492"/>
      <x:c r="F31" s="492"/>
      <x:c r="G31" s="492"/>
      <x:c r="H31" s="493"/>
      <x:c r="I31" s="593"/>
      <x:c r="J31" s="492"/>
      <x:c r="K31" s="495"/>
    </x:row>
    <x:row r="32" ht="42" customHeight="1">
      <x:c r="A32" s="461"/>
      <x:c r="B32" s="461"/>
      <x:c r="C32" s="461"/>
      <x:c r="D32" s="473"/>
      <x:c r="E32" s="492"/>
      <x:c r="F32" s="492"/>
      <x:c r="G32" s="492"/>
      <x:c r="H32" s="493"/>
      <x:c r="I32" s="593"/>
      <x:c r="J32" s="492"/>
      <x:c r="K32" s="495"/>
    </x:row>
    <x:row r="33" ht="42" customHeight="1">
      <x:c r="A33" s="461"/>
      <x:c r="B33" s="461"/>
      <x:c r="C33" s="461"/>
      <x:c r="D33" s="473"/>
      <x:c r="E33" s="492"/>
      <x:c r="F33" s="492"/>
      <x:c r="G33" s="492"/>
      <x:c r="H33" s="493"/>
      <x:c r="I33" s="593"/>
      <x:c r="J33" s="492"/>
      <x:c r="K33" s="495"/>
    </x:row>
    <x:row r="34" ht="42" customHeight="1">
      <x:c r="A34" s="461"/>
      <x:c r="B34" s="461"/>
      <x:c r="C34" s="461"/>
      <x:c r="D34" s="473"/>
      <x:c r="E34" s="492"/>
      <x:c r="F34" s="492"/>
      <x:c r="G34" s="492"/>
      <x:c r="H34" s="493"/>
      <x:c r="I34" s="593"/>
      <x:c r="J34" s="492"/>
      <x:c r="K34" s="495"/>
    </x:row>
    <x:row r="35" ht="42" customHeight="1">
      <x:c r="A35" s="461"/>
      <x:c r="B35" s="461"/>
      <x:c r="C35" s="461"/>
      <x:c r="D35" s="473"/>
      <x:c r="E35" s="492"/>
      <x:c r="F35" s="492"/>
      <x:c r="G35" s="492"/>
      <x:c r="H35" s="493"/>
      <x:c r="I35" s="593"/>
      <x:c r="J35" s="492"/>
      <x:c r="K35" s="495"/>
    </x:row>
    <x:row r="36" ht="42" customHeight="1">
      <x:c r="A36" s="461"/>
      <x:c r="B36" s="461"/>
      <x:c r="C36" s="461"/>
      <x:c r="D36" s="473"/>
      <x:c r="E36" s="492"/>
      <x:c r="F36" s="492"/>
      <x:c r="G36" s="492"/>
      <x:c r="H36" s="493"/>
      <x:c r="I36" s="593"/>
      <x:c r="J36" s="492"/>
      <x:c r="K36" s="495"/>
    </x:row>
    <x:row r="37" ht="42" customHeight="1">
      <x:c r="A37" s="461"/>
      <x:c r="B37" s="461"/>
      <x:c r="C37" s="461"/>
      <x:c r="D37" s="473"/>
      <x:c r="E37" s="492"/>
      <x:c r="F37" s="492"/>
      <x:c r="G37" s="492"/>
      <x:c r="H37" s="493"/>
      <x:c r="I37" s="593"/>
      <x:c r="J37" s="492"/>
      <x:c r="K37" s="495"/>
    </x:row>
    <x:row r="38" ht="42" customHeight="1">
      <x:c r="A38" s="461"/>
      <x:c r="B38" s="461"/>
      <x:c r="C38" s="461"/>
      <x:c r="D38" s="473"/>
      <x:c r="E38" s="492"/>
      <x:c r="F38" s="492"/>
      <x:c r="G38" s="492"/>
      <x:c r="H38" s="493"/>
      <x:c r="I38" s="593"/>
      <x:c r="J38" s="492"/>
      <x:c r="K38" s="495"/>
    </x:row>
    <x:row r="39" ht="42" customHeight="1">
      <x:c r="A39" s="461"/>
      <x:c r="B39" s="461"/>
      <x:c r="C39" s="461"/>
      <x:c r="D39" s="473"/>
      <x:c r="E39" s="492"/>
      <x:c r="F39" s="492"/>
      <x:c r="G39" s="492"/>
      <x:c r="H39" s="493"/>
      <x:c r="I39" s="593"/>
      <x:c r="J39" s="492"/>
      <x:c r="K39" s="495"/>
    </x:row>
    <x:row r="40" ht="42" customHeight="1">
      <x:c r="A40" s="461"/>
      <x:c r="B40" s="461"/>
      <x:c r="C40" s="461"/>
      <x:c r="D40" s="473"/>
      <x:c r="E40" s="492"/>
      <x:c r="F40" s="492"/>
      <x:c r="G40" s="492"/>
      <x:c r="H40" s="493"/>
      <x:c r="I40" s="593"/>
      <x:c r="J40" s="492"/>
      <x:c r="K40" s="495"/>
    </x:row>
    <x:row r="41" ht="42" customHeight="1">
      <x:c r="A41" s="461"/>
      <x:c r="B41" s="461"/>
      <x:c r="C41" s="461"/>
      <x:c r="D41" s="473"/>
      <x:c r="E41" s="492"/>
      <x:c r="F41" s="492"/>
      <x:c r="G41" s="492"/>
      <x:c r="H41" s="493" t="n"/>
      <x:c r="I41" s="593"/>
      <x:c r="J41" s="492"/>
      <x:c r="K41" s="495"/>
    </x:row>
    <x:row r="42" ht="42" customHeight="1">
      <x:c r="A42" s="461"/>
      <x:c r="B42" s="461"/>
      <x:c r="C42" s="461"/>
      <x:c r="D42" s="473"/>
      <x:c r="E42" s="492"/>
      <x:c r="F42" s="492"/>
      <x:c r="G42" s="492"/>
      <x:c r="H42" s="493" t="n"/>
      <x:c r="I42" s="593"/>
      <x:c r="J42" s="492"/>
      <x:c r="K42" s="495"/>
    </x:row>
    <x:row r="43" ht="42" customHeight="1">
      <x:c r="A43" s="461"/>
      <x:c r="B43" s="461"/>
      <x:c r="C43" s="461"/>
      <x:c r="D43" s="473"/>
      <x:c r="E43" s="492"/>
      <x:c r="F43" s="492"/>
      <x:c r="G43" s="492"/>
      <x:c r="H43" s="493" t="n"/>
      <x:c r="I43" s="593"/>
      <x:c r="J43" s="492"/>
      <x:c r="K43" s="495"/>
    </x:row>
    <x:row r="44" ht="42" customHeight="1">
      <x:c r="A44" s="461"/>
      <x:c r="B44" s="461"/>
      <x:c r="C44" s="461"/>
      <x:c r="D44" s="473"/>
      <x:c r="E44" s="492"/>
      <x:c r="F44" s="492"/>
      <x:c r="G44" s="492"/>
      <x:c r="H44" s="493" t="n"/>
      <x:c r="I44" s="593"/>
      <x:c r="J44" s="492"/>
      <x:c r="K44" s="495"/>
    </x:row>
    <x:row r="45" ht="42" customHeight="1">
      <x:c r="A45" s="461"/>
      <x:c r="B45" s="461"/>
      <x:c r="C45" s="461"/>
      <x:c r="D45" s="473"/>
      <x:c r="E45" s="492"/>
      <x:c r="F45" s="492"/>
      <x:c r="G45" s="492"/>
      <x:c r="H45" s="493" t="n"/>
      <x:c r="I45" s="593"/>
      <x:c r="J45" s="492"/>
      <x:c r="K45" s="495"/>
    </x:row>
    <x:row r="46" ht="42" customHeight="1">
      <x:c r="A46" s="461"/>
      <x:c r="B46" s="461"/>
      <x:c r="C46" s="461"/>
      <x:c r="D46" s="473"/>
      <x:c r="E46" s="492"/>
      <x:c r="F46" s="492"/>
      <x:c r="G46" s="492"/>
      <x:c r="H46" s="493" t="n"/>
      <x:c r="I46" s="593"/>
      <x:c r="J46" s="492"/>
      <x:c r="K46" s="495"/>
    </x:row>
    <x:row r="47" ht="42" customHeight="1">
      <x:c r="A47" s="461"/>
      <x:c r="B47" s="461"/>
      <x:c r="C47" s="461"/>
      <x:c r="D47" s="473"/>
      <x:c r="E47" s="492"/>
      <x:c r="F47" s="492"/>
      <x:c r="G47" s="492"/>
      <x:c r="H47" s="493" t="n"/>
      <x:c r="I47" s="593"/>
      <x:c r="J47" s="492"/>
      <x:c r="K47" s="495"/>
    </x:row>
    <x:row r="48" ht="42" customHeight="1">
      <x:c r="A48" s="461"/>
      <x:c r="B48" s="461"/>
      <x:c r="C48" s="461"/>
      <x:c r="D48" s="473"/>
      <x:c r="E48" s="492"/>
      <x:c r="F48" s="492"/>
      <x:c r="G48" s="492"/>
      <x:c r="H48" s="493" t="n"/>
      <x:c r="I48" s="593"/>
      <x:c r="J48" s="492"/>
      <x:c r="K48" s="495"/>
    </x:row>
    <x:row r="49" ht="42" customHeight="1">
      <x:c r="A49" s="461"/>
      <x:c r="B49" s="461"/>
      <x:c r="C49" s="461"/>
      <x:c r="D49" s="473"/>
      <x:c r="E49" s="492"/>
      <x:c r="F49" s="492"/>
      <x:c r="G49" s="492"/>
      <x:c r="H49" s="493" t="n"/>
      <x:c r="I49" s="593"/>
      <x:c r="J49" s="492"/>
      <x:c r="K49" s="495"/>
    </x:row>
    <x:row r="50" ht="42" customHeight="1">
      <x:c r="A50" s="461"/>
      <x:c r="B50" s="461"/>
      <x:c r="C50" s="461"/>
      <x:c r="D50" s="473"/>
      <x:c r="E50" s="492"/>
      <x:c r="F50" s="492"/>
      <x:c r="G50" s="492"/>
      <x:c r="H50" s="493" t="n"/>
      <x:c r="I50" s="593"/>
      <x:c r="J50" s="492"/>
      <x:c r="K50" s="495"/>
    </x:row>
    <x:row r="51" ht="42" customHeight="1">
      <x:c r="A51" s="461"/>
      <x:c r="B51" s="461"/>
      <x:c r="C51" s="461"/>
      <x:c r="D51" s="473"/>
      <x:c r="E51" s="492"/>
      <x:c r="F51" s="492"/>
      <x:c r="G51" s="492"/>
      <x:c r="H51" s="493" t="n"/>
      <x:c r="I51" s="593"/>
      <x:c r="J51" s="492"/>
      <x:c r="K51" s="495"/>
    </x:row>
    <x:row r="52" ht="42" customHeight="1">
      <x:c r="A52" s="461"/>
      <x:c r="B52" s="461"/>
      <x:c r="C52" s="461"/>
      <x:c r="D52" s="473"/>
      <x:c r="E52" s="492"/>
      <x:c r="F52" s="492"/>
      <x:c r="G52" s="492"/>
      <x:c r="H52" s="493" t="n"/>
      <x:c r="I52" s="593"/>
      <x:c r="J52" s="492"/>
      <x:c r="K52" s="495"/>
    </x:row>
    <x:row r="53" ht="42" customHeight="1">
      <x:c r="A53" s="461"/>
      <x:c r="B53" s="461"/>
      <x:c r="C53" s="461"/>
      <x:c r="D53" s="473"/>
      <x:c r="E53" s="492"/>
      <x:c r="F53" s="492"/>
      <x:c r="G53" s="492"/>
      <x:c r="H53" s="493" t="n"/>
      <x:c r="I53" s="593"/>
      <x:c r="J53" s="492"/>
      <x:c r="K53" s="495"/>
    </x:row>
    <x:row r="54" ht="42" customHeight="1">
      <x:c r="A54" s="461"/>
      <x:c r="B54" s="461"/>
      <x:c r="C54" s="461"/>
      <x:c r="D54" s="473"/>
      <x:c r="E54" s="492"/>
      <x:c r="F54" s="492"/>
      <x:c r="G54" s="492"/>
      <x:c r="H54" s="493" t="n"/>
      <x:c r="I54" s="593"/>
      <x:c r="J54" s="492"/>
      <x:c r="K54" s="495"/>
    </x:row>
    <x:row r="55" ht="42" customHeight="1">
      <x:c r="A55" s="461"/>
      <x:c r="B55" s="461"/>
      <x:c r="C55" s="461"/>
      <x:c r="D55" s="473"/>
      <x:c r="E55" s="492"/>
      <x:c r="F55" s="492"/>
      <x:c r="G55" s="492"/>
      <x:c r="H55" s="493" t="n"/>
      <x:c r="I55" s="593"/>
      <x:c r="J55" s="492"/>
      <x:c r="K55" s="495"/>
    </x:row>
    <x:row r="56" ht="42" customHeight="1">
      <x:c r="A56" s="461"/>
      <x:c r="B56" s="461"/>
      <x:c r="C56" s="461"/>
      <x:c r="D56" s="473"/>
      <x:c r="E56" s="492"/>
      <x:c r="F56" s="492"/>
      <x:c r="G56" s="492"/>
      <x:c r="H56" s="493" t="n"/>
      <x:c r="I56" s="593"/>
      <x:c r="J56" s="492"/>
      <x:c r="K56" s="495"/>
    </x:row>
    <x:row r="57" ht="42" customHeight="1">
      <x:c r="A57" s="461"/>
      <x:c r="B57" s="461"/>
      <x:c r="C57" s="461"/>
      <x:c r="D57" s="473"/>
      <x:c r="E57" s="492"/>
      <x:c r="F57" s="492"/>
      <x:c r="G57" s="492"/>
      <x:c r="H57" s="493" t="n"/>
      <x:c r="I57" s="593"/>
      <x:c r="J57" s="492"/>
      <x:c r="K57" s="495"/>
    </x:row>
    <x:row r="58" ht="42" customHeight="1">
      <x:c r="A58" s="461"/>
      <x:c r="B58" s="461"/>
      <x:c r="C58" s="461"/>
      <x:c r="D58" s="473"/>
      <x:c r="E58" s="492"/>
      <x:c r="F58" s="492"/>
      <x:c r="G58" s="492"/>
      <x:c r="H58" s="493" t="n"/>
      <x:c r="I58" s="593"/>
      <x:c r="J58" s="492"/>
      <x:c r="K58" s="495"/>
    </x:row>
    <x:row r="59" ht="42" customHeight="1">
      <x:c r="A59" s="461"/>
      <x:c r="B59" s="461"/>
      <x:c r="C59" s="461"/>
      <x:c r="D59" s="473"/>
      <x:c r="E59" s="492"/>
      <x:c r="F59" s="492"/>
      <x:c r="G59" s="492"/>
      <x:c r="H59" s="493" t="n"/>
      <x:c r="I59" s="593"/>
      <x:c r="J59" s="492"/>
      <x:c r="K59" s="495"/>
    </x:row>
    <x:row r="60" ht="42" customHeight="1">
      <x:c r="A60" s="461"/>
      <x:c r="B60" s="461"/>
      <x:c r="C60" s="461"/>
      <x:c r="D60" s="473"/>
      <x:c r="E60" s="492"/>
      <x:c r="F60" s="492"/>
      <x:c r="G60" s="492"/>
      <x:c r="H60" s="493" t="n"/>
      <x:c r="I60" s="593"/>
      <x:c r="J60" s="492"/>
      <x:c r="K60" s="495"/>
    </x:row>
    <x:row r="61" ht="42" customHeight="1">
      <x:c r="A61" s="461"/>
      <x:c r="B61" s="461"/>
      <x:c r="C61" s="461"/>
      <x:c r="D61" s="473"/>
      <x:c r="E61" s="492"/>
      <x:c r="F61" s="492"/>
      <x:c r="G61" s="492"/>
      <x:c r="H61" s="493" t="n"/>
      <x:c r="I61" s="593"/>
      <x:c r="J61" s="492"/>
      <x:c r="K61" s="495"/>
    </x:row>
    <x:row r="62" ht="42" customHeight="1">
      <x:c r="A62" s="461"/>
      <x:c r="B62" s="461"/>
      <x:c r="C62" s="461"/>
      <x:c r="D62" s="473"/>
      <x:c r="E62" s="492"/>
      <x:c r="F62" s="492"/>
      <x:c r="G62" s="492"/>
      <x:c r="H62" s="493" t="n"/>
      <x:c r="I62" s="593"/>
      <x:c r="J62" s="492"/>
      <x:c r="K62" s="495"/>
    </x:row>
    <x:row r="63" ht="42" customHeight="1">
      <x:c r="A63" s="461"/>
      <x:c r="B63" s="461"/>
      <x:c r="C63" s="461"/>
      <x:c r="D63" s="473"/>
      <x:c r="E63" s="492"/>
      <x:c r="F63" s="492"/>
      <x:c r="G63" s="492"/>
      <x:c r="H63" s="493" t="n"/>
      <x:c r="I63" s="593"/>
      <x:c r="J63" s="492"/>
      <x:c r="K63" s="495"/>
    </x:row>
    <x:row r="64" ht="42" customHeight="1">
      <x:c r="A64" s="461"/>
      <x:c r="B64" s="461"/>
      <x:c r="C64" s="461"/>
      <x:c r="D64" s="473"/>
      <x:c r="E64" s="492"/>
      <x:c r="F64" s="492"/>
      <x:c r="G64" s="492"/>
      <x:c r="H64" s="493" t="n"/>
      <x:c r="I64" s="593"/>
      <x:c r="J64" s="492"/>
      <x:c r="K64" s="495"/>
    </x:row>
    <x:row r="65" ht="42" customHeight="1">
      <x:c r="A65" s="461"/>
      <x:c r="B65" s="461"/>
      <x:c r="C65" s="461"/>
      <x:c r="D65" s="473"/>
      <x:c r="E65" s="492"/>
      <x:c r="F65" s="492"/>
      <x:c r="G65" s="492"/>
      <x:c r="H65" s="493" t="n"/>
      <x:c r="I65" s="593"/>
      <x:c r="J65" s="492"/>
      <x:c r="K65" s="495"/>
    </x:row>
    <x:row r="66" ht="42" customHeight="1">
      <x:c r="A66" s="461"/>
      <x:c r="B66" s="461"/>
      <x:c r="C66" s="461"/>
      <x:c r="D66" s="473"/>
      <x:c r="E66" s="492"/>
      <x:c r="F66" s="492"/>
      <x:c r="G66" s="492"/>
      <x:c r="H66" s="493" t="n"/>
      <x:c r="I66" s="593"/>
      <x:c r="J66" s="492"/>
      <x:c r="K66" s="495"/>
    </x:row>
    <x:row r="67" ht="42" customHeight="1">
      <x:c r="A67" s="461"/>
      <x:c r="B67" s="461"/>
      <x:c r="C67" s="461"/>
      <x:c r="D67" s="473"/>
      <x:c r="E67" s="492"/>
      <x:c r="F67" s="492"/>
      <x:c r="G67" s="492"/>
      <x:c r="H67" s="493" t="n"/>
      <x:c r="I67" s="593"/>
      <x:c r="J67" s="492"/>
      <x:c r="K67" s="495"/>
    </x:row>
    <x:row r="68" ht="42" customHeight="1">
      <x:c r="A68" s="461"/>
      <x:c r="B68" s="461"/>
      <x:c r="C68" s="461"/>
      <x:c r="D68" s="473"/>
      <x:c r="E68" s="492"/>
      <x:c r="F68" s="492"/>
      <x:c r="G68" s="492"/>
      <x:c r="H68" s="493" t="n"/>
      <x:c r="I68" s="593"/>
      <x:c r="J68" s="492"/>
      <x:c r="K68" s="495"/>
    </x:row>
    <x:row r="69" ht="42" customHeight="1">
      <x:c r="A69" s="461"/>
      <x:c r="B69" s="461"/>
      <x:c r="C69" s="461"/>
      <x:c r="D69" s="473"/>
      <x:c r="E69" s="492"/>
      <x:c r="F69" s="492"/>
      <x:c r="G69" s="492"/>
      <x:c r="H69" s="493" t="n"/>
      <x:c r="I69" s="593"/>
      <x:c r="J69" s="492"/>
      <x:c r="K69" s="495"/>
    </x:row>
    <x:row r="70" ht="42" customHeight="1">
      <x:c r="A70" s="461"/>
      <x:c r="B70" s="461"/>
      <x:c r="C70" s="461"/>
      <x:c r="D70" s="473"/>
      <x:c r="E70" s="492"/>
      <x:c r="F70" s="492"/>
      <x:c r="G70" s="492"/>
      <x:c r="H70" s="493" t="n"/>
      <x:c r="I70" s="593"/>
      <x:c r="J70" s="492"/>
      <x:c r="K70" s="495"/>
    </x:row>
    <x:row r="71" ht="42" customHeight="1">
      <x:c r="A71" s="461"/>
      <x:c r="B71" s="461"/>
      <x:c r="C71" s="461"/>
      <x:c r="D71" s="473"/>
      <x:c r="E71" s="492"/>
      <x:c r="F71" s="492"/>
      <x:c r="G71" s="492"/>
      <x:c r="H71" s="493" t="n"/>
      <x:c r="I71" s="593"/>
      <x:c r="J71" s="492"/>
      <x:c r="K71" s="495"/>
    </x:row>
    <x:row r="72" ht="42" customHeight="1">
      <x:c r="A72" s="461"/>
      <x:c r="B72" s="461"/>
      <x:c r="C72" s="461"/>
      <x:c r="D72" s="473"/>
      <x:c r="E72" s="492"/>
      <x:c r="F72" s="492"/>
      <x:c r="G72" s="492"/>
      <x:c r="H72" s="493" t="n"/>
      <x:c r="I72" s="593"/>
      <x:c r="J72" s="492"/>
      <x:c r="K72" s="495"/>
    </x:row>
    <x:row r="73" ht="42" customHeight="1">
      <x:c r="A73" s="461"/>
      <x:c r="B73" s="461"/>
      <x:c r="C73" s="461"/>
      <x:c r="D73" s="473"/>
      <x:c r="E73" s="492"/>
      <x:c r="F73" s="492"/>
      <x:c r="G73" s="492"/>
      <x:c r="H73" s="493" t="n"/>
      <x:c r="I73" s="593"/>
      <x:c r="J73" s="492"/>
      <x:c r="K73" s="495"/>
    </x:row>
    <x:row r="74" ht="42" customHeight="1">
      <x:c r="A74" s="461"/>
      <x:c r="B74" s="461"/>
      <x:c r="C74" s="461"/>
      <x:c r="D74" s="473"/>
      <x:c r="E74" s="492"/>
      <x:c r="F74" s="492"/>
      <x:c r="G74" s="492"/>
      <x:c r="H74" s="493" t="n"/>
      <x:c r="I74" s="593"/>
      <x:c r="J74" s="492"/>
      <x:c r="K74" s="495"/>
    </x:row>
    <x:row r="75" ht="42" customHeight="1">
      <x:c r="A75" s="461"/>
      <x:c r="B75" s="461"/>
      <x:c r="C75" s="461"/>
      <x:c r="D75" s="473"/>
      <x:c r="E75" s="492"/>
      <x:c r="F75" s="492"/>
      <x:c r="G75" s="492"/>
      <x:c r="H75" s="493" t="n"/>
      <x:c r="I75" s="593"/>
      <x:c r="J75" s="492"/>
      <x:c r="K75" s="495"/>
    </x:row>
    <x:row r="76" ht="42" customHeight="1">
      <x:c r="A76" s="461"/>
      <x:c r="B76" s="461"/>
      <x:c r="C76" s="461"/>
      <x:c r="D76" s="473"/>
      <x:c r="E76" s="492"/>
      <x:c r="F76" s="492"/>
      <x:c r="G76" s="492"/>
      <x:c r="H76" s="493" t="n"/>
      <x:c r="I76" s="593"/>
      <x:c r="J76" s="492"/>
      <x:c r="K76" s="495"/>
    </x:row>
    <x:row r="77" ht="42" customHeight="1">
      <x:c r="A77" s="461"/>
      <x:c r="B77" s="461"/>
      <x:c r="C77" s="461"/>
      <x:c r="D77" s="473"/>
      <x:c r="E77" s="492"/>
      <x:c r="F77" s="492"/>
      <x:c r="G77" s="492"/>
      <x:c r="H77" s="493" t="n"/>
      <x:c r="I77" s="593"/>
      <x:c r="J77" s="492"/>
      <x:c r="K77" s="495"/>
    </x:row>
    <x:row r="78" ht="42" customHeight="1">
      <x:c r="A78" s="461"/>
      <x:c r="B78" s="461"/>
      <x:c r="C78" s="461"/>
      <x:c r="D78" s="473"/>
      <x:c r="E78" s="492"/>
      <x:c r="F78" s="492"/>
      <x:c r="G78" s="492"/>
      <x:c r="H78" s="493" t="n"/>
      <x:c r="I78" s="593"/>
      <x:c r="J78" s="492"/>
      <x:c r="K78" s="495"/>
    </x:row>
    <x:row r="79" ht="42" customHeight="1">
      <x:c r="A79" s="461"/>
      <x:c r="B79" s="461"/>
      <x:c r="C79" s="461"/>
      <x:c r="D79" s="473"/>
      <x:c r="E79" s="492"/>
      <x:c r="F79" s="492"/>
      <x:c r="G79" s="492"/>
      <x:c r="H79" s="493" t="n"/>
      <x:c r="I79" s="593"/>
      <x:c r="J79" s="492"/>
      <x:c r="K79" s="495"/>
    </x:row>
    <x:row r="80" ht="42" customHeight="1">
      <x:c r="A80" s="461"/>
      <x:c r="B80" s="461"/>
      <x:c r="C80" s="461"/>
      <x:c r="D80" s="473"/>
      <x:c r="E80" s="492"/>
      <x:c r="F80" s="492"/>
      <x:c r="G80" s="492"/>
      <x:c r="H80" s="493" t="n"/>
      <x:c r="I80" s="593"/>
      <x:c r="J80" s="492"/>
      <x:c r="K80" s="495"/>
    </x:row>
    <x:row r="81" ht="42" customHeight="1">
      <x:c r="A81" s="461"/>
      <x:c r="B81" s="461"/>
      <x:c r="C81" s="461"/>
      <x:c r="D81" s="473"/>
      <x:c r="E81" s="492"/>
      <x:c r="F81" s="492"/>
      <x:c r="G81" s="492"/>
      <x:c r="H81" s="493" t="n"/>
      <x:c r="I81" s="593"/>
      <x:c r="J81" s="492"/>
      <x:c r="K81" s="495"/>
    </x:row>
    <x:row r="82" ht="42" customHeight="1">
      <x:c r="A82" s="461"/>
      <x:c r="B82" s="461"/>
      <x:c r="C82" s="461"/>
      <x:c r="D82" s="473"/>
      <x:c r="E82" s="492"/>
      <x:c r="F82" s="492"/>
      <x:c r="G82" s="492"/>
      <x:c r="H82" s="493" t="n"/>
      <x:c r="I82" s="593"/>
      <x:c r="J82" s="492"/>
      <x:c r="K82" s="495"/>
    </x:row>
    <x:row r="83" ht="42" customHeight="1">
      <x:c r="A83" s="461"/>
      <x:c r="B83" s="461"/>
      <x:c r="C83" s="461"/>
      <x:c r="D83" s="473"/>
      <x:c r="E83" s="492"/>
      <x:c r="F83" s="492"/>
      <x:c r="G83" s="492"/>
      <x:c r="H83" s="493" t="n"/>
      <x:c r="I83" s="593"/>
      <x:c r="J83" s="492"/>
      <x:c r="K83" s="495"/>
    </x:row>
    <x:row r="84" ht="42" customHeight="1">
      <x:c r="A84" s="461"/>
      <x:c r="B84" s="461"/>
      <x:c r="C84" s="461"/>
      <x:c r="D84" s="473"/>
      <x:c r="E84" s="492"/>
      <x:c r="F84" s="492"/>
      <x:c r="G84" s="492"/>
      <x:c r="H84" s="493" t="n"/>
      <x:c r="I84" s="593"/>
      <x:c r="J84" s="492"/>
      <x:c r="K84" s="495"/>
    </x:row>
    <x:row r="85" ht="42" customHeight="1">
      <x:c r="A85" s="461"/>
      <x:c r="B85" s="461"/>
      <x:c r="C85" s="461"/>
      <x:c r="D85" s="473"/>
      <x:c r="E85" s="492"/>
      <x:c r="F85" s="492"/>
      <x:c r="G85" s="492"/>
      <x:c r="H85" s="493" t="n"/>
      <x:c r="I85" s="593"/>
      <x:c r="J85" s="492"/>
      <x:c r="K85" s="495"/>
    </x:row>
    <x:row r="86" ht="42" customHeight="1">
      <x:c r="A86" s="461"/>
      <x:c r="B86" s="461"/>
      <x:c r="C86" s="461"/>
      <x:c r="D86" s="473"/>
      <x:c r="E86" s="492"/>
      <x:c r="F86" s="492"/>
      <x:c r="G86" s="492"/>
      <x:c r="H86" s="493" t="n"/>
      <x:c r="I86" s="593"/>
      <x:c r="J86" s="492"/>
      <x:c r="K86" s="495"/>
    </x:row>
    <x:row r="87" ht="42" customHeight="1">
      <x:c r="A87" s="461"/>
      <x:c r="B87" s="461"/>
      <x:c r="C87" s="461"/>
      <x:c r="D87" s="473"/>
      <x:c r="E87" s="492"/>
      <x:c r="F87" s="492"/>
      <x:c r="G87" s="492"/>
      <x:c r="H87" s="493" t="n"/>
      <x:c r="I87" s="593"/>
      <x:c r="J87" s="492"/>
      <x:c r="K87" s="495"/>
    </x:row>
    <x:row r="88" ht="42" customHeight="1">
      <x:c r="A88" s="461"/>
      <x:c r="B88" s="461"/>
      <x:c r="C88" s="461"/>
      <x:c r="D88" s="473"/>
      <x:c r="E88" s="492"/>
      <x:c r="F88" s="492"/>
      <x:c r="G88" s="492"/>
      <x:c r="H88" s="493" t="n"/>
      <x:c r="I88" s="593"/>
      <x:c r="J88" s="492"/>
      <x:c r="K88" s="495"/>
    </x:row>
    <x:row r="89" ht="42" customHeight="1">
      <x:c r="A89" s="461"/>
      <x:c r="B89" s="461"/>
      <x:c r="C89" s="461"/>
      <x:c r="D89" s="473"/>
      <x:c r="E89" s="492"/>
      <x:c r="F89" s="492"/>
      <x:c r="G89" s="492"/>
      <x:c r="H89" s="493" t="n"/>
      <x:c r="I89" s="593"/>
      <x:c r="J89" s="492"/>
      <x:c r="K89" s="495"/>
    </x:row>
    <x:row r="90" ht="42" customHeight="1">
      <x:c r="A90" s="461"/>
      <x:c r="B90" s="461"/>
      <x:c r="C90" s="461"/>
      <x:c r="D90" s="473"/>
      <x:c r="E90" s="492"/>
      <x:c r="F90" s="492"/>
      <x:c r="G90" s="492"/>
      <x:c r="H90" s="493" t="n"/>
      <x:c r="I90" s="593"/>
      <x:c r="J90" s="492"/>
      <x:c r="K90" s="495"/>
    </x:row>
    <x:row r="91" ht="42" customHeight="1">
      <x:c r="A91" s="461"/>
      <x:c r="B91" s="461"/>
      <x:c r="C91" s="461"/>
      <x:c r="D91" s="473"/>
      <x:c r="E91" s="492"/>
      <x:c r="F91" s="492"/>
      <x:c r="G91" s="492"/>
      <x:c r="H91" s="493" t="n"/>
      <x:c r="I91" s="593"/>
      <x:c r="J91" s="492"/>
      <x:c r="K91" s="495"/>
    </x:row>
    <x:row r="92" ht="42" customHeight="1">
      <x:c r="A92" s="461"/>
      <x:c r="B92" s="461"/>
      <x:c r="C92" s="461"/>
      <x:c r="D92" s="473"/>
      <x:c r="E92" s="492"/>
      <x:c r="F92" s="492"/>
      <x:c r="G92" s="492"/>
      <x:c r="H92" s="493" t="n"/>
      <x:c r="I92" s="593"/>
      <x:c r="J92" s="492"/>
      <x:c r="K92" s="495"/>
    </x:row>
    <x:row r="93" ht="42" customHeight="1">
      <x:c r="A93" s="461"/>
      <x:c r="B93" s="461"/>
      <x:c r="C93" s="461"/>
      <x:c r="D93" s="473"/>
      <x:c r="E93" s="492"/>
      <x:c r="F93" s="492"/>
      <x:c r="G93" s="492"/>
      <x:c r="H93" s="493" t="n"/>
      <x:c r="I93" s="593"/>
      <x:c r="J93" s="492"/>
      <x:c r="K93" s="495"/>
    </x:row>
    <x:row r="94" ht="42" customHeight="1">
      <x:c r="A94" s="461"/>
      <x:c r="B94" s="461"/>
      <x:c r="C94" s="461"/>
      <x:c r="D94" s="473"/>
      <x:c r="E94" s="492"/>
      <x:c r="F94" s="492"/>
      <x:c r="G94" s="492"/>
      <x:c r="H94" s="493" t="n"/>
      <x:c r="I94" s="593"/>
      <x:c r="J94" s="492"/>
      <x:c r="K94" s="495"/>
    </x:row>
    <x:row r="95" ht="42" customHeight="1">
      <x:c r="A95" s="461"/>
      <x:c r="B95" s="461"/>
      <x:c r="C95" s="461"/>
      <x:c r="D95" s="473"/>
      <x:c r="E95" s="492"/>
      <x:c r="F95" s="492"/>
      <x:c r="G95" s="492"/>
      <x:c r="H95" s="493" t="n"/>
      <x:c r="I95" s="593"/>
      <x:c r="J95" s="492"/>
      <x:c r="K95" s="495"/>
    </x:row>
    <x:row r="96" ht="42" customHeight="1">
      <x:c r="A96" s="461"/>
      <x:c r="B96" s="461"/>
      <x:c r="C96" s="461"/>
      <x:c r="D96" s="473"/>
      <x:c r="E96" s="492"/>
      <x:c r="F96" s="492"/>
      <x:c r="G96" s="492"/>
      <x:c r="H96" s="493" t="n"/>
      <x:c r="I96" s="593"/>
      <x:c r="J96" s="492"/>
      <x:c r="K96" s="495"/>
    </x:row>
    <x:row r="97" ht="42" customHeight="1">
      <x:c r="A97" s="461"/>
      <x:c r="B97" s="461"/>
      <x:c r="C97" s="461"/>
      <x:c r="D97" s="473"/>
      <x:c r="E97" s="492"/>
      <x:c r="F97" s="492"/>
      <x:c r="G97" s="492"/>
      <x:c r="H97" s="493" t="n"/>
      <x:c r="I97" s="593"/>
      <x:c r="J97" s="492"/>
      <x:c r="K97" s="495"/>
    </x:row>
    <x:row r="98" ht="42" customHeight="1">
      <x:c r="A98" s="461"/>
      <x:c r="B98" s="461"/>
      <x:c r="C98" s="461"/>
      <x:c r="D98" s="473"/>
      <x:c r="E98" s="492"/>
      <x:c r="F98" s="492"/>
      <x:c r="G98" s="492"/>
      <x:c r="H98" s="493" t="n"/>
      <x:c r="I98" s="593"/>
      <x:c r="J98" s="492"/>
      <x:c r="K98" s="495"/>
    </x:row>
    <x:row r="99" ht="42" customHeight="1">
      <x:c r="A99" s="461"/>
      <x:c r="B99" s="461"/>
      <x:c r="C99" s="461"/>
      <x:c r="D99" s="473"/>
      <x:c r="E99" s="492"/>
      <x:c r="F99" s="492"/>
      <x:c r="G99" s="492"/>
      <x:c r="H99" s="493" t="n"/>
      <x:c r="I99" s="593"/>
      <x:c r="J99" s="492"/>
      <x:c r="K99" s="495"/>
    </x:row>
    <x:row r="100" ht="42" customHeight="1">
      <x:c r="A100" s="461"/>
      <x:c r="B100" s="461"/>
      <x:c r="C100" s="461"/>
      <x:c r="D100" s="473"/>
      <x:c r="E100" s="492"/>
      <x:c r="F100" s="492"/>
      <x:c r="G100" s="492"/>
      <x:c r="H100" s="493" t="n"/>
      <x:c r="I100" s="593"/>
      <x:c r="J100" s="492"/>
      <x:c r="K100" s="495"/>
    </x:row>
    <x:row r="101" ht="42" customHeight="1">
      <x:c r="A101" s="461"/>
      <x:c r="B101" s="461"/>
      <x:c r="C101" s="461"/>
      <x:c r="D101" s="473"/>
      <x:c r="E101" s="492"/>
      <x:c r="F101" s="492"/>
      <x:c r="G101" s="492"/>
      <x:c r="H101" s="493" t="n"/>
      <x:c r="I101" s="593"/>
      <x:c r="J101" s="492"/>
      <x:c r="K101" s="495"/>
    </x:row>
    <x:row r="102" ht="42" customHeight="1">
      <x:c r="A102" s="461"/>
      <x:c r="B102" s="461"/>
      <x:c r="C102" s="461"/>
      <x:c r="D102" s="473"/>
      <x:c r="E102" s="492"/>
      <x:c r="F102" s="492"/>
      <x:c r="G102" s="492"/>
      <x:c r="H102" s="493" t="n"/>
      <x:c r="I102" s="593"/>
      <x:c r="J102" s="492"/>
      <x:c r="K102" s="495"/>
    </x:row>
    <x:row r="103" ht="42" customHeight="1">
      <x:c r="A103" s="461"/>
      <x:c r="B103" s="461"/>
      <x:c r="C103" s="461"/>
      <x:c r="D103" s="473"/>
      <x:c r="E103" s="492"/>
      <x:c r="F103" s="492"/>
      <x:c r="G103" s="492"/>
      <x:c r="H103" s="493" t="n"/>
      <x:c r="I103" s="593"/>
      <x:c r="J103" s="492"/>
      <x:c r="K103" s="495"/>
    </x:row>
    <x:row r="104" ht="42" customHeight="1">
      <x:c r="A104" s="461"/>
      <x:c r="B104" s="461"/>
      <x:c r="C104" s="461"/>
      <x:c r="D104" s="473"/>
      <x:c r="E104" s="492"/>
      <x:c r="F104" s="492"/>
      <x:c r="G104" s="492"/>
      <x:c r="H104" s="493" t="n"/>
      <x:c r="I104" s="593"/>
      <x:c r="J104" s="492"/>
      <x:c r="K104" s="495"/>
    </x:row>
  </x:sheetData>
  <x:mergeCells>
    <x:mergeCell ref="A1:K1"/>
    <x:mergeCell ref="A2:K2"/>
  </x:mergeCells>
  <x:conditionalFormatting sqref="K5:K104">
    <x:cfRule type="containsText" dxfId="35" priority="1" operator="containsText" text="已明确"/>
    <x:cfRule type="containsText" dxfId="36" priority="2" operator="containsText" text="待确认"/>
  </x:conditionalFormatting>
  <x:dataValidations count="2">
    <x:dataValidation type="list" sqref="C5:C104">
      <x:formula1>INDIRECT("'02-子需求'!$A$5:$A$104")</x:formula1>
    </x:dataValidation>
    <x:dataValidation type="list" sqref="D5:D104">
      <x:formula1>"是,否"</x:formula1>
    </x:dataValidation>
  </x:dataValidations>
  <x:pageMargins left="0.7" right="0.7" top="0.75" bottom="0.75" header="0.3" footer="0.3"/>
  <x:tableParts count="1">
    <x:tablePart xmlns:r="http://schemas.openxmlformats.org/officeDocument/2006/relationships" r:id="R3d4c4ff6ab81428f"/>
  </x:tableParts>
</x:worksheet>
</file>

<file path=xl/worksheets/sheet5.xml><?xml version="1.0" encoding="utf-8"?>
<x:worksheet xmlns:x="http://schemas.openxmlformats.org/spreadsheetml/2006/main">
  <x:sheetViews>
    <x:sheetView showGridLines="0" workbookViewId="0"/>
  </x:sheetViews>
  <x:sheetFormatPr baseColWidth="8" defaultColWidth="9" defaultRowHeight="16.799999237060547"/>
  <x:cols>
    <x:col min="1" max="2" width="16" customWidth="1"/>
    <x:col min="3" max="3" width="11" hidden="0" customWidth="1"/>
    <x:col min="4" max="4" width="70" hidden="0" customWidth="1"/>
    <x:col min="1" max="1" width="20" hidden="0" customWidth="1"/>
    <x:col min="2" max="2" width="20" hidden="0" customWidth="1"/>
  </x:cols>
  <x:sheetData>
    <x:row r="1" ht="31" customHeight="1">
      <x:c r="A1" s="390" t="inlineStr">
        <x:is>
          <x:t xml:space="preserve">验收条件（AcceptanceCriterion）</x:t>
        </x:is>
      </x:c>
      <x:c r="B1" s="390"/>
      <x:c r="C1" s="390"/>
      <x:c r="D1" s="390"/>
    </x:row>
    <x:row r="2" ht="34" customHeight="1">
      <x:c r="A2" s="400" t="inlineStr">
        <x:is>
          <x:t xml:space="preserve">事实源：每行一条可独立核验的 AC；通过 Story ID 归属一个 Story；SOW 主表只读派生汇总</x:t>
        </x:is>
      </x:c>
      <x:c r="B2" s="400"/>
      <x:c r="C2" s="400"/>
      <x:c r="D2" s="400"/>
    </x:row>
    <x:row r="3" ht="9" customHeight="1"/>
    <x:row r="4" ht="38" customHeight="1">
      <x:c r="A4" s="453" t="inlineStr">
        <x:is>
          <x:t xml:space="preserve">AC ID</x:t>
        </x:is>
      </x:c>
      <x:c r="B4" s="453" t="inlineStr">
        <x:is>
          <x:t xml:space="preserve">Story ID</x:t>
        </x:is>
      </x:c>
      <x:c r="C4" s="453" t="inlineStr">
        <x:is>
          <x:t xml:space="preserve">顺序</x:t>
        </x:is>
      </x:c>
      <x:c r="D4" s="453" t="inlineStr">
        <x:is>
          <x:t xml:space="preserve">验收结果</x:t>
        </x:is>
      </x:c>
    </x:row>
    <x:row r="5" ht="34" customHeight="1">
      <x:c r="A5" s="461" t="n"/>
      <x:c r="B5" s="461" t="n"/>
      <x:c r="C5" s="595" t="n"/>
      <x:c r="D5" s="461" t="n"/>
    </x:row>
    <x:row r="6" ht="34" customHeight="1">
      <x:c r="A6" s="461" t="n"/>
      <x:c r="B6" s="461" t="n"/>
      <x:c r="C6" s="595" t="n"/>
      <x:c r="D6" s="461" t="n"/>
    </x:row>
    <x:row r="7" ht="34" customHeight="1">
      <x:c r="A7" s="461" t="n"/>
      <x:c r="B7" s="461" t="n"/>
      <x:c r="C7" s="595" t="n"/>
      <x:c r="D7" s="461" t="n"/>
    </x:row>
    <x:row r="8" ht="34" customHeight="1">
      <x:c r="A8" s="461" t="n"/>
      <x:c r="B8" s="461" t="n"/>
      <x:c r="C8" s="595" t="n"/>
      <x:c r="D8" s="461" t="n"/>
    </x:row>
    <x:row r="9" ht="34" customHeight="1">
      <x:c r="A9" s="461" t="n"/>
      <x:c r="B9" s="461" t="n"/>
      <x:c r="C9" s="595" t="n"/>
      <x:c r="D9" s="461" t="n"/>
    </x:row>
    <x:row r="10" ht="34" customHeight="1">
      <x:c r="A10" s="461" t="n"/>
      <x:c r="B10" s="461" t="n"/>
      <x:c r="C10" s="595" t="n"/>
      <x:c r="D10" s="461" t="n"/>
    </x:row>
    <x:row r="11" ht="34" customHeight="1">
      <x:c r="A11" s="461" t="n"/>
      <x:c r="B11" s="461" t="n"/>
      <x:c r="C11" s="595" t="n"/>
      <x:c r="D11" s="461" t="n"/>
    </x:row>
    <x:row r="12" ht="34" customHeight="1">
      <x:c r="A12" s="461" t="n"/>
      <x:c r="B12" s="461" t="n"/>
      <x:c r="C12" s="595" t="n"/>
      <x:c r="D12" s="461" t="n"/>
    </x:row>
    <x:row r="13" ht="34" customHeight="1">
      <x:c r="A13" s="461" t="n"/>
      <x:c r="B13" s="461" t="n"/>
      <x:c r="C13" s="595" t="n"/>
      <x:c r="D13" s="461" t="n"/>
    </x:row>
    <x:row r="14" ht="34" customHeight="1">
      <x:c r="A14" s="461" t="n"/>
      <x:c r="B14" s="461" t="n"/>
      <x:c r="C14" s="595" t="n"/>
      <x:c r="D14" s="461" t="n"/>
    </x:row>
    <x:row r="15" ht="34" customHeight="1">
      <x:c r="A15" s="461" t="n"/>
      <x:c r="B15" s="461" t="n"/>
      <x:c r="C15" s="595" t="n"/>
      <x:c r="D15" s="461" t="n"/>
    </x:row>
    <x:row r="16" ht="34" customHeight="1">
      <x:c r="A16" s="461" t="n"/>
      <x:c r="B16" s="461" t="n"/>
      <x:c r="C16" s="595" t="n"/>
      <x:c r="D16" s="461" t="n"/>
    </x:row>
    <x:row r="17" ht="34" customHeight="1">
      <x:c r="A17" s="461" t="n"/>
      <x:c r="B17" s="461" t="n"/>
      <x:c r="C17" s="595" t="n"/>
      <x:c r="D17" s="461" t="n"/>
    </x:row>
    <x:row r="18" ht="34" customHeight="1">
      <x:c r="A18" s="461" t="n"/>
      <x:c r="B18" s="461" t="n"/>
      <x:c r="C18" s="595" t="n"/>
      <x:c r="D18" s="461" t="n"/>
    </x:row>
    <x:row r="19" ht="34" customHeight="1">
      <x:c r="A19" s="461" t="n"/>
      <x:c r="B19" s="461" t="n"/>
      <x:c r="C19" s="595" t="n"/>
      <x:c r="D19" s="461" t="n"/>
    </x:row>
    <x:row r="20" ht="34" customHeight="1">
      <x:c r="A20" s="461" t="n"/>
      <x:c r="B20" s="461" t="n"/>
      <x:c r="C20" s="595" t="n"/>
      <x:c r="D20" s="461" t="n"/>
    </x:row>
    <x:row r="21" ht="34" customHeight="1">
      <x:c r="A21" s="461" t="n"/>
      <x:c r="B21" s="461" t="n"/>
      <x:c r="C21" s="595" t="n"/>
      <x:c r="D21" s="461" t="n"/>
    </x:row>
    <x:row r="22" ht="34" customHeight="1">
      <x:c r="A22" s="461" t="n"/>
      <x:c r="B22" s="461" t="n"/>
      <x:c r="C22" s="595" t="n"/>
      <x:c r="D22" s="461" t="n"/>
    </x:row>
    <x:row r="23" ht="34" customHeight="1">
      <x:c r="A23" s="461" t="n"/>
      <x:c r="B23" s="461" t="n"/>
      <x:c r="C23" s="595" t="n"/>
      <x:c r="D23" s="461" t="n"/>
    </x:row>
    <x:row r="24" ht="34" customHeight="1">
      <x:c r="A24" s="461" t="n"/>
      <x:c r="B24" s="461" t="n"/>
      <x:c r="C24" s="595" t="n"/>
      <x:c r="D24" s="461" t="n"/>
    </x:row>
    <x:row r="25" ht="34" customHeight="1">
      <x:c r="A25" s="461" t="n"/>
      <x:c r="B25" s="461" t="n"/>
      <x:c r="C25" s="595" t="n"/>
      <x:c r="D25" s="461" t="n"/>
    </x:row>
    <x:row r="26" ht="34" customHeight="1">
      <x:c r="A26" s="461" t="n"/>
      <x:c r="B26" s="461" t="n"/>
      <x:c r="C26" s="595" t="n"/>
      <x:c r="D26" s="461" t="n"/>
    </x:row>
    <x:row r="27" ht="34" customHeight="1">
      <x:c r="A27" s="461" t="n"/>
      <x:c r="B27" s="461" t="n"/>
      <x:c r="C27" s="595" t="n"/>
      <x:c r="D27" s="461" t="n"/>
    </x:row>
    <x:row r="28" ht="34" customHeight="1">
      <x:c r="A28" s="461" t="n"/>
      <x:c r="B28" s="461" t="n"/>
      <x:c r="C28" s="595" t="n"/>
      <x:c r="D28" s="461" t="n"/>
    </x:row>
    <x:row r="29" ht="34" customHeight="1">
      <x:c r="A29" s="461" t="n"/>
      <x:c r="B29" s="461" t="n"/>
      <x:c r="C29" s="595" t="n"/>
      <x:c r="D29" s="461" t="n"/>
    </x:row>
    <x:row r="30" ht="34" customHeight="1">
      <x:c r="A30" s="461" t="n"/>
      <x:c r="B30" s="461" t="n"/>
      <x:c r="C30" s="595" t="n"/>
      <x:c r="D30" s="461" t="n"/>
    </x:row>
    <x:row r="31" ht="34" customHeight="1">
      <x:c r="A31" s="461" t="n"/>
      <x:c r="B31" s="461" t="n"/>
      <x:c r="C31" s="595" t="n"/>
      <x:c r="D31" s="461" t="n"/>
    </x:row>
    <x:row r="32" ht="34" customHeight="1">
      <x:c r="A32" s="461" t="n"/>
      <x:c r="B32" s="461" t="n"/>
      <x:c r="C32" s="595" t="n"/>
      <x:c r="D32" s="461" t="n"/>
    </x:row>
    <x:row r="33" ht="34" customHeight="1">
      <x:c r="A33" s="461" t="n"/>
      <x:c r="B33" s="461" t="n"/>
      <x:c r="C33" s="595" t="n"/>
      <x:c r="D33" s="461" t="n"/>
    </x:row>
    <x:row r="34" ht="34" customHeight="1">
      <x:c r="A34" s="461" t="n"/>
      <x:c r="B34" s="461" t="n"/>
      <x:c r="C34" s="595" t="n"/>
      <x:c r="D34" s="461" t="n"/>
    </x:row>
    <x:row r="35" ht="34" customHeight="1">
      <x:c r="A35" s="461" t="n"/>
      <x:c r="B35" s="461" t="n"/>
      <x:c r="C35" s="595" t="n"/>
      <x:c r="D35" s="461" t="n"/>
    </x:row>
    <x:row r="36" ht="34" customHeight="1">
      <x:c r="A36" s="461" t="n"/>
      <x:c r="B36" s="461" t="n"/>
      <x:c r="C36" s="595" t="n"/>
      <x:c r="D36" s="461" t="n"/>
    </x:row>
    <x:row r="37" ht="34" customHeight="1">
      <x:c r="A37" s="461" t="n"/>
      <x:c r="B37" s="461" t="n"/>
      <x:c r="C37" s="595" t="n"/>
      <x:c r="D37" s="461" t="n"/>
    </x:row>
    <x:row r="38" ht="34" customHeight="1">
      <x:c r="A38" s="461" t="n"/>
      <x:c r="B38" s="461" t="n"/>
      <x:c r="C38" s="595" t="n"/>
      <x:c r="D38" s="461" t="n"/>
    </x:row>
    <x:row r="39" ht="34" customHeight="1">
      <x:c r="A39" s="461" t="n"/>
      <x:c r="B39" s="461" t="n"/>
      <x:c r="C39" s="595" t="n"/>
      <x:c r="D39" s="461" t="n"/>
    </x:row>
    <x:row r="40" ht="34" customHeight="1">
      <x:c r="A40" s="461" t="n"/>
      <x:c r="B40" s="461" t="n"/>
      <x:c r="C40" s="595" t="n"/>
      <x:c r="D40" s="461" t="n"/>
    </x:row>
    <x:row r="41" ht="34" customHeight="1">
      <x:c r="A41" s="461" t="n"/>
      <x:c r="B41" s="461" t="n"/>
      <x:c r="C41" s="595" t="n"/>
      <x:c r="D41" s="461" t="n"/>
    </x:row>
    <x:row r="42" ht="34" customHeight="1">
      <x:c r="A42" s="461" t="n"/>
      <x:c r="B42" s="461" t="n"/>
      <x:c r="C42" s="595" t="n"/>
      <x:c r="D42" s="461" t="n"/>
    </x:row>
    <x:row r="43" ht="34" customHeight="1">
      <x:c r="A43" s="461" t="n"/>
      <x:c r="B43" s="461" t="n"/>
      <x:c r="C43" s="595" t="n"/>
      <x:c r="D43" s="461" t="n"/>
    </x:row>
    <x:row r="44" ht="34" customHeight="1">
      <x:c r="A44" s="461" t="n"/>
      <x:c r="B44" s="461" t="n"/>
      <x:c r="C44" s="595" t="n"/>
      <x:c r="D44" s="461" t="n"/>
    </x:row>
    <x:row r="45" ht="34" customHeight="1">
      <x:c r="A45" s="461" t="n"/>
      <x:c r="B45" s="461" t="n"/>
      <x:c r="C45" s="595" t="n"/>
      <x:c r="D45" s="461" t="n"/>
    </x:row>
    <x:row r="46" ht="34" customHeight="1">
      <x:c r="A46" s="461"/>
      <x:c r="B46" s="461"/>
      <x:c r="C46" s="595"/>
      <x:c r="D46" s="461"/>
    </x:row>
    <x:row r="47" ht="34" customHeight="1">
      <x:c r="A47" s="461"/>
      <x:c r="B47" s="461"/>
      <x:c r="C47" s="595"/>
      <x:c r="D47" s="461"/>
    </x:row>
    <x:row r="48" ht="34" customHeight="1">
      <x:c r="A48" s="461"/>
      <x:c r="B48" s="461"/>
      <x:c r="C48" s="595"/>
      <x:c r="D48" s="461"/>
    </x:row>
    <x:row r="49" ht="34" customHeight="1">
      <x:c r="A49" s="461"/>
      <x:c r="B49" s="461"/>
      <x:c r="C49" s="595"/>
      <x:c r="D49" s="461"/>
    </x:row>
    <x:row r="50" ht="34" customHeight="1">
      <x:c r="A50" s="461"/>
      <x:c r="B50" s="461"/>
      <x:c r="C50" s="595"/>
      <x:c r="D50" s="461"/>
    </x:row>
    <x:row r="51" ht="34" customHeight="1">
      <x:c r="A51" s="461"/>
      <x:c r="B51" s="461"/>
      <x:c r="C51" s="595"/>
      <x:c r="D51" s="461"/>
    </x:row>
    <x:row r="52" ht="34" customHeight="1">
      <x:c r="A52" s="461"/>
      <x:c r="B52" s="461"/>
      <x:c r="C52" s="595"/>
      <x:c r="D52" s="461"/>
    </x:row>
    <x:row r="53" ht="34" customHeight="1">
      <x:c r="A53" s="461"/>
      <x:c r="B53" s="461"/>
      <x:c r="C53" s="595"/>
      <x:c r="D53" s="461"/>
    </x:row>
    <x:row r="54" ht="34" customHeight="1">
      <x:c r="A54" s="461"/>
      <x:c r="B54" s="461"/>
      <x:c r="C54" s="595"/>
      <x:c r="D54" s="461"/>
    </x:row>
    <x:row r="55" ht="34" customHeight="1">
      <x:c r="A55" s="461"/>
      <x:c r="B55" s="461"/>
      <x:c r="C55" s="595"/>
      <x:c r="D55" s="461"/>
    </x:row>
    <x:row r="56" ht="34" customHeight="1">
      <x:c r="A56" s="461"/>
      <x:c r="B56" s="461"/>
      <x:c r="C56" s="595"/>
      <x:c r="D56" s="461"/>
    </x:row>
    <x:row r="57" ht="34" customHeight="1">
      <x:c r="A57" s="461"/>
      <x:c r="B57" s="461"/>
      <x:c r="C57" s="595"/>
      <x:c r="D57" s="461"/>
    </x:row>
    <x:row r="58" ht="34" customHeight="1">
      <x:c r="A58" s="461"/>
      <x:c r="B58" s="461"/>
      <x:c r="C58" s="595"/>
      <x:c r="D58" s="461"/>
    </x:row>
    <x:row r="59" ht="34" customHeight="1">
      <x:c r="A59" s="461"/>
      <x:c r="B59" s="461"/>
      <x:c r="C59" s="595"/>
      <x:c r="D59" s="461"/>
    </x:row>
    <x:row r="60" ht="34" customHeight="1">
      <x:c r="A60" s="461"/>
      <x:c r="B60" s="461"/>
      <x:c r="C60" s="595"/>
      <x:c r="D60" s="461"/>
    </x:row>
    <x:row r="61" ht="34" customHeight="1">
      <x:c r="A61" s="461"/>
      <x:c r="B61" s="461"/>
      <x:c r="C61" s="595"/>
      <x:c r="D61" s="461"/>
    </x:row>
    <x:row r="62" ht="34" customHeight="1">
      <x:c r="A62" s="461"/>
      <x:c r="B62" s="461"/>
      <x:c r="C62" s="595"/>
      <x:c r="D62" s="461"/>
    </x:row>
    <x:row r="63" ht="34" customHeight="1">
      <x:c r="A63" s="461"/>
      <x:c r="B63" s="461"/>
      <x:c r="C63" s="595"/>
      <x:c r="D63" s="461"/>
    </x:row>
    <x:row r="64" ht="34" customHeight="1">
      <x:c r="A64" s="461"/>
      <x:c r="B64" s="461"/>
      <x:c r="C64" s="595"/>
      <x:c r="D64" s="461"/>
    </x:row>
    <x:row r="65" ht="34" customHeight="1">
      <x:c r="A65" s="461"/>
      <x:c r="B65" s="461"/>
      <x:c r="C65" s="595"/>
      <x:c r="D65" s="461"/>
    </x:row>
    <x:row r="66" ht="34" customHeight="1">
      <x:c r="A66" s="461"/>
      <x:c r="B66" s="461"/>
      <x:c r="C66" s="595"/>
      <x:c r="D66" s="461"/>
    </x:row>
    <x:row r="67" ht="34" customHeight="1">
      <x:c r="A67" s="461"/>
      <x:c r="B67" s="461"/>
      <x:c r="C67" s="595"/>
      <x:c r="D67" s="461"/>
    </x:row>
    <x:row r="68" ht="34" customHeight="1">
      <x:c r="A68" s="461"/>
      <x:c r="B68" s="461"/>
      <x:c r="C68" s="595"/>
      <x:c r="D68" s="461"/>
    </x:row>
    <x:row r="69" ht="34" customHeight="1">
      <x:c r="A69" s="461"/>
      <x:c r="B69" s="461"/>
      <x:c r="C69" s="595"/>
      <x:c r="D69" s="461"/>
    </x:row>
    <x:row r="70" ht="34" customHeight="1">
      <x:c r="A70" s="461"/>
      <x:c r="B70" s="461"/>
      <x:c r="C70" s="595"/>
      <x:c r="D70" s="461"/>
    </x:row>
    <x:row r="71" ht="34" customHeight="1">
      <x:c r="A71" s="461"/>
      <x:c r="B71" s="461"/>
      <x:c r="C71" s="595"/>
      <x:c r="D71" s="461"/>
    </x:row>
    <x:row r="72" ht="34" customHeight="1">
      <x:c r="A72" s="461"/>
      <x:c r="B72" s="461"/>
      <x:c r="C72" s="595"/>
      <x:c r="D72" s="461"/>
    </x:row>
    <x:row r="73" ht="34" customHeight="1">
      <x:c r="A73" s="461"/>
      <x:c r="B73" s="461"/>
      <x:c r="C73" s="595"/>
      <x:c r="D73" s="461"/>
    </x:row>
    <x:row r="74" ht="34" customHeight="1">
      <x:c r="A74" s="461"/>
      <x:c r="B74" s="461"/>
      <x:c r="C74" s="595"/>
      <x:c r="D74" s="461"/>
    </x:row>
    <x:row r="75" ht="34" customHeight="1">
      <x:c r="A75" s="461"/>
      <x:c r="B75" s="461"/>
      <x:c r="C75" s="595"/>
      <x:c r="D75" s="461"/>
    </x:row>
    <x:row r="76" ht="34" customHeight="1">
      <x:c r="A76" s="461"/>
      <x:c r="B76" s="461"/>
      <x:c r="C76" s="595"/>
      <x:c r="D76" s="461"/>
    </x:row>
    <x:row r="77" ht="34" customHeight="1">
      <x:c r="A77" s="461"/>
      <x:c r="B77" s="461"/>
      <x:c r="C77" s="595"/>
      <x:c r="D77" s="461"/>
    </x:row>
    <x:row r="78" ht="34" customHeight="1">
      <x:c r="A78" s="461"/>
      <x:c r="B78" s="461"/>
      <x:c r="C78" s="595"/>
      <x:c r="D78" s="461"/>
    </x:row>
    <x:row r="79" ht="34" customHeight="1">
      <x:c r="A79" s="461"/>
      <x:c r="B79" s="461"/>
      <x:c r="C79" s="595"/>
      <x:c r="D79" s="461"/>
    </x:row>
    <x:row r="80" ht="34" customHeight="1">
      <x:c r="A80" s="461"/>
      <x:c r="B80" s="461"/>
      <x:c r="C80" s="595"/>
      <x:c r="D80" s="461"/>
    </x:row>
    <x:row r="81" ht="34" customHeight="1">
      <x:c r="A81" s="461"/>
      <x:c r="B81" s="461"/>
      <x:c r="C81" s="595"/>
      <x:c r="D81" s="461"/>
    </x:row>
    <x:row r="82" ht="34" customHeight="1">
      <x:c r="A82" s="461"/>
      <x:c r="B82" s="461"/>
      <x:c r="C82" s="595"/>
      <x:c r="D82" s="461"/>
    </x:row>
    <x:row r="83" ht="34" customHeight="1">
      <x:c r="A83" s="461"/>
      <x:c r="B83" s="461"/>
      <x:c r="C83" s="595"/>
      <x:c r="D83" s="461"/>
    </x:row>
    <x:row r="84" ht="34" customHeight="1">
      <x:c r="A84" s="461"/>
      <x:c r="B84" s="461"/>
      <x:c r="C84" s="595"/>
      <x:c r="D84" s="461"/>
    </x:row>
    <x:row r="85" ht="34" customHeight="1">
      <x:c r="A85" s="461"/>
      <x:c r="B85" s="461"/>
      <x:c r="C85" s="595"/>
      <x:c r="D85" s="461"/>
    </x:row>
    <x:row r="86" ht="34" customHeight="1">
      <x:c r="A86" s="461"/>
      <x:c r="B86" s="461"/>
      <x:c r="C86" s="595"/>
      <x:c r="D86" s="461"/>
    </x:row>
    <x:row r="87" ht="34" customHeight="1">
      <x:c r="A87" s="461"/>
      <x:c r="B87" s="461"/>
      <x:c r="C87" s="595"/>
      <x:c r="D87" s="461"/>
    </x:row>
    <x:row r="88" ht="34" customHeight="1">
      <x:c r="A88" s="461"/>
      <x:c r="B88" s="461"/>
      <x:c r="C88" s="595"/>
      <x:c r="D88" s="461"/>
    </x:row>
    <x:row r="89" ht="34" customHeight="1">
      <x:c r="A89" s="461"/>
      <x:c r="B89" s="461"/>
      <x:c r="C89" s="595"/>
      <x:c r="D89" s="461"/>
    </x:row>
    <x:row r="90" ht="34" customHeight="1">
      <x:c r="A90" s="461"/>
      <x:c r="B90" s="461"/>
      <x:c r="C90" s="595"/>
      <x:c r="D90" s="461"/>
    </x:row>
    <x:row r="91" ht="34" customHeight="1">
      <x:c r="A91" s="461"/>
      <x:c r="B91" s="461"/>
      <x:c r="C91" s="595"/>
      <x:c r="D91" s="461"/>
    </x:row>
    <x:row r="92" ht="34" customHeight="1">
      <x:c r="A92" s="461"/>
      <x:c r="B92" s="461"/>
      <x:c r="C92" s="595"/>
      <x:c r="D92" s="461"/>
    </x:row>
    <x:row r="93" ht="34" customHeight="1">
      <x:c r="A93" s="461"/>
      <x:c r="B93" s="461"/>
      <x:c r="C93" s="595"/>
      <x:c r="D93" s="461"/>
    </x:row>
    <x:row r="94" ht="34" customHeight="1">
      <x:c r="A94" s="461"/>
      <x:c r="B94" s="461"/>
      <x:c r="C94" s="595"/>
      <x:c r="D94" s="461"/>
    </x:row>
    <x:row r="95" ht="34" customHeight="1">
      <x:c r="A95" s="461"/>
      <x:c r="B95" s="461"/>
      <x:c r="C95" s="595"/>
      <x:c r="D95" s="461"/>
    </x:row>
    <x:row r="96" ht="34" customHeight="1">
      <x:c r="A96" s="461"/>
      <x:c r="B96" s="461"/>
      <x:c r="C96" s="595"/>
      <x:c r="D96" s="461"/>
    </x:row>
    <x:row r="97" ht="34" customHeight="1">
      <x:c r="A97" s="461"/>
      <x:c r="B97" s="461"/>
      <x:c r="C97" s="595"/>
      <x:c r="D97" s="461"/>
    </x:row>
    <x:row r="98" ht="34" customHeight="1">
      <x:c r="A98" s="461"/>
      <x:c r="B98" s="461"/>
      <x:c r="C98" s="595"/>
      <x:c r="D98" s="461"/>
    </x:row>
    <x:row r="99" ht="34" customHeight="1">
      <x:c r="A99" s="461"/>
      <x:c r="B99" s="461"/>
      <x:c r="C99" s="595"/>
      <x:c r="D99" s="461"/>
    </x:row>
    <x:row r="100" ht="34" customHeight="1">
      <x:c r="A100" s="461"/>
      <x:c r="B100" s="461"/>
      <x:c r="C100" s="595"/>
      <x:c r="D100" s="461"/>
    </x:row>
    <x:row r="101" ht="34" customHeight="1">
      <x:c r="A101" s="461"/>
      <x:c r="B101" s="461"/>
      <x:c r="C101" s="595"/>
      <x:c r="D101" s="461"/>
    </x:row>
    <x:row r="102" ht="34" customHeight="1">
      <x:c r="A102" s="461"/>
      <x:c r="B102" s="461"/>
      <x:c r="C102" s="595"/>
      <x:c r="D102" s="461"/>
    </x:row>
    <x:row r="103" ht="34" customHeight="1">
      <x:c r="A103" s="461"/>
      <x:c r="B103" s="461"/>
      <x:c r="C103" s="595"/>
      <x:c r="D103" s="461"/>
    </x:row>
    <x:row r="104" ht="34" customHeight="1">
      <x:c r="A104" s="461"/>
      <x:c r="B104" s="461"/>
      <x:c r="C104" s="595"/>
      <x:c r="D104" s="461"/>
    </x:row>
  </x:sheetData>
  <x:mergeCells>
    <x:mergeCell ref="A1:D1"/>
    <x:mergeCell ref="A2:D2"/>
  </x:mergeCells>
  <x:dataValidations count="2">
    <x:dataValidation type="list" sqref="B5:B104">
      <x:formula1>INDIRECT("'03-SOW主表'!$A$5:$A$104")</x:formula1>
    </x:dataValidation>
    <x:dataValidation type="whole" operator="greaterThanOrEqual" sqref="C5:C104">
      <x:formula1>1</x:formula1>
    </x:dataValidation>
  </x:dataValidations>
  <x:pageMargins left="0.7" right="0.7" top="0.75" bottom="0.75" header="0.3" footer="0.3"/>
  <x:tableParts count="1">
    <x:tablePart xmlns:r="http://schemas.openxmlformats.org/officeDocument/2006/relationships" r:id="R6f12c26d24ee4c36"/>
  </x:tableParts>
</x:worksheet>
</file>

<file path=xl/worksheets/sheet6.xml><?xml version="1.0" encoding="utf-8"?>
<x:worksheet xmlns:x="http://schemas.openxmlformats.org/spreadsheetml/2006/main">
  <x:sheetViews>
    <x:sheetView showGridLines="0" workbookViewId="0"/>
  </x:sheetViews>
  <x:sheetFormatPr baseColWidth="8" defaultColWidth="9" defaultRowHeight="16.799999237060547"/>
  <x:cols>
    <x:col min="1" max="1" width="20" hidden="0" customWidth="1"/>
    <x:col min="2" max="2" width="20" hidden="0" customWidth="1"/>
    <x:col min="3" max="3" width="48" hidden="0" customWidth="1"/>
    <x:col min="4" max="4" width="28" hidden="0" customWidth="1"/>
    <x:col min="5" max="5" width="18" hidden="0" customWidth="1"/>
    <x:col min="6" max="6" width="14" hidden="0" customWidth="1"/>
    <x:col min="7" max="7" width="36" hidden="0" customWidth="1"/>
    <x:col min="8" max="8" width="12" hidden="0" customWidth="1"/>
    <x:col min="9" max="9" width="36" hidden="0" customWidth="1"/>
    <x:col min="10" max="10" width="22" hidden="0" customWidth="1"/>
    <x:col min="11" max="12" width="14" customWidth="1"/>
    <x:col min="13" max="13" width="14" hidden="0" customWidth="1"/>
    <x:col min="14" max="14" width="14" hidden="0" customWidth="1"/>
    <x:col min="11" max="11" width="17" hidden="0" customWidth="1"/>
    <x:col min="12" max="12" width="42" hidden="0" customWidth="1"/>
    <x:col min="15" max="15" width="14" hidden="0" customWidth="1"/>
  </x:cols>
  <x:sheetData>
    <x:row r="1" ht="31" customHeight="1">
      <x:c r="A1" s="390" t="str">
        <x:v>任务明细（Task）</x:v>
      </x:c>
      <x:c r="B1" s="390" t="str">
        <x:v>任务明细（Task）</x:v>
      </x:c>
      <x:c r="C1" s="390" t="str">
        <x:v>任务明细（Task）</x:v>
      </x:c>
      <x:c r="D1" s="390" t="str">
        <x:v>任务明细（Task）</x:v>
      </x:c>
      <x:c r="E1" s="390" t="str">
        <x:v>任务明细（Task）</x:v>
      </x:c>
      <x:c r="F1" s="390" t="str">
        <x:v>任务明细（Task）</x:v>
      </x:c>
      <x:c r="G1" s="390" t="str">
        <x:v>任务明细（Task）</x:v>
      </x:c>
      <x:c r="H1" s="390" t="str">
        <x:v>任务明细（Task）</x:v>
      </x:c>
      <x:c r="I1" s="390" t="str">
        <x:v>任务明细（Task）</x:v>
      </x:c>
      <x:c r="J1" s="390" t="str">
        <x:v>任务明细（Task）</x:v>
      </x:c>
      <x:c r="K1" s="390" t="str">
        <x:v>任务明细（Task）</x:v>
      </x:c>
      <x:c r="L1" s="390" t="str">
        <x:v>任务明细（Task）</x:v>
      </x:c>
      <x:c r="M1" s="390" t="str">
        <x:v>任务明细（Task）</x:v>
      </x:c>
      <x:c r="N1" s="390" t="str">
        <x:v>任务明细（Task）</x:v>
      </x:c>
      <x:c r="O1" s="390" t="str">
        <x:v>任务明细（Task）</x:v>
      </x:c>
    </x:row>
    <x:row r="2" ht="34" customHeight="1">
      <x:c r="A2" s="400" t="str">
        <x:v>一行对应一个基础单元实例；任务族、基础人天、复杂度倍率和人天小计由模板派生；不使用活动、数量或 Story 类型。</x:v>
      </x:c>
      <x:c r="B2" s="400" t="str">
        <x:v>一行对应一个基础单元实例；任务族、基础人天、复杂度倍率和人天小计由模板派生；不使用活动、数量或 Story 类型。</x:v>
      </x:c>
      <x:c r="C2" s="400" t="str">
        <x:v>一行对应一个基础单元实例；任务族、基础人天、复杂度倍率和人天小计由模板派生；不使用活动、数量或 Story 类型。</x:v>
      </x:c>
      <x:c r="D2" s="400" t="str">
        <x:v>一行对应一个基础单元实例；任务族、基础人天、复杂度倍率和人天小计由模板派生；不使用活动、数量或 Story 类型。</x:v>
      </x:c>
      <x:c r="E2" s="400" t="str">
        <x:v>一行对应一个基础单元实例；任务族、基础人天、复杂度倍率和人天小计由模板派生；不使用活动、数量或 Story 类型。</x:v>
      </x:c>
      <x:c r="F2" s="400" t="str">
        <x:v>一行对应一个基础单元实例；任务族、基础人天、复杂度倍率和人天小计由模板派生；不使用活动、数量或 Story 类型。</x:v>
      </x:c>
      <x:c r="G2" s="400" t="str">
        <x:v>一行对应一个基础单元实例；任务族、基础人天、复杂度倍率和人天小计由模板派生；不使用活动、数量或 Story 类型。</x:v>
      </x:c>
      <x:c r="H2" s="400" t="str">
        <x:v>一行对应一个基础单元实例；任务族、基础人天、复杂度倍率和人天小计由模板派生；不使用活动、数量或 Story 类型。</x:v>
      </x:c>
      <x:c r="I2" s="400" t="str">
        <x:v>一行对应一个基础单元实例；任务族、基础人天、复杂度倍率和人天小计由模板派生；不使用活动、数量或 Story 类型。</x:v>
      </x:c>
      <x:c r="J2" s="400" t="str">
        <x:v>一行对应一个基础单元实例；任务族、基础人天、复杂度倍率和人天小计由模板派生；不使用活动、数量或 Story 类型。</x:v>
      </x:c>
      <x:c r="K2" s="400" t="str">
        <x:v>一行对应一个基础单元实例；任务族、基础人天、复杂度倍率和人天小计由模板派生；不使用活动、数量或 Story 类型。</x:v>
      </x:c>
      <x:c r="L2" s="400" t="str">
        <x:v>一行对应一个基础单元实例；任务族、基础人天、复杂度倍率和人天小计由模板派生；不使用活动、数量或 Story 类型。</x:v>
      </x:c>
      <x:c r="M2" s="400" t="str">
        <x:v>一行对应一个基础单元实例；任务族、基础人天、复杂度倍率和人天小计由模板派生；不使用活动、数量或 Story 类型。</x:v>
      </x:c>
      <x:c r="N2" s="400" t="str">
        <x:v>一行对应一个基础单元实例；任务族、基础人天、复杂度倍率和人天小计由模板派生；不使用活动、数量或 Story 类型。</x:v>
      </x:c>
      <x:c r="O2" s="400" t="str">
        <x:v>一行对应一个基础单元实例；任务族、基础人天、复杂度倍率和人天小计由模板派生；不使用活动、数量或 Story 类型。</x:v>
      </x:c>
    </x:row>
    <x:row r="3" ht="9" customHeight="1"/>
    <x:row r="4" ht="38" customHeight="1">
      <x:c r="A4" s="453" t="str">
        <x:v>Task ID</x:v>
      </x:c>
      <x:c r="B4" s="453" t="str">
        <x:v>Story ID</x:v>
      </x:c>
      <x:c r="C4" s="453" t="str">
        <x:v>任务说明</x:v>
      </x:c>
      <x:c r="D4" s="453" t="str">
        <x:v>基础单元ID</x:v>
      </x:c>
      <x:c r="E4" s="453" t="str">
        <x:v>任务族</x:v>
      </x:c>
      <x:c r="F4" s="453" t="str">
        <x:v>工作模式</x:v>
      </x:c>
      <x:c r="G4" s="453" t="str">
        <x:v>工作模式理由</x:v>
      </x:c>
      <x:c r="H4" s="453" t="str">
        <x:v>复杂度</x:v>
      </x:c>
      <x:c r="I4" s="453" t="str">
        <x:v>复杂度理由</x:v>
      </x:c>
      <x:c r="J4" s="453" t="str">
        <x:v>Integration ID</x:v>
      </x:c>
      <x:c r="K4" s="453" t="str">
        <x:v>系统现状匹配</x:v>
      </x:c>
      <x:c r="L4" s="453" t="str">
        <x:v>判断依据与备注</x:v>
      </x:c>
      <x:c r="M4" s="453" t="str">
        <x:v>基础人天</x:v>
      </x:c>
      <x:c r="N4" s="453" t="str">
        <x:v>复杂度倍率</x:v>
      </x:c>
      <x:c r="O4" s="453" t="str">
        <x:v>人天小计</x:v>
      </x:c>
    </x:row>
    <x:row r="5" ht="38" customHeight="1">
      <x:c r="A5" s="461"/>
      <x:c r="B5" s="461"/>
      <x:c r="C5" s="461"/>
      <x:c r="D5" s="461"/>
      <x:c r="E5" s="495" t="str">
        <x:f>IF(D5="","",IFERROR(INDEX(BaseUnitCatalogTable[任务族名称],MATCH(D5,BaseUnitCatalogTable[基础单元ID],0)),""))</x:f>
      </x:c>
      <x:c r="F5" s="473"/>
      <x:c r="G5" s="511"/>
      <x:c r="H5" s="513"/>
      <x:c r="I5" s="511"/>
      <x:c r="J5" s="511"/>
      <x:c r="K5" s="511"/>
      <x:c r="L5" s="511"/>
      <x:c r="M5" s="593" t="str">
        <x:f>IF(OR(A5="",D5="",F5=""),"",IFERROR(IF(F5="新建",INDEX(BaseUnitCatalogTable[新建M档人天],MATCH(D5,BaseUnitCatalogTable[基础单元ID],0)),IF(F5="调整",INDEX(BaseUnitCatalogTable[调整M档人天],MATCH(D5,BaseUnitCatalogTable[基础单元ID],0)),IF(F5="接入复用",INDEX(BaseUnitCatalogTable[接入复用M档人天],MATCH(D5,BaseUnitCatalogTable[基础单元ID],0)),""))),""))</x:f>
      </x:c>
      <x:c r="N5" s="593" t="str">
        <x:f>IF(OR(A5="",H5=""),"",IFERROR(INDEX(ProjectParameterTable[值],MATCH("K_COMPLEXITY_"&amp;H5,ProjectParameterTable[参数代码],0)),""))</x:f>
      </x:c>
      <x:c r="O5" s="593" t="str">
        <x:f>IF(OR(A5="",NOT(ISNUMBER(M5)),NOT(ISNUMBER(N5))),"",ROUND(M5*N5,1))</x:f>
      </x:c>
    </x:row>
    <x:row r="6" ht="38" customHeight="1">
      <x:c r="A6" s="461"/>
      <x:c r="B6" s="461"/>
      <x:c r="C6" s="461"/>
      <x:c r="D6" s="461"/>
      <x:c r="E6" s="495"/>
      <x:c r="F6" s="473"/>
      <x:c r="G6" s="511"/>
      <x:c r="H6" s="513"/>
      <x:c r="I6" s="511"/>
      <x:c r="J6" s="511"/>
      <x:c r="K6" s="511"/>
      <x:c r="L6" s="511"/>
      <x:c r="M6" s="593"/>
      <x:c r="N6" s="593"/>
      <x:c r="O6" s="593"/>
    </x:row>
    <x:row r="7" ht="38" customHeight="1">
      <x:c r="A7" s="461"/>
      <x:c r="B7" s="461"/>
      <x:c r="C7" s="461"/>
      <x:c r="D7" s="461"/>
      <x:c r="E7" s="495"/>
      <x:c r="F7" s="473"/>
      <x:c r="G7" s="511"/>
      <x:c r="H7" s="513"/>
      <x:c r="I7" s="511"/>
      <x:c r="J7" s="511"/>
      <x:c r="K7" s="511"/>
      <x:c r="L7" s="511"/>
      <x:c r="M7" s="593"/>
      <x:c r="N7" s="593"/>
      <x:c r="O7" s="593"/>
    </x:row>
    <x:row r="8" ht="38" customHeight="1">
      <x:c r="A8" s="461"/>
      <x:c r="B8" s="461"/>
      <x:c r="C8" s="461"/>
      <x:c r="D8" s="461"/>
      <x:c r="E8" s="495"/>
      <x:c r="F8" s="473"/>
      <x:c r="G8" s="511"/>
      <x:c r="H8" s="513"/>
      <x:c r="I8" s="511"/>
      <x:c r="J8" s="511"/>
      <x:c r="K8" s="511"/>
      <x:c r="L8" s="511"/>
      <x:c r="M8" s="593"/>
      <x:c r="N8" s="593"/>
      <x:c r="O8" s="593"/>
    </x:row>
    <x:row r="9" ht="38" customHeight="1">
      <x:c r="A9" s="461"/>
      <x:c r="B9" s="461"/>
      <x:c r="C9" s="461"/>
      <x:c r="D9" s="461"/>
      <x:c r="E9" s="495"/>
      <x:c r="F9" s="473"/>
      <x:c r="G9" s="511"/>
      <x:c r="H9" s="513"/>
      <x:c r="I9" s="511"/>
      <x:c r="J9" s="511"/>
      <x:c r="K9" s="511"/>
      <x:c r="L9" s="511"/>
      <x:c r="M9" s="593"/>
      <x:c r="N9" s="593"/>
      <x:c r="O9" s="593"/>
    </x:row>
    <x:row r="10" ht="38" customHeight="1">
      <x:c r="A10" s="461"/>
      <x:c r="B10" s="461"/>
      <x:c r="C10" s="461"/>
      <x:c r="D10" s="461"/>
      <x:c r="E10" s="495"/>
      <x:c r="F10" s="473"/>
      <x:c r="G10" s="511"/>
      <x:c r="H10" s="513"/>
      <x:c r="I10" s="511"/>
      <x:c r="J10" s="511"/>
      <x:c r="K10" s="511"/>
      <x:c r="L10" s="511"/>
      <x:c r="M10" s="593"/>
      <x:c r="N10" s="593"/>
      <x:c r="O10" s="593"/>
    </x:row>
    <x:row r="11" ht="38" customHeight="1">
      <x:c r="A11" s="461"/>
      <x:c r="B11" s="461"/>
      <x:c r="C11" s="461"/>
      <x:c r="D11" s="461"/>
      <x:c r="E11" s="495"/>
      <x:c r="F11" s="473"/>
      <x:c r="G11" s="511"/>
      <x:c r="H11" s="513"/>
      <x:c r="I11" s="511"/>
      <x:c r="J11" s="511"/>
      <x:c r="K11" s="511"/>
      <x:c r="L11" s="511"/>
      <x:c r="M11" s="593"/>
      <x:c r="N11" s="593"/>
      <x:c r="O11" s="593"/>
    </x:row>
    <x:row r="12" ht="38" customHeight="1">
      <x:c r="A12" s="461"/>
      <x:c r="B12" s="461"/>
      <x:c r="C12" s="461"/>
      <x:c r="D12" s="461"/>
      <x:c r="E12" s="495"/>
      <x:c r="F12" s="473"/>
      <x:c r="G12" s="511"/>
      <x:c r="H12" s="513"/>
      <x:c r="I12" s="511"/>
      <x:c r="J12" s="511"/>
      <x:c r="K12" s="511"/>
      <x:c r="L12" s="511"/>
      <x:c r="M12" s="593"/>
      <x:c r="N12" s="593"/>
      <x:c r="O12" s="593"/>
    </x:row>
    <x:row r="13" ht="38" customHeight="1">
      <x:c r="A13" s="461"/>
      <x:c r="B13" s="461"/>
      <x:c r="C13" s="461"/>
      <x:c r="D13" s="461"/>
      <x:c r="E13" s="495"/>
      <x:c r="F13" s="473"/>
      <x:c r="G13" s="511"/>
      <x:c r="H13" s="513"/>
      <x:c r="I13" s="511"/>
      <x:c r="J13" s="511"/>
      <x:c r="K13" s="511"/>
      <x:c r="L13" s="511"/>
      <x:c r="M13" s="593"/>
      <x:c r="N13" s="593"/>
      <x:c r="O13" s="593"/>
    </x:row>
    <x:row r="14" ht="38" customHeight="1">
      <x:c r="A14" s="461"/>
      <x:c r="B14" s="461"/>
      <x:c r="C14" s="461"/>
      <x:c r="D14" s="461"/>
      <x:c r="E14" s="495"/>
      <x:c r="F14" s="473"/>
      <x:c r="G14" s="511"/>
      <x:c r="H14" s="513"/>
      <x:c r="I14" s="511"/>
      <x:c r="J14" s="511"/>
      <x:c r="K14" s="511"/>
      <x:c r="L14" s="511"/>
      <x:c r="M14" s="593"/>
      <x:c r="N14" s="593"/>
      <x:c r="O14" s="593"/>
    </x:row>
    <x:row r="15" ht="38" customHeight="1">
      <x:c r="A15" s="461"/>
      <x:c r="B15" s="461"/>
      <x:c r="C15" s="461"/>
      <x:c r="D15" s="461"/>
      <x:c r="E15" s="495"/>
      <x:c r="F15" s="473"/>
      <x:c r="G15" s="511"/>
      <x:c r="H15" s="513"/>
      <x:c r="I15" s="511"/>
      <x:c r="J15" s="511"/>
      <x:c r="K15" s="511"/>
      <x:c r="L15" s="511"/>
      <x:c r="M15" s="593"/>
      <x:c r="N15" s="593"/>
      <x:c r="O15" s="593"/>
    </x:row>
    <x:row r="16" ht="38" customHeight="1">
      <x:c r="A16" s="461"/>
      <x:c r="B16" s="461"/>
      <x:c r="C16" s="461"/>
      <x:c r="D16" s="461"/>
      <x:c r="E16" s="495"/>
      <x:c r="F16" s="473"/>
      <x:c r="G16" s="511"/>
      <x:c r="H16" s="513"/>
      <x:c r="I16" s="511"/>
      <x:c r="J16" s="511"/>
      <x:c r="K16" s="511"/>
      <x:c r="L16" s="511"/>
      <x:c r="M16" s="593"/>
      <x:c r="N16" s="593"/>
      <x:c r="O16" s="593"/>
    </x:row>
    <x:row r="17" ht="38" customHeight="1">
      <x:c r="A17" s="461"/>
      <x:c r="B17" s="461"/>
      <x:c r="C17" s="461"/>
      <x:c r="D17" s="461"/>
      <x:c r="E17" s="495"/>
      <x:c r="F17" s="473"/>
      <x:c r="G17" s="511"/>
      <x:c r="H17" s="513"/>
      <x:c r="I17" s="511"/>
      <x:c r="J17" s="511"/>
      <x:c r="K17" s="511"/>
      <x:c r="L17" s="511"/>
      <x:c r="M17" s="593"/>
      <x:c r="N17" s="593"/>
      <x:c r="O17" s="593"/>
    </x:row>
    <x:row r="18" ht="38" customHeight="1">
      <x:c r="A18" s="461"/>
      <x:c r="B18" s="461"/>
      <x:c r="C18" s="461"/>
      <x:c r="D18" s="461"/>
      <x:c r="E18" s="495"/>
      <x:c r="F18" s="473"/>
      <x:c r="G18" s="511"/>
      <x:c r="H18" s="513"/>
      <x:c r="I18" s="511"/>
      <x:c r="J18" s="511"/>
      <x:c r="K18" s="511"/>
      <x:c r="L18" s="511"/>
      <x:c r="M18" s="593"/>
      <x:c r="N18" s="593"/>
      <x:c r="O18" s="593"/>
    </x:row>
    <x:row r="19" ht="38" customHeight="1">
      <x:c r="A19" s="461"/>
      <x:c r="B19" s="461"/>
      <x:c r="C19" s="461"/>
      <x:c r="D19" s="461"/>
      <x:c r="E19" s="495"/>
      <x:c r="F19" s="473"/>
      <x:c r="G19" s="511"/>
      <x:c r="H19" s="513"/>
      <x:c r="I19" s="511"/>
      <x:c r="J19" s="511"/>
      <x:c r="K19" s="511"/>
      <x:c r="L19" s="511"/>
      <x:c r="M19" s="593"/>
      <x:c r="N19" s="593"/>
      <x:c r="O19" s="593"/>
    </x:row>
    <x:row r="20" ht="38" customHeight="1">
      <x:c r="A20" s="461"/>
      <x:c r="B20" s="461"/>
      <x:c r="C20" s="461"/>
      <x:c r="D20" s="461"/>
      <x:c r="E20" s="495"/>
      <x:c r="F20" s="473"/>
      <x:c r="G20" s="511"/>
      <x:c r="H20" s="513"/>
      <x:c r="I20" s="511"/>
      <x:c r="J20" s="511"/>
      <x:c r="K20" s="511"/>
      <x:c r="L20" s="511"/>
      <x:c r="M20" s="593"/>
      <x:c r="N20" s="593"/>
      <x:c r="O20" s="593"/>
    </x:row>
    <x:row r="21" ht="38" customHeight="1">
      <x:c r="A21" s="461"/>
      <x:c r="B21" s="461"/>
      <x:c r="C21" s="461"/>
      <x:c r="D21" s="461"/>
      <x:c r="E21" s="495"/>
      <x:c r="F21" s="473"/>
      <x:c r="G21" s="511"/>
      <x:c r="H21" s="513"/>
      <x:c r="I21" s="511"/>
      <x:c r="J21" s="511"/>
      <x:c r="K21" s="511"/>
      <x:c r="L21" s="511"/>
      <x:c r="M21" s="593"/>
      <x:c r="N21" s="593"/>
      <x:c r="O21" s="593"/>
    </x:row>
    <x:row r="22" ht="38" customHeight="1">
      <x:c r="A22" s="461"/>
      <x:c r="B22" s="461"/>
      <x:c r="C22" s="461"/>
      <x:c r="D22" s="461"/>
      <x:c r="E22" s="495"/>
      <x:c r="F22" s="473"/>
      <x:c r="G22" s="511"/>
      <x:c r="H22" s="513"/>
      <x:c r="I22" s="511"/>
      <x:c r="J22" s="511"/>
      <x:c r="K22" s="511"/>
      <x:c r="L22" s="511"/>
      <x:c r="M22" s="593"/>
      <x:c r="N22" s="593"/>
      <x:c r="O22" s="593"/>
    </x:row>
    <x:row r="23" ht="38" customHeight="1">
      <x:c r="A23" s="461"/>
      <x:c r="B23" s="461"/>
      <x:c r="C23" s="461"/>
      <x:c r="D23" s="461"/>
      <x:c r="E23" s="495"/>
      <x:c r="F23" s="473"/>
      <x:c r="G23" s="511"/>
      <x:c r="H23" s="513"/>
      <x:c r="I23" s="511"/>
      <x:c r="J23" s="511"/>
      <x:c r="K23" s="511"/>
      <x:c r="L23" s="511"/>
      <x:c r="M23" s="593"/>
      <x:c r="N23" s="593"/>
      <x:c r="O23" s="593"/>
    </x:row>
    <x:row r="24" ht="38" customHeight="1">
      <x:c r="A24" s="461"/>
      <x:c r="B24" s="461"/>
      <x:c r="C24" s="461"/>
      <x:c r="D24" s="461"/>
      <x:c r="E24" s="495"/>
      <x:c r="F24" s="473"/>
      <x:c r="G24" s="511"/>
      <x:c r="H24" s="513"/>
      <x:c r="I24" s="511"/>
      <x:c r="J24" s="511"/>
      <x:c r="K24" s="511"/>
      <x:c r="L24" s="511"/>
      <x:c r="M24" s="593"/>
      <x:c r="N24" s="593"/>
      <x:c r="O24" s="593"/>
    </x:row>
    <x:row r="25" ht="38" customHeight="1">
      <x:c r="A25" s="461"/>
      <x:c r="B25" s="461"/>
      <x:c r="C25" s="461"/>
      <x:c r="D25" s="461"/>
      <x:c r="E25" s="495"/>
      <x:c r="F25" s="473"/>
      <x:c r="G25" s="511"/>
      <x:c r="H25" s="513"/>
      <x:c r="I25" s="511"/>
      <x:c r="J25" s="511"/>
      <x:c r="K25" s="511"/>
      <x:c r="L25" s="511"/>
      <x:c r="M25" s="593"/>
      <x:c r="N25" s="593"/>
      <x:c r="O25" s="593"/>
    </x:row>
    <x:row r="26" ht="38" customHeight="1">
      <x:c r="A26" s="461"/>
      <x:c r="B26" s="461"/>
      <x:c r="C26" s="461"/>
      <x:c r="D26" s="461"/>
      <x:c r="E26" s="495"/>
      <x:c r="F26" s="473"/>
      <x:c r="G26" s="511"/>
      <x:c r="H26" s="513"/>
      <x:c r="I26" s="511"/>
      <x:c r="J26" s="511"/>
      <x:c r="K26" s="511"/>
      <x:c r="L26" s="511"/>
      <x:c r="M26" s="593"/>
      <x:c r="N26" s="593"/>
      <x:c r="O26" s="593"/>
    </x:row>
    <x:row r="27" ht="38" customHeight="1">
      <x:c r="A27" s="461"/>
      <x:c r="B27" s="461"/>
      <x:c r="C27" s="461"/>
      <x:c r="D27" s="461"/>
      <x:c r="E27" s="495"/>
      <x:c r="F27" s="473"/>
      <x:c r="G27" s="511"/>
      <x:c r="H27" s="513"/>
      <x:c r="I27" s="511"/>
      <x:c r="J27" s="511"/>
      <x:c r="K27" s="511"/>
      <x:c r="L27" s="511"/>
      <x:c r="M27" s="593"/>
      <x:c r="N27" s="593"/>
      <x:c r="O27" s="593"/>
    </x:row>
    <x:row r="28" ht="38" customHeight="1">
      <x:c r="A28" s="461"/>
      <x:c r="B28" s="461"/>
      <x:c r="C28" s="461"/>
      <x:c r="D28" s="461"/>
      <x:c r="E28" s="495"/>
      <x:c r="F28" s="473"/>
      <x:c r="G28" s="511"/>
      <x:c r="H28" s="513"/>
      <x:c r="I28" s="511"/>
      <x:c r="J28" s="511"/>
      <x:c r="K28" s="511"/>
      <x:c r="L28" s="511"/>
      <x:c r="M28" s="593"/>
      <x:c r="N28" s="593"/>
      <x:c r="O28" s="593"/>
    </x:row>
    <x:row r="29" ht="38" customHeight="1">
      <x:c r="A29" s="461"/>
      <x:c r="B29" s="461"/>
      <x:c r="C29" s="461"/>
      <x:c r="D29" s="461"/>
      <x:c r="E29" s="495"/>
      <x:c r="F29" s="473"/>
      <x:c r="G29" s="511"/>
      <x:c r="H29" s="513"/>
      <x:c r="I29" s="511"/>
      <x:c r="J29" s="511"/>
      <x:c r="K29" s="511"/>
      <x:c r="L29" s="511"/>
      <x:c r="M29" s="593"/>
      <x:c r="N29" s="593"/>
      <x:c r="O29" s="593"/>
    </x:row>
    <x:row r="30" ht="38" customHeight="1">
      <x:c r="A30" s="461"/>
      <x:c r="B30" s="461"/>
      <x:c r="C30" s="461"/>
      <x:c r="D30" s="461"/>
      <x:c r="E30" s="495"/>
      <x:c r="F30" s="473"/>
      <x:c r="G30" s="511"/>
      <x:c r="H30" s="513"/>
      <x:c r="I30" s="511"/>
      <x:c r="J30" s="511"/>
      <x:c r="K30" s="511"/>
      <x:c r="L30" s="511"/>
      <x:c r="M30" s="593"/>
      <x:c r="N30" s="593"/>
      <x:c r="O30" s="593"/>
    </x:row>
    <x:row r="31" ht="38" customHeight="1">
      <x:c r="A31" s="461"/>
      <x:c r="B31" s="461"/>
      <x:c r="C31" s="461"/>
      <x:c r="D31" s="461"/>
      <x:c r="E31" s="495"/>
      <x:c r="F31" s="473"/>
      <x:c r="G31" s="511"/>
      <x:c r="H31" s="473"/>
      <x:c r="I31" s="461"/>
      <x:c r="J31" s="511"/>
      <x:c r="K31" s="511"/>
      <x:c r="L31" s="511"/>
      <x:c r="M31" s="593"/>
      <x:c r="N31" s="593"/>
      <x:c r="O31" s="593"/>
    </x:row>
    <x:row r="32" ht="38" customHeight="1">
      <x:c r="A32" s="461"/>
      <x:c r="B32" s="461"/>
      <x:c r="C32" s="461"/>
      <x:c r="D32" s="461"/>
      <x:c r="E32" s="495"/>
      <x:c r="F32" s="473"/>
      <x:c r="G32" s="511"/>
      <x:c r="H32" s="473"/>
      <x:c r="I32" s="461"/>
      <x:c r="J32" s="511"/>
      <x:c r="K32" s="511"/>
      <x:c r="L32" s="511"/>
      <x:c r="M32" s="593"/>
      <x:c r="N32" s="593"/>
      <x:c r="O32" s="593"/>
    </x:row>
    <x:row r="33" ht="38" customHeight="1">
      <x:c r="A33" s="461"/>
      <x:c r="B33" s="461"/>
      <x:c r="C33" s="461"/>
      <x:c r="D33" s="461"/>
      <x:c r="E33" s="495"/>
      <x:c r="F33" s="473"/>
      <x:c r="G33" s="511"/>
      <x:c r="H33" s="473"/>
      <x:c r="I33" s="461"/>
      <x:c r="J33" s="511"/>
      <x:c r="K33" s="511"/>
      <x:c r="L33" s="511"/>
      <x:c r="M33" s="593"/>
      <x:c r="N33" s="593"/>
      <x:c r="O33" s="593"/>
    </x:row>
    <x:row r="34" ht="38" customHeight="1">
      <x:c r="A34" s="461"/>
      <x:c r="B34" s="461"/>
      <x:c r="C34" s="461"/>
      <x:c r="D34" s="461"/>
      <x:c r="E34" s="495"/>
      <x:c r="F34" s="473"/>
      <x:c r="G34" s="511"/>
      <x:c r="H34" s="473"/>
      <x:c r="I34" s="461"/>
      <x:c r="J34" s="511"/>
      <x:c r="K34" s="511"/>
      <x:c r="L34" s="511"/>
      <x:c r="M34" s="593"/>
      <x:c r="N34" s="593"/>
      <x:c r="O34" s="593"/>
    </x:row>
    <x:row r="35" ht="38" customHeight="1">
      <x:c r="A35" s="461"/>
      <x:c r="B35" s="461"/>
      <x:c r="C35" s="461"/>
      <x:c r="D35" s="461"/>
      <x:c r="E35" s="495"/>
      <x:c r="F35" s="473"/>
      <x:c r="G35" s="511"/>
      <x:c r="H35" s="473"/>
      <x:c r="I35" s="461"/>
      <x:c r="J35" s="511"/>
      <x:c r="K35" s="511"/>
      <x:c r="L35" s="511"/>
      <x:c r="M35" s="593"/>
      <x:c r="N35" s="593"/>
      <x:c r="O35" s="593"/>
    </x:row>
    <x:row r="36" ht="38" customHeight="1">
      <x:c r="A36" s="461"/>
      <x:c r="B36" s="461"/>
      <x:c r="C36" s="461"/>
      <x:c r="D36" s="461"/>
      <x:c r="E36" s="495"/>
      <x:c r="F36" s="473"/>
      <x:c r="G36" s="511"/>
      <x:c r="H36" s="473"/>
      <x:c r="I36" s="461"/>
      <x:c r="J36" s="511"/>
      <x:c r="K36" s="511"/>
      <x:c r="L36" s="511"/>
      <x:c r="M36" s="593"/>
      <x:c r="N36" s="593"/>
      <x:c r="O36" s="593"/>
    </x:row>
    <x:row r="37" ht="38" customHeight="1">
      <x:c r="A37" s="461"/>
      <x:c r="B37" s="461"/>
      <x:c r="C37" s="461"/>
      <x:c r="D37" s="461"/>
      <x:c r="E37" s="495"/>
      <x:c r="F37" s="473"/>
      <x:c r="G37" s="511"/>
      <x:c r="H37" s="473"/>
      <x:c r="I37" s="461"/>
      <x:c r="J37" s="511"/>
      <x:c r="K37" s="511"/>
      <x:c r="L37" s="511"/>
      <x:c r="M37" s="593"/>
      <x:c r="N37" s="593"/>
      <x:c r="O37" s="593"/>
    </x:row>
    <x:row r="38" ht="38" customHeight="1">
      <x:c r="A38" s="461"/>
      <x:c r="B38" s="461"/>
      <x:c r="C38" s="461"/>
      <x:c r="D38" s="461"/>
      <x:c r="E38" s="495"/>
      <x:c r="F38" s="473"/>
      <x:c r="G38" s="511"/>
      <x:c r="H38" s="473"/>
      <x:c r="I38" s="461"/>
      <x:c r="J38" s="511"/>
      <x:c r="K38" s="511"/>
      <x:c r="L38" s="511"/>
      <x:c r="M38" s="593"/>
      <x:c r="N38" s="593"/>
      <x:c r="O38" s="593"/>
    </x:row>
    <x:row r="39" ht="38" customHeight="1">
      <x:c r="A39" s="461"/>
      <x:c r="B39" s="461"/>
      <x:c r="C39" s="461"/>
      <x:c r="D39" s="461"/>
      <x:c r="E39" s="495"/>
      <x:c r="F39" s="473"/>
      <x:c r="G39" s="511"/>
      <x:c r="H39" s="473"/>
      <x:c r="I39" s="461"/>
      <x:c r="J39" s="511"/>
      <x:c r="K39" s="511"/>
      <x:c r="L39" s="511"/>
      <x:c r="M39" s="593"/>
      <x:c r="N39" s="593"/>
      <x:c r="O39" s="593"/>
    </x:row>
    <x:row r="40" ht="38" customHeight="1">
      <x:c r="A40" s="461"/>
      <x:c r="B40" s="461"/>
      <x:c r="C40" s="461"/>
      <x:c r="D40" s="461"/>
      <x:c r="E40" s="495"/>
      <x:c r="F40" s="473"/>
      <x:c r="G40" s="511"/>
      <x:c r="H40" s="473"/>
      <x:c r="I40" s="461"/>
      <x:c r="J40" s="511"/>
      <x:c r="K40" s="511"/>
      <x:c r="L40" s="511"/>
      <x:c r="M40" s="593"/>
      <x:c r="N40" s="593"/>
      <x:c r="O40" s="593"/>
    </x:row>
    <x:row r="41" ht="38" customHeight="1">
      <x:c r="A41" s="461"/>
      <x:c r="B41" s="461"/>
      <x:c r="C41" s="461"/>
      <x:c r="D41" s="461"/>
      <x:c r="E41" s="495"/>
      <x:c r="F41" s="473"/>
      <x:c r="G41" s="511"/>
      <x:c r="H41" s="473"/>
      <x:c r="I41" s="461"/>
      <x:c r="J41" s="511"/>
      <x:c r="K41" s="511"/>
      <x:c r="L41" s="511"/>
      <x:c r="M41" s="593"/>
      <x:c r="N41" s="593"/>
      <x:c r="O41" s="593"/>
    </x:row>
    <x:row r="42" ht="38" customHeight="1">
      <x:c r="A42" s="461"/>
      <x:c r="B42" s="461"/>
      <x:c r="C42" s="461"/>
      <x:c r="D42" s="461"/>
      <x:c r="E42" s="495"/>
      <x:c r="F42" s="473"/>
      <x:c r="G42" s="511"/>
      <x:c r="H42" s="473"/>
      <x:c r="I42" s="461"/>
      <x:c r="J42" s="511"/>
      <x:c r="K42" s="511"/>
      <x:c r="L42" s="511"/>
      <x:c r="M42" s="593"/>
      <x:c r="N42" s="593"/>
      <x:c r="O42" s="593"/>
    </x:row>
    <x:row r="43" ht="38" customHeight="1">
      <x:c r="A43" s="461"/>
      <x:c r="B43" s="461"/>
      <x:c r="C43" s="461"/>
      <x:c r="D43" s="461"/>
      <x:c r="E43" s="495"/>
      <x:c r="F43" s="473"/>
      <x:c r="G43" s="511"/>
      <x:c r="H43" s="473"/>
      <x:c r="I43" s="461"/>
      <x:c r="J43" s="511"/>
      <x:c r="K43" s="511"/>
      <x:c r="L43" s="511"/>
      <x:c r="M43" s="593"/>
      <x:c r="N43" s="593"/>
      <x:c r="O43" s="593"/>
    </x:row>
    <x:row r="44" ht="38" customHeight="1">
      <x:c r="A44" s="461"/>
      <x:c r="B44" s="461"/>
      <x:c r="C44" s="461"/>
      <x:c r="D44" s="461"/>
      <x:c r="E44" s="495"/>
      <x:c r="F44" s="473"/>
      <x:c r="G44" s="511"/>
      <x:c r="H44" s="473"/>
      <x:c r="I44" s="461"/>
      <x:c r="J44" s="511"/>
      <x:c r="K44" s="511"/>
      <x:c r="L44" s="511"/>
      <x:c r="M44" s="593"/>
      <x:c r="N44" s="593"/>
      <x:c r="O44" s="593"/>
    </x:row>
    <x:row r="45" ht="38" customHeight="1">
      <x:c r="A45" s="461"/>
      <x:c r="B45" s="461"/>
      <x:c r="C45" s="461"/>
      <x:c r="D45" s="461"/>
      <x:c r="E45" s="495"/>
      <x:c r="F45" s="473"/>
      <x:c r="G45" s="511"/>
      <x:c r="H45" s="473"/>
      <x:c r="I45" s="461"/>
      <x:c r="J45" s="511"/>
      <x:c r="K45" s="511"/>
      <x:c r="L45" s="511"/>
      <x:c r="M45" s="593"/>
      <x:c r="N45" s="593"/>
      <x:c r="O45" s="593"/>
    </x:row>
    <x:row r="46" ht="38" customHeight="1">
      <x:c r="A46" s="461"/>
      <x:c r="B46" s="461"/>
      <x:c r="C46" s="461"/>
      <x:c r="D46" s="461"/>
      <x:c r="E46" s="495"/>
      <x:c r="F46" s="473"/>
      <x:c r="G46" s="511"/>
      <x:c r="H46" s="473"/>
      <x:c r="I46" s="461"/>
      <x:c r="J46" s="511"/>
      <x:c r="K46" s="511"/>
      <x:c r="L46" s="511"/>
      <x:c r="M46" s="593"/>
      <x:c r="N46" s="593"/>
      <x:c r="O46" s="593"/>
    </x:row>
    <x:row r="47" ht="38" customHeight="1">
      <x:c r="A47" s="461"/>
      <x:c r="B47" s="461"/>
      <x:c r="C47" s="461"/>
      <x:c r="D47" s="461"/>
      <x:c r="E47" s="495"/>
      <x:c r="F47" s="473"/>
      <x:c r="G47" s="511"/>
      <x:c r="H47" s="473"/>
      <x:c r="I47" s="461"/>
      <x:c r="J47" s="511"/>
      <x:c r="K47" s="511"/>
      <x:c r="L47" s="511"/>
      <x:c r="M47" s="593"/>
      <x:c r="N47" s="593"/>
      <x:c r="O47" s="593"/>
    </x:row>
    <x:row r="48" ht="38" customHeight="1">
      <x:c r="A48" s="461"/>
      <x:c r="B48" s="461"/>
      <x:c r="C48" s="461"/>
      <x:c r="D48" s="461"/>
      <x:c r="E48" s="495"/>
      <x:c r="F48" s="473"/>
      <x:c r="G48" s="511"/>
      <x:c r="H48" s="473"/>
      <x:c r="I48" s="461"/>
      <x:c r="J48" s="511"/>
      <x:c r="K48" s="511"/>
      <x:c r="L48" s="511"/>
      <x:c r="M48" s="593"/>
      <x:c r="N48" s="593"/>
      <x:c r="O48" s="593"/>
    </x:row>
    <x:row r="49" ht="38" customHeight="1">
      <x:c r="A49" s="461"/>
      <x:c r="B49" s="461"/>
      <x:c r="C49" s="461"/>
      <x:c r="D49" s="461"/>
      <x:c r="E49" s="495"/>
      <x:c r="F49" s="473"/>
      <x:c r="G49" s="511"/>
      <x:c r="H49" s="473"/>
      <x:c r="I49" s="461"/>
      <x:c r="J49" s="511"/>
      <x:c r="K49" s="511"/>
      <x:c r="L49" s="511"/>
      <x:c r="M49" s="593"/>
      <x:c r="N49" s="593"/>
      <x:c r="O49" s="593"/>
    </x:row>
    <x:row r="50" ht="38" customHeight="1">
      <x:c r="A50" s="461"/>
      <x:c r="B50" s="461"/>
      <x:c r="C50" s="461"/>
      <x:c r="D50" s="461"/>
      <x:c r="E50" s="495"/>
      <x:c r="F50" s="473"/>
      <x:c r="G50" s="511"/>
      <x:c r="H50" s="473"/>
      <x:c r="I50" s="461"/>
      <x:c r="J50" s="511"/>
      <x:c r="K50" s="511"/>
      <x:c r="L50" s="511"/>
      <x:c r="M50" s="593"/>
      <x:c r="N50" s="593"/>
      <x:c r="O50" s="593"/>
    </x:row>
    <x:row r="51" ht="38" customHeight="1">
      <x:c r="A51" s="461"/>
      <x:c r="B51" s="461"/>
      <x:c r="C51" s="461"/>
      <x:c r="D51" s="461"/>
      <x:c r="E51" s="495"/>
      <x:c r="F51" s="473"/>
      <x:c r="G51" s="511"/>
      <x:c r="H51" s="473"/>
      <x:c r="I51" s="461"/>
      <x:c r="J51" s="511"/>
      <x:c r="K51" s="511"/>
      <x:c r="L51" s="511"/>
      <x:c r="M51" s="593"/>
      <x:c r="N51" s="593"/>
      <x:c r="O51" s="593"/>
    </x:row>
    <x:row r="52" ht="38" customHeight="1">
      <x:c r="A52" s="461"/>
      <x:c r="B52" s="461"/>
      <x:c r="C52" s="461"/>
      <x:c r="D52" s="461"/>
      <x:c r="E52" s="495"/>
      <x:c r="F52" s="473"/>
      <x:c r="G52" s="511"/>
      <x:c r="H52" s="473"/>
      <x:c r="I52" s="461"/>
      <x:c r="J52" s="511"/>
      <x:c r="K52" s="511"/>
      <x:c r="L52" s="511"/>
      <x:c r="M52" s="593"/>
      <x:c r="N52" s="593"/>
      <x:c r="O52" s="593"/>
    </x:row>
    <x:row r="53" ht="38" customHeight="1">
      <x:c r="A53" s="461"/>
      <x:c r="B53" s="461"/>
      <x:c r="C53" s="461"/>
      <x:c r="D53" s="461"/>
      <x:c r="E53" s="495"/>
      <x:c r="F53" s="473"/>
      <x:c r="G53" s="511"/>
      <x:c r="H53" s="473"/>
      <x:c r="I53" s="461"/>
      <x:c r="J53" s="511"/>
      <x:c r="K53" s="511"/>
      <x:c r="L53" s="511"/>
      <x:c r="M53" s="593"/>
      <x:c r="N53" s="593"/>
      <x:c r="O53" s="593"/>
    </x:row>
    <x:row r="54" ht="38" customHeight="1">
      <x:c r="A54" s="461"/>
      <x:c r="B54" s="461"/>
      <x:c r="C54" s="461"/>
      <x:c r="D54" s="461"/>
      <x:c r="E54" s="495"/>
      <x:c r="F54" s="473"/>
      <x:c r="G54" s="511"/>
      <x:c r="H54" s="473"/>
      <x:c r="I54" s="461"/>
      <x:c r="J54" s="511"/>
      <x:c r="K54" s="511"/>
      <x:c r="L54" s="511"/>
      <x:c r="M54" s="593"/>
      <x:c r="N54" s="593"/>
      <x:c r="O54" s="593"/>
    </x:row>
    <x:row r="55" ht="38" customHeight="1">
      <x:c r="A55" s="461"/>
      <x:c r="B55" s="461"/>
      <x:c r="C55" s="461"/>
      <x:c r="D55" s="461"/>
      <x:c r="E55" s="495"/>
      <x:c r="F55" s="473"/>
      <x:c r="G55" s="511"/>
      <x:c r="H55" s="473"/>
      <x:c r="I55" s="461"/>
      <x:c r="J55" s="511"/>
      <x:c r="K55" s="511"/>
      <x:c r="L55" s="511"/>
      <x:c r="M55" s="593"/>
      <x:c r="N55" s="593"/>
      <x:c r="O55" s="593"/>
    </x:row>
    <x:row r="56" ht="38" customHeight="1">
      <x:c r="A56" s="461"/>
      <x:c r="B56" s="461"/>
      <x:c r="C56" s="461"/>
      <x:c r="D56" s="461"/>
      <x:c r="E56" s="495"/>
      <x:c r="F56" s="473"/>
      <x:c r="G56" s="511"/>
      <x:c r="H56" s="473"/>
      <x:c r="I56" s="461"/>
      <x:c r="J56" s="511"/>
      <x:c r="K56" s="511"/>
      <x:c r="L56" s="511"/>
      <x:c r="M56" s="593"/>
      <x:c r="N56" s="593"/>
      <x:c r="O56" s="593"/>
    </x:row>
    <x:row r="57" ht="38" customHeight="1">
      <x:c r="A57" s="461"/>
      <x:c r="B57" s="461"/>
      <x:c r="C57" s="461"/>
      <x:c r="D57" s="461"/>
      <x:c r="E57" s="495"/>
      <x:c r="F57" s="473"/>
      <x:c r="G57" s="511"/>
      <x:c r="H57" s="473"/>
      <x:c r="I57" s="461"/>
      <x:c r="J57" s="511"/>
      <x:c r="K57" s="511"/>
      <x:c r="L57" s="511"/>
      <x:c r="M57" s="593"/>
      <x:c r="N57" s="593"/>
      <x:c r="O57" s="593"/>
    </x:row>
    <x:row r="58" ht="38" customHeight="1">
      <x:c r="A58" s="461"/>
      <x:c r="B58" s="461"/>
      <x:c r="C58" s="461"/>
      <x:c r="D58" s="461"/>
      <x:c r="E58" s="495"/>
      <x:c r="F58" s="473"/>
      <x:c r="G58" s="511"/>
      <x:c r="H58" s="473"/>
      <x:c r="I58" s="461"/>
      <x:c r="J58" s="511"/>
      <x:c r="K58" s="511"/>
      <x:c r="L58" s="511"/>
      <x:c r="M58" s="593"/>
      <x:c r="N58" s="593"/>
      <x:c r="O58" s="593"/>
    </x:row>
    <x:row r="59" ht="38" customHeight="1">
      <x:c r="A59" s="461"/>
      <x:c r="B59" s="461"/>
      <x:c r="C59" s="461"/>
      <x:c r="D59" s="461"/>
      <x:c r="E59" s="495"/>
      <x:c r="F59" s="473"/>
      <x:c r="G59" s="511"/>
      <x:c r="H59" s="473"/>
      <x:c r="I59" s="461"/>
      <x:c r="J59" s="511"/>
      <x:c r="K59" s="511"/>
      <x:c r="L59" s="511"/>
      <x:c r="M59" s="593"/>
      <x:c r="N59" s="593"/>
      <x:c r="O59" s="593"/>
    </x:row>
    <x:row r="60" ht="38" customHeight="1">
      <x:c r="A60" s="461"/>
      <x:c r="B60" s="461"/>
      <x:c r="C60" s="461"/>
      <x:c r="D60" s="461"/>
      <x:c r="E60" s="495"/>
      <x:c r="F60" s="473"/>
      <x:c r="G60" s="511"/>
      <x:c r="H60" s="473"/>
      <x:c r="I60" s="461"/>
      <x:c r="J60" s="511"/>
      <x:c r="K60" s="511"/>
      <x:c r="L60" s="511"/>
      <x:c r="M60" s="593"/>
      <x:c r="N60" s="593"/>
      <x:c r="O60" s="593"/>
    </x:row>
    <x:row r="61" ht="38" customHeight="1">
      <x:c r="A61" s="461"/>
      <x:c r="B61" s="461"/>
      <x:c r="C61" s="461"/>
      <x:c r="D61" s="461"/>
      <x:c r="E61" s="495"/>
      <x:c r="F61" s="473"/>
      <x:c r="G61" s="511"/>
      <x:c r="H61" s="473"/>
      <x:c r="I61" s="461"/>
      <x:c r="J61" s="511"/>
      <x:c r="K61" s="511"/>
      <x:c r="L61" s="511"/>
      <x:c r="M61" s="593"/>
      <x:c r="N61" s="593"/>
      <x:c r="O61" s="593"/>
    </x:row>
    <x:row r="62" ht="38" customHeight="1">
      <x:c r="A62" s="461"/>
      <x:c r="B62" s="461"/>
      <x:c r="C62" s="461"/>
      <x:c r="D62" s="461"/>
      <x:c r="E62" s="495"/>
      <x:c r="F62" s="473"/>
      <x:c r="G62" s="511"/>
      <x:c r="H62" s="473"/>
      <x:c r="I62" s="461"/>
      <x:c r="J62" s="511"/>
      <x:c r="K62" s="511"/>
      <x:c r="L62" s="511"/>
      <x:c r="M62" s="593"/>
      <x:c r="N62" s="593"/>
      <x:c r="O62" s="593"/>
    </x:row>
    <x:row r="63" ht="38" customHeight="1">
      <x:c r="A63" s="461"/>
      <x:c r="B63" s="461"/>
      <x:c r="C63" s="461"/>
      <x:c r="D63" s="461"/>
      <x:c r="E63" s="495"/>
      <x:c r="F63" s="473"/>
      <x:c r="G63" s="511"/>
      <x:c r="H63" s="473"/>
      <x:c r="I63" s="461"/>
      <x:c r="J63" s="511"/>
      <x:c r="K63" s="511"/>
      <x:c r="L63" s="511"/>
      <x:c r="M63" s="593"/>
      <x:c r="N63" s="593"/>
      <x:c r="O63" s="593"/>
    </x:row>
    <x:row r="64" ht="38" customHeight="1">
      <x:c r="A64" s="461"/>
      <x:c r="B64" s="461"/>
      <x:c r="C64" s="461"/>
      <x:c r="D64" s="461"/>
      <x:c r="E64" s="495"/>
      <x:c r="F64" s="473"/>
      <x:c r="G64" s="511"/>
      <x:c r="H64" s="473"/>
      <x:c r="I64" s="461"/>
      <x:c r="J64" s="511"/>
      <x:c r="K64" s="511"/>
      <x:c r="L64" s="511"/>
      <x:c r="M64" s="593"/>
      <x:c r="N64" s="593"/>
      <x:c r="O64" s="593"/>
    </x:row>
    <x:row r="65" ht="38" customHeight="1">
      <x:c r="A65" s="461"/>
      <x:c r="B65" s="461"/>
      <x:c r="C65" s="461"/>
      <x:c r="D65" s="461"/>
      <x:c r="E65" s="495"/>
      <x:c r="F65" s="473"/>
      <x:c r="G65" s="511"/>
      <x:c r="H65" s="473"/>
      <x:c r="I65" s="461"/>
      <x:c r="J65" s="511"/>
      <x:c r="K65" s="511"/>
      <x:c r="L65" s="511"/>
      <x:c r="M65" s="593"/>
      <x:c r="N65" s="593"/>
      <x:c r="O65" s="593"/>
    </x:row>
    <x:row r="66" ht="38" customHeight="1">
      <x:c r="A66" s="461"/>
      <x:c r="B66" s="461"/>
      <x:c r="C66" s="461"/>
      <x:c r="D66" s="461"/>
      <x:c r="E66" s="495"/>
      <x:c r="F66" s="473"/>
      <x:c r="G66" s="511"/>
      <x:c r="H66" s="473"/>
      <x:c r="I66" s="461"/>
      <x:c r="J66" s="511"/>
      <x:c r="K66" s="511"/>
      <x:c r="L66" s="511"/>
      <x:c r="M66" s="593"/>
      <x:c r="N66" s="593"/>
      <x:c r="O66" s="593"/>
    </x:row>
    <x:row r="67" ht="38" customHeight="1">
      <x:c r="A67" s="461"/>
      <x:c r="B67" s="461"/>
      <x:c r="C67" s="461"/>
      <x:c r="D67" s="461"/>
      <x:c r="E67" s="495"/>
      <x:c r="F67" s="473"/>
      <x:c r="G67" s="511"/>
      <x:c r="H67" s="473"/>
      <x:c r="I67" s="461"/>
      <x:c r="J67" s="511"/>
      <x:c r="K67" s="511"/>
      <x:c r="L67" s="511"/>
      <x:c r="M67" s="593"/>
      <x:c r="N67" s="593"/>
      <x:c r="O67" s="593"/>
    </x:row>
    <x:row r="68" ht="38" customHeight="1">
      <x:c r="A68" s="461"/>
      <x:c r="B68" s="461"/>
      <x:c r="C68" s="461"/>
      <x:c r="D68" s="461"/>
      <x:c r="E68" s="495"/>
      <x:c r="F68" s="473"/>
      <x:c r="G68" s="511"/>
      <x:c r="H68" s="473"/>
      <x:c r="I68" s="461"/>
      <x:c r="J68" s="511"/>
      <x:c r="K68" s="511"/>
      <x:c r="L68" s="511"/>
      <x:c r="M68" s="593"/>
      <x:c r="N68" s="593"/>
      <x:c r="O68" s="593"/>
    </x:row>
    <x:row r="69" ht="38" customHeight="1">
      <x:c r="A69" s="461"/>
      <x:c r="B69" s="461"/>
      <x:c r="C69" s="461"/>
      <x:c r="D69" s="461"/>
      <x:c r="E69" s="495"/>
      <x:c r="F69" s="473"/>
      <x:c r="G69" s="511"/>
      <x:c r="H69" s="473"/>
      <x:c r="I69" s="461"/>
      <x:c r="J69" s="511"/>
      <x:c r="K69" s="511"/>
      <x:c r="L69" s="511"/>
      <x:c r="M69" s="593"/>
      <x:c r="N69" s="593"/>
      <x:c r="O69" s="593"/>
    </x:row>
    <x:row r="70" ht="38" customHeight="1">
      <x:c r="A70" s="461"/>
      <x:c r="B70" s="461"/>
      <x:c r="C70" s="461"/>
      <x:c r="D70" s="461"/>
      <x:c r="E70" s="495"/>
      <x:c r="F70" s="473"/>
      <x:c r="G70" s="511"/>
      <x:c r="H70" s="473"/>
      <x:c r="I70" s="461"/>
      <x:c r="J70" s="511"/>
      <x:c r="K70" s="511"/>
      <x:c r="L70" s="511"/>
      <x:c r="M70" s="593"/>
      <x:c r="N70" s="593"/>
      <x:c r="O70" s="593"/>
    </x:row>
    <x:row r="71" ht="38" customHeight="1">
      <x:c r="A71" s="461"/>
      <x:c r="B71" s="461"/>
      <x:c r="C71" s="461"/>
      <x:c r="D71" s="461"/>
      <x:c r="E71" s="495"/>
      <x:c r="F71" s="473"/>
      <x:c r="G71" s="511"/>
      <x:c r="H71" s="473"/>
      <x:c r="I71" s="461"/>
      <x:c r="J71" s="511"/>
      <x:c r="K71" s="511"/>
      <x:c r="L71" s="511"/>
      <x:c r="M71" s="593"/>
      <x:c r="N71" s="593"/>
      <x:c r="O71" s="593"/>
    </x:row>
    <x:row r="72" ht="38" customHeight="1">
      <x:c r="A72" s="461"/>
      <x:c r="B72" s="461"/>
      <x:c r="C72" s="461"/>
      <x:c r="D72" s="461"/>
      <x:c r="E72" s="495"/>
      <x:c r="F72" s="473"/>
      <x:c r="G72" s="511"/>
      <x:c r="H72" s="473"/>
      <x:c r="I72" s="461"/>
      <x:c r="J72" s="511"/>
      <x:c r="K72" s="511"/>
      <x:c r="L72" s="511"/>
      <x:c r="M72" s="593"/>
      <x:c r="N72" s="593"/>
      <x:c r="O72" s="593"/>
    </x:row>
    <x:row r="73" ht="38" customHeight="1">
      <x:c r="A73" s="461"/>
      <x:c r="B73" s="461"/>
      <x:c r="C73" s="461"/>
      <x:c r="D73" s="461"/>
      <x:c r="E73" s="495"/>
      <x:c r="F73" s="473"/>
      <x:c r="G73" s="511"/>
      <x:c r="H73" s="473"/>
      <x:c r="I73" s="461"/>
      <x:c r="J73" s="511"/>
      <x:c r="K73" s="511"/>
      <x:c r="L73" s="511"/>
      <x:c r="M73" s="593"/>
      <x:c r="N73" s="593"/>
      <x:c r="O73" s="593"/>
    </x:row>
    <x:row r="74" ht="38" customHeight="1">
      <x:c r="A74" s="461"/>
      <x:c r="B74" s="461"/>
      <x:c r="C74" s="461"/>
      <x:c r="D74" s="461"/>
      <x:c r="E74" s="495"/>
      <x:c r="F74" s="473"/>
      <x:c r="G74" s="511"/>
      <x:c r="H74" s="473"/>
      <x:c r="I74" s="461"/>
      <x:c r="J74" s="511"/>
      <x:c r="K74" s="511"/>
      <x:c r="L74" s="511"/>
      <x:c r="M74" s="593"/>
      <x:c r="N74" s="593"/>
      <x:c r="O74" s="593"/>
    </x:row>
    <x:row r="75" ht="38" customHeight="1">
      <x:c r="A75" s="461"/>
      <x:c r="B75" s="461"/>
      <x:c r="C75" s="461"/>
      <x:c r="D75" s="461"/>
      <x:c r="E75" s="495"/>
      <x:c r="F75" s="473"/>
      <x:c r="G75" s="511"/>
      <x:c r="H75" s="473"/>
      <x:c r="I75" s="461"/>
      <x:c r="J75" s="511"/>
      <x:c r="K75" s="511"/>
      <x:c r="L75" s="511"/>
      <x:c r="M75" s="593"/>
      <x:c r="N75" s="593"/>
      <x:c r="O75" s="593"/>
    </x:row>
    <x:row r="76" ht="38" customHeight="1">
      <x:c r="A76" s="461"/>
      <x:c r="B76" s="461"/>
      <x:c r="C76" s="461"/>
      <x:c r="D76" s="461"/>
      <x:c r="E76" s="495"/>
      <x:c r="F76" s="473"/>
      <x:c r="G76" s="511"/>
      <x:c r="H76" s="473"/>
      <x:c r="I76" s="461"/>
      <x:c r="J76" s="511"/>
      <x:c r="K76" s="511"/>
      <x:c r="L76" s="511"/>
      <x:c r="M76" s="593"/>
      <x:c r="N76" s="593"/>
      <x:c r="O76" s="593"/>
    </x:row>
    <x:row r="77" ht="38" customHeight="1">
      <x:c r="A77" s="461"/>
      <x:c r="B77" s="461"/>
      <x:c r="C77" s="461"/>
      <x:c r="D77" s="461"/>
      <x:c r="E77" s="495"/>
      <x:c r="F77" s="473"/>
      <x:c r="G77" s="511"/>
      <x:c r="H77" s="473"/>
      <x:c r="I77" s="461"/>
      <x:c r="J77" s="511"/>
      <x:c r="K77" s="511"/>
      <x:c r="L77" s="511"/>
      <x:c r="M77" s="593"/>
      <x:c r="N77" s="593"/>
      <x:c r="O77" s="593"/>
    </x:row>
    <x:row r="78" ht="38" customHeight="1">
      <x:c r="A78" s="461"/>
      <x:c r="B78" s="461"/>
      <x:c r="C78" s="461"/>
      <x:c r="D78" s="461"/>
      <x:c r="E78" s="495"/>
      <x:c r="F78" s="473"/>
      <x:c r="G78" s="511"/>
      <x:c r="H78" s="473"/>
      <x:c r="I78" s="461"/>
      <x:c r="J78" s="511"/>
      <x:c r="K78" s="511"/>
      <x:c r="L78" s="511"/>
      <x:c r="M78" s="593"/>
      <x:c r="N78" s="593"/>
      <x:c r="O78" s="593"/>
    </x:row>
    <x:row r="79" ht="38" customHeight="1">
      <x:c r="A79" s="461"/>
      <x:c r="B79" s="461"/>
      <x:c r="C79" s="461"/>
      <x:c r="D79" s="461"/>
      <x:c r="E79" s="495"/>
      <x:c r="F79" s="473"/>
      <x:c r="G79" s="511"/>
      <x:c r="H79" s="473"/>
      <x:c r="I79" s="461"/>
      <x:c r="J79" s="511"/>
      <x:c r="K79" s="511"/>
      <x:c r="L79" s="511"/>
      <x:c r="M79" s="593"/>
      <x:c r="N79" s="593"/>
      <x:c r="O79" s="593"/>
    </x:row>
    <x:row r="80" ht="38" customHeight="1">
      <x:c r="A80" s="461"/>
      <x:c r="B80" s="461"/>
      <x:c r="C80" s="461"/>
      <x:c r="D80" s="461"/>
      <x:c r="E80" s="495"/>
      <x:c r="F80" s="473"/>
      <x:c r="G80" s="511"/>
      <x:c r="H80" s="473"/>
      <x:c r="I80" s="461"/>
      <x:c r="J80" s="511"/>
      <x:c r="K80" s="511"/>
      <x:c r="L80" s="511"/>
      <x:c r="M80" s="593"/>
      <x:c r="N80" s="593"/>
      <x:c r="O80" s="593"/>
    </x:row>
    <x:row r="81" ht="38" customHeight="1">
      <x:c r="A81" s="461"/>
      <x:c r="B81" s="461"/>
      <x:c r="C81" s="461"/>
      <x:c r="D81" s="461"/>
      <x:c r="E81" s="495"/>
      <x:c r="F81" s="473"/>
      <x:c r="G81" s="511"/>
      <x:c r="H81" s="473"/>
      <x:c r="I81" s="461"/>
      <x:c r="J81" s="511"/>
      <x:c r="K81" s="511"/>
      <x:c r="L81" s="511"/>
      <x:c r="M81" s="593"/>
      <x:c r="N81" s="593"/>
      <x:c r="O81" s="593"/>
    </x:row>
    <x:row r="82" ht="38" customHeight="1">
      <x:c r="A82" s="461"/>
      <x:c r="B82" s="461"/>
      <x:c r="C82" s="461"/>
      <x:c r="D82" s="461"/>
      <x:c r="E82" s="495"/>
      <x:c r="F82" s="473"/>
      <x:c r="G82" s="511"/>
      <x:c r="H82" s="473"/>
      <x:c r="I82" s="461"/>
      <x:c r="J82" s="511"/>
      <x:c r="K82" s="511"/>
      <x:c r="L82" s="511"/>
      <x:c r="M82" s="593"/>
      <x:c r="N82" s="593"/>
      <x:c r="O82" s="593"/>
    </x:row>
    <x:row r="83" ht="38" customHeight="1">
      <x:c r="A83" s="461"/>
      <x:c r="B83" s="461"/>
      <x:c r="C83" s="461"/>
      <x:c r="D83" s="461"/>
      <x:c r="E83" s="495"/>
      <x:c r="F83" s="473"/>
      <x:c r="G83" s="511"/>
      <x:c r="H83" s="473"/>
      <x:c r="I83" s="461"/>
      <x:c r="J83" s="511"/>
      <x:c r="K83" s="511"/>
      <x:c r="L83" s="511"/>
      <x:c r="M83" s="593"/>
      <x:c r="N83" s="593"/>
      <x:c r="O83" s="593"/>
    </x:row>
    <x:row r="84" ht="38" customHeight="1">
      <x:c r="A84" s="461"/>
      <x:c r="B84" s="461"/>
      <x:c r="C84" s="461"/>
      <x:c r="D84" s="461"/>
      <x:c r="E84" s="495"/>
      <x:c r="F84" s="473"/>
      <x:c r="G84" s="511"/>
      <x:c r="H84" s="473"/>
      <x:c r="I84" s="461"/>
      <x:c r="J84" s="511"/>
      <x:c r="K84" s="511"/>
      <x:c r="L84" s="511"/>
      <x:c r="M84" s="593"/>
      <x:c r="N84" s="593"/>
      <x:c r="O84" s="593"/>
    </x:row>
    <x:row r="85" ht="38" customHeight="1">
      <x:c r="A85" s="461"/>
      <x:c r="B85" s="461"/>
      <x:c r="C85" s="461"/>
      <x:c r="D85" s="461"/>
      <x:c r="E85" s="495"/>
      <x:c r="F85" s="473"/>
      <x:c r="G85" s="511"/>
      <x:c r="H85" s="473"/>
      <x:c r="I85" s="461"/>
      <x:c r="J85" s="511"/>
      <x:c r="K85" s="511"/>
      <x:c r="L85" s="511"/>
      <x:c r="M85" s="593"/>
      <x:c r="N85" s="593"/>
      <x:c r="O85" s="593"/>
    </x:row>
    <x:row r="86" ht="38" customHeight="1">
      <x:c r="A86" s="461"/>
      <x:c r="B86" s="461"/>
      <x:c r="C86" s="461"/>
      <x:c r="D86" s="461"/>
      <x:c r="E86" s="495"/>
      <x:c r="F86" s="473"/>
      <x:c r="G86" s="511"/>
      <x:c r="H86" s="473"/>
      <x:c r="I86" s="461"/>
      <x:c r="J86" s="511"/>
      <x:c r="K86" s="511"/>
      <x:c r="L86" s="511"/>
      <x:c r="M86" s="593"/>
      <x:c r="N86" s="593"/>
      <x:c r="O86" s="593"/>
    </x:row>
    <x:row r="87" ht="38" customHeight="1">
      <x:c r="A87" s="461"/>
      <x:c r="B87" s="461"/>
      <x:c r="C87" s="461"/>
      <x:c r="D87" s="461"/>
      <x:c r="E87" s="495"/>
      <x:c r="F87" s="473"/>
      <x:c r="G87" s="511"/>
      <x:c r="H87" s="473"/>
      <x:c r="I87" s="461"/>
      <x:c r="J87" s="511"/>
      <x:c r="K87" s="511"/>
      <x:c r="L87" s="511"/>
      <x:c r="M87" s="593"/>
      <x:c r="N87" s="593"/>
      <x:c r="O87" s="593"/>
    </x:row>
    <x:row r="88" ht="38" customHeight="1">
      <x:c r="A88" s="461"/>
      <x:c r="B88" s="461"/>
      <x:c r="C88" s="461"/>
      <x:c r="D88" s="461"/>
      <x:c r="E88" s="495"/>
      <x:c r="F88" s="473"/>
      <x:c r="G88" s="511"/>
      <x:c r="H88" s="473"/>
      <x:c r="I88" s="461"/>
      <x:c r="J88" s="511"/>
      <x:c r="K88" s="511"/>
      <x:c r="L88" s="511"/>
      <x:c r="M88" s="593"/>
      <x:c r="N88" s="593"/>
      <x:c r="O88" s="593"/>
    </x:row>
    <x:row r="89" ht="38" customHeight="1">
      <x:c r="A89" s="461"/>
      <x:c r="B89" s="461"/>
      <x:c r="C89" s="461"/>
      <x:c r="D89" s="461"/>
      <x:c r="E89" s="495"/>
      <x:c r="F89" s="473"/>
      <x:c r="G89" s="511"/>
      <x:c r="H89" s="473"/>
      <x:c r="I89" s="461"/>
      <x:c r="J89" s="511"/>
      <x:c r="K89" s="511"/>
      <x:c r="L89" s="511"/>
      <x:c r="M89" s="593"/>
      <x:c r="N89" s="593"/>
      <x:c r="O89" s="593"/>
    </x:row>
    <x:row r="90" ht="38" customHeight="1">
      <x:c r="A90" s="461"/>
      <x:c r="B90" s="461"/>
      <x:c r="C90" s="461"/>
      <x:c r="D90" s="461"/>
      <x:c r="E90" s="495"/>
      <x:c r="F90" s="473"/>
      <x:c r="G90" s="511"/>
      <x:c r="H90" s="473"/>
      <x:c r="I90" s="461"/>
      <x:c r="J90" s="511"/>
      <x:c r="K90" s="511"/>
      <x:c r="L90" s="511"/>
      <x:c r="M90" s="593"/>
      <x:c r="N90" s="593"/>
      <x:c r="O90" s="593"/>
    </x:row>
    <x:row r="91" ht="38" customHeight="1">
      <x:c r="A91" s="461"/>
      <x:c r="B91" s="461"/>
      <x:c r="C91" s="461"/>
      <x:c r="D91" s="461"/>
      <x:c r="E91" s="495"/>
      <x:c r="F91" s="473"/>
      <x:c r="G91" s="511"/>
      <x:c r="H91" s="473"/>
      <x:c r="I91" s="461"/>
      <x:c r="J91" s="511"/>
      <x:c r="K91" s="511"/>
      <x:c r="L91" s="511"/>
      <x:c r="M91" s="593"/>
      <x:c r="N91" s="593"/>
      <x:c r="O91" s="593"/>
    </x:row>
    <x:row r="92" ht="38" customHeight="1">
      <x:c r="A92" s="461"/>
      <x:c r="B92" s="461"/>
      <x:c r="C92" s="461"/>
      <x:c r="D92" s="461"/>
      <x:c r="E92" s="495"/>
      <x:c r="F92" s="473"/>
      <x:c r="G92" s="511"/>
      <x:c r="H92" s="473"/>
      <x:c r="I92" s="461"/>
      <x:c r="J92" s="511"/>
      <x:c r="K92" s="511"/>
      <x:c r="L92" s="511"/>
      <x:c r="M92" s="593"/>
      <x:c r="N92" s="593"/>
      <x:c r="O92" s="593"/>
    </x:row>
    <x:row r="93" ht="38" customHeight="1">
      <x:c r="A93" s="461"/>
      <x:c r="B93" s="461"/>
      <x:c r="C93" s="461"/>
      <x:c r="D93" s="461"/>
      <x:c r="E93" s="495"/>
      <x:c r="F93" s="473"/>
      <x:c r="G93" s="511"/>
      <x:c r="H93" s="473"/>
      <x:c r="I93" s="461"/>
      <x:c r="J93" s="511"/>
      <x:c r="K93" s="511"/>
      <x:c r="L93" s="511"/>
      <x:c r="M93" s="593"/>
      <x:c r="N93" s="593"/>
      <x:c r="O93" s="593"/>
    </x:row>
    <x:row r="94" ht="38" customHeight="1">
      <x:c r="A94" s="461"/>
      <x:c r="B94" s="461"/>
      <x:c r="C94" s="461"/>
      <x:c r="D94" s="461"/>
      <x:c r="E94" s="495"/>
      <x:c r="F94" s="473"/>
      <x:c r="G94" s="511"/>
      <x:c r="H94" s="473"/>
      <x:c r="I94" s="461"/>
      <x:c r="J94" s="511"/>
      <x:c r="K94" s="511"/>
      <x:c r="L94" s="511"/>
      <x:c r="M94" s="593"/>
      <x:c r="N94" s="593"/>
      <x:c r="O94" s="593"/>
    </x:row>
    <x:row r="95" ht="38" customHeight="1">
      <x:c r="A95" s="461"/>
      <x:c r="B95" s="461"/>
      <x:c r="C95" s="461"/>
      <x:c r="D95" s="461"/>
      <x:c r="E95" s="495"/>
      <x:c r="F95" s="473"/>
      <x:c r="G95" s="511"/>
      <x:c r="H95" s="473"/>
      <x:c r="I95" s="461"/>
      <x:c r="J95" s="511"/>
      <x:c r="K95" s="511"/>
      <x:c r="L95" s="511"/>
      <x:c r="M95" s="593"/>
      <x:c r="N95" s="593"/>
      <x:c r="O95" s="593"/>
    </x:row>
    <x:row r="96" ht="38" customHeight="1">
      <x:c r="A96" s="461"/>
      <x:c r="B96" s="461"/>
      <x:c r="C96" s="461"/>
      <x:c r="D96" s="461"/>
      <x:c r="E96" s="495"/>
      <x:c r="F96" s="473"/>
      <x:c r="G96" s="511"/>
      <x:c r="H96" s="473"/>
      <x:c r="I96" s="461"/>
      <x:c r="J96" s="511"/>
      <x:c r="K96" s="511"/>
      <x:c r="L96" s="511"/>
      <x:c r="M96" s="593"/>
      <x:c r="N96" s="593"/>
      <x:c r="O96" s="593"/>
    </x:row>
    <x:row r="97" ht="38" customHeight="1">
      <x:c r="A97" s="461"/>
      <x:c r="B97" s="461"/>
      <x:c r="C97" s="461"/>
      <x:c r="D97" s="461"/>
      <x:c r="E97" s="495"/>
      <x:c r="F97" s="473"/>
      <x:c r="G97" s="511"/>
      <x:c r="H97" s="473"/>
      <x:c r="I97" s="461"/>
      <x:c r="J97" s="511"/>
      <x:c r="K97" s="511"/>
      <x:c r="L97" s="511"/>
      <x:c r="M97" s="593"/>
      <x:c r="N97" s="593"/>
      <x:c r="O97" s="593"/>
    </x:row>
    <x:row r="98" ht="38" customHeight="1">
      <x:c r="A98" s="461"/>
      <x:c r="B98" s="461"/>
      <x:c r="C98" s="461"/>
      <x:c r="D98" s="461"/>
      <x:c r="E98" s="495"/>
      <x:c r="F98" s="473"/>
      <x:c r="G98" s="511"/>
      <x:c r="H98" s="473"/>
      <x:c r="I98" s="461"/>
      <x:c r="J98" s="511"/>
      <x:c r="K98" s="511"/>
      <x:c r="L98" s="511"/>
      <x:c r="M98" s="593"/>
      <x:c r="N98" s="593"/>
      <x:c r="O98" s="593"/>
    </x:row>
    <x:row r="99" ht="38" customHeight="1">
      <x:c r="A99" s="461"/>
      <x:c r="B99" s="461"/>
      <x:c r="C99" s="461"/>
      <x:c r="D99" s="461"/>
      <x:c r="E99" s="495"/>
      <x:c r="F99" s="473"/>
      <x:c r="G99" s="511"/>
      <x:c r="H99" s="473"/>
      <x:c r="I99" s="461"/>
      <x:c r="J99" s="511"/>
      <x:c r="K99" s="511"/>
      <x:c r="L99" s="511"/>
      <x:c r="M99" s="593"/>
      <x:c r="N99" s="593"/>
      <x:c r="O99" s="593"/>
    </x:row>
    <x:row r="100" ht="38" customHeight="1">
      <x:c r="A100" s="461"/>
      <x:c r="B100" s="461"/>
      <x:c r="C100" s="461"/>
      <x:c r="D100" s="461"/>
      <x:c r="E100" s="495"/>
      <x:c r="F100" s="473"/>
      <x:c r="G100" s="511"/>
      <x:c r="H100" s="473"/>
      <x:c r="I100" s="461"/>
      <x:c r="J100" s="511"/>
      <x:c r="K100" s="511"/>
      <x:c r="L100" s="511"/>
      <x:c r="M100" s="593"/>
      <x:c r="N100" s="593"/>
      <x:c r="O100" s="593"/>
    </x:row>
    <x:row r="101" ht="38" customHeight="1">
      <x:c r="A101" s="461"/>
      <x:c r="B101" s="461"/>
      <x:c r="C101" s="461"/>
      <x:c r="D101" s="461"/>
      <x:c r="E101" s="495"/>
      <x:c r="F101" s="473"/>
      <x:c r="G101" s="511"/>
      <x:c r="H101" s="473"/>
      <x:c r="I101" s="461"/>
      <x:c r="J101" s="511"/>
      <x:c r="K101" s="511"/>
      <x:c r="L101" s="511"/>
      <x:c r="M101" s="593"/>
      <x:c r="N101" s="593"/>
      <x:c r="O101" s="593"/>
    </x:row>
    <x:row r="102" ht="38" customHeight="1">
      <x:c r="A102" s="461"/>
      <x:c r="B102" s="461"/>
      <x:c r="C102" s="461"/>
      <x:c r="D102" s="461"/>
      <x:c r="E102" s="495"/>
      <x:c r="F102" s="473"/>
      <x:c r="G102" s="511"/>
      <x:c r="H102" s="473"/>
      <x:c r="I102" s="461"/>
      <x:c r="J102" s="511"/>
      <x:c r="K102" s="511"/>
      <x:c r="L102" s="511"/>
      <x:c r="M102" s="593"/>
      <x:c r="N102" s="593"/>
      <x:c r="O102" s="593"/>
    </x:row>
    <x:row r="103" ht="38" customHeight="1">
      <x:c r="A103" s="461"/>
      <x:c r="B103" s="461"/>
      <x:c r="C103" s="461"/>
      <x:c r="D103" s="461"/>
      <x:c r="E103" s="495"/>
      <x:c r="F103" s="473"/>
      <x:c r="G103" s="511"/>
      <x:c r="H103" s="473"/>
      <x:c r="I103" s="461"/>
      <x:c r="J103" s="511"/>
      <x:c r="K103" s="511"/>
      <x:c r="L103" s="511"/>
      <x:c r="M103" s="593"/>
      <x:c r="N103" s="593"/>
      <x:c r="O103" s="593"/>
    </x:row>
    <x:row r="104" ht="38" customHeight="1">
      <x:c r="A104" s="461"/>
      <x:c r="B104" s="461"/>
      <x:c r="C104" s="461"/>
      <x:c r="D104" s="461"/>
      <x:c r="E104" s="495"/>
      <x:c r="F104" s="473"/>
      <x:c r="G104" s="511"/>
      <x:c r="H104" s="473"/>
      <x:c r="I104" s="461"/>
      <x:c r="J104" s="511"/>
      <x:c r="K104" s="511"/>
      <x:c r="L104" s="511"/>
      <x:c r="M104" s="593"/>
      <x:c r="N104" s="593"/>
      <x:c r="O104" s="593"/>
    </x:row>
    <x:row r="105" ht="38" customHeight="1">
      <x:c r="A105" s="461"/>
      <x:c r="B105" s="461"/>
      <x:c r="C105" s="461"/>
      <x:c r="D105" s="461"/>
      <x:c r="E105" s="495"/>
      <x:c r="F105" s="473"/>
      <x:c r="G105" s="461"/>
      <x:c r="H105" s="473"/>
      <x:c r="I105" s="461"/>
      <x:c r="J105" s="461"/>
      <x:c r="K105" s="461"/>
      <x:c r="L105" s="461"/>
      <x:c r="M105" s="593"/>
      <x:c r="N105" s="593"/>
      <x:c r="O105" s="593"/>
    </x:row>
    <x:row r="106" ht="38" customHeight="1">
      <x:c r="A106" s="461"/>
      <x:c r="B106" s="461"/>
      <x:c r="C106" s="461"/>
      <x:c r="D106" s="461"/>
      <x:c r="E106" s="495"/>
      <x:c r="F106" s="473"/>
      <x:c r="G106" s="461"/>
      <x:c r="H106" s="473"/>
      <x:c r="I106" s="461"/>
      <x:c r="J106" s="461"/>
      <x:c r="K106" s="461"/>
      <x:c r="L106" s="461"/>
      <x:c r="M106" s="593"/>
      <x:c r="N106" s="593"/>
      <x:c r="O106" s="593"/>
    </x:row>
    <x:row r="107" ht="38" customHeight="1">
      <x:c r="A107" s="461"/>
      <x:c r="B107" s="461"/>
      <x:c r="C107" s="461"/>
      <x:c r="D107" s="461"/>
      <x:c r="E107" s="495"/>
      <x:c r="F107" s="473"/>
      <x:c r="G107" s="461"/>
      <x:c r="H107" s="473"/>
      <x:c r="I107" s="461"/>
      <x:c r="J107" s="461"/>
      <x:c r="K107" s="461"/>
      <x:c r="L107" s="461"/>
      <x:c r="M107" s="593"/>
      <x:c r="N107" s="593"/>
      <x:c r="O107" s="593"/>
    </x:row>
    <x:row r="108" ht="38" customHeight="1">
      <x:c r="A108" s="461"/>
      <x:c r="B108" s="461"/>
      <x:c r="C108" s="461"/>
      <x:c r="D108" s="461"/>
      <x:c r="E108" s="495"/>
      <x:c r="F108" s="473"/>
      <x:c r="G108" s="461"/>
      <x:c r="H108" s="473"/>
      <x:c r="I108" s="461"/>
      <x:c r="J108" s="461"/>
      <x:c r="K108" s="461"/>
      <x:c r="L108" s="461"/>
      <x:c r="M108" s="593"/>
      <x:c r="N108" s="593"/>
      <x:c r="O108" s="593"/>
    </x:row>
    <x:row r="109" ht="38" customHeight="1">
      <x:c r="A109" s="461"/>
      <x:c r="B109" s="461"/>
      <x:c r="C109" s="461"/>
      <x:c r="D109" s="461"/>
      <x:c r="E109" s="495"/>
      <x:c r="F109" s="473"/>
      <x:c r="G109" s="461"/>
      <x:c r="H109" s="473"/>
      <x:c r="I109" s="461"/>
      <x:c r="J109" s="461"/>
      <x:c r="K109" s="461"/>
      <x:c r="L109" s="461"/>
      <x:c r="M109" s="593"/>
      <x:c r="N109" s="593"/>
      <x:c r="O109" s="593"/>
    </x:row>
    <x:row r="110" ht="38" customHeight="1">
      <x:c r="A110" s="461"/>
      <x:c r="B110" s="461"/>
      <x:c r="C110" s="461"/>
      <x:c r="D110" s="461"/>
      <x:c r="E110" s="495"/>
      <x:c r="F110" s="473"/>
      <x:c r="G110" s="461"/>
      <x:c r="H110" s="473"/>
      <x:c r="I110" s="461"/>
      <x:c r="J110" s="461"/>
      <x:c r="K110" s="461"/>
      <x:c r="L110" s="461"/>
      <x:c r="M110" s="593"/>
      <x:c r="N110" s="593"/>
      <x:c r="O110" s="593"/>
    </x:row>
    <x:row r="111" ht="38" customHeight="1">
      <x:c r="A111" s="461"/>
      <x:c r="B111" s="461"/>
      <x:c r="C111" s="461"/>
      <x:c r="D111" s="461"/>
      <x:c r="E111" s="495"/>
      <x:c r="F111" s="473"/>
      <x:c r="G111" s="461"/>
      <x:c r="H111" s="473"/>
      <x:c r="I111" s="461"/>
      <x:c r="J111" s="461"/>
      <x:c r="K111" s="461"/>
      <x:c r="L111" s="461"/>
      <x:c r="M111" s="593"/>
      <x:c r="N111" s="593"/>
      <x:c r="O111" s="593"/>
    </x:row>
    <x:row r="112" ht="38" customHeight="1">
      <x:c r="A112" s="461"/>
      <x:c r="B112" s="461"/>
      <x:c r="C112" s="461"/>
      <x:c r="D112" s="461"/>
      <x:c r="E112" s="495"/>
      <x:c r="F112" s="473"/>
      <x:c r="G112" s="461"/>
      <x:c r="H112" s="473"/>
      <x:c r="I112" s="461"/>
      <x:c r="J112" s="461"/>
      <x:c r="K112" s="461"/>
      <x:c r="L112" s="461"/>
      <x:c r="M112" s="593"/>
      <x:c r="N112" s="593"/>
      <x:c r="O112" s="593"/>
    </x:row>
    <x:row r="113" ht="38" customHeight="1">
      <x:c r="A113" s="461"/>
      <x:c r="B113" s="461"/>
      <x:c r="C113" s="461"/>
      <x:c r="D113" s="461"/>
      <x:c r="E113" s="495"/>
      <x:c r="F113" s="473"/>
      <x:c r="G113" s="461"/>
      <x:c r="H113" s="473"/>
      <x:c r="I113" s="461"/>
      <x:c r="J113" s="461"/>
      <x:c r="K113" s="461"/>
      <x:c r="L113" s="461"/>
      <x:c r="M113" s="593"/>
      <x:c r="N113" s="593"/>
      <x:c r="O113" s="593"/>
    </x:row>
    <x:row r="114" ht="38" customHeight="1">
      <x:c r="A114" s="461"/>
      <x:c r="B114" s="461"/>
      <x:c r="C114" s="461"/>
      <x:c r="D114" s="461"/>
      <x:c r="E114" s="495"/>
      <x:c r="F114" s="473"/>
      <x:c r="G114" s="461"/>
      <x:c r="H114" s="473"/>
      <x:c r="I114" s="461"/>
      <x:c r="J114" s="461"/>
      <x:c r="K114" s="461"/>
      <x:c r="L114" s="461"/>
      <x:c r="M114" s="593"/>
      <x:c r="N114" s="593"/>
      <x:c r="O114" s="593"/>
    </x:row>
    <x:row r="115" ht="38" customHeight="1">
      <x:c r="A115" s="461"/>
      <x:c r="B115" s="461"/>
      <x:c r="C115" s="461"/>
      <x:c r="D115" s="461"/>
      <x:c r="E115" s="495"/>
      <x:c r="F115" s="473"/>
      <x:c r="G115" s="461"/>
      <x:c r="H115" s="473"/>
      <x:c r="I115" s="461"/>
      <x:c r="J115" s="461"/>
      <x:c r="K115" s="461"/>
      <x:c r="L115" s="461"/>
      <x:c r="M115" s="593"/>
      <x:c r="N115" s="593"/>
      <x:c r="O115" s="593"/>
    </x:row>
    <x:row r="116" ht="38" customHeight="1">
      <x:c r="A116" s="461"/>
      <x:c r="B116" s="461"/>
      <x:c r="C116" s="461"/>
      <x:c r="D116" s="461"/>
      <x:c r="E116" s="495"/>
      <x:c r="F116" s="473"/>
      <x:c r="G116" s="461"/>
      <x:c r="H116" s="473"/>
      <x:c r="I116" s="461"/>
      <x:c r="J116" s="461"/>
      <x:c r="K116" s="461"/>
      <x:c r="L116" s="461"/>
      <x:c r="M116" s="593"/>
      <x:c r="N116" s="593"/>
      <x:c r="O116" s="593"/>
    </x:row>
    <x:row r="117" ht="38" customHeight="1">
      <x:c r="A117" s="461"/>
      <x:c r="B117" s="461"/>
      <x:c r="C117" s="461"/>
      <x:c r="D117" s="461"/>
      <x:c r="E117" s="495"/>
      <x:c r="F117" s="473"/>
      <x:c r="G117" s="461"/>
      <x:c r="H117" s="473"/>
      <x:c r="I117" s="461"/>
      <x:c r="J117" s="461"/>
      <x:c r="K117" s="461"/>
      <x:c r="L117" s="461"/>
      <x:c r="M117" s="593"/>
      <x:c r="N117" s="593"/>
      <x:c r="O117" s="593"/>
    </x:row>
    <x:row r="118" ht="38" customHeight="1">
      <x:c r="A118" s="461"/>
      <x:c r="B118" s="461"/>
      <x:c r="C118" s="461"/>
      <x:c r="D118" s="461"/>
      <x:c r="E118" s="495"/>
      <x:c r="F118" s="473"/>
      <x:c r="G118" s="461"/>
      <x:c r="H118" s="473"/>
      <x:c r="I118" s="461"/>
      <x:c r="J118" s="461"/>
      <x:c r="K118" s="461"/>
      <x:c r="L118" s="461"/>
      <x:c r="M118" s="593"/>
      <x:c r="N118" s="593"/>
      <x:c r="O118" s="593"/>
    </x:row>
    <x:row r="119" ht="38" customHeight="1">
      <x:c r="A119" s="461"/>
      <x:c r="B119" s="461"/>
      <x:c r="C119" s="461"/>
      <x:c r="D119" s="461"/>
      <x:c r="E119" s="495"/>
      <x:c r="F119" s="473"/>
      <x:c r="G119" s="461"/>
      <x:c r="H119" s="473"/>
      <x:c r="I119" s="461"/>
      <x:c r="J119" s="461"/>
      <x:c r="K119" s="461"/>
      <x:c r="L119" s="461"/>
      <x:c r="M119" s="593"/>
      <x:c r="N119" s="593"/>
      <x:c r="O119" s="593"/>
    </x:row>
    <x:row r="120" ht="38" customHeight="1">
      <x:c r="A120" s="461"/>
      <x:c r="B120" s="461"/>
      <x:c r="C120" s="461"/>
      <x:c r="D120" s="461"/>
      <x:c r="E120" s="495"/>
      <x:c r="F120" s="473"/>
      <x:c r="G120" s="461"/>
      <x:c r="H120" s="473"/>
      <x:c r="I120" s="461"/>
      <x:c r="J120" s="461"/>
      <x:c r="K120" s="461"/>
      <x:c r="L120" s="461"/>
      <x:c r="M120" s="593"/>
      <x:c r="N120" s="593"/>
      <x:c r="O120" s="593"/>
    </x:row>
    <x:row r="121" ht="38" customHeight="1">
      <x:c r="A121" s="461"/>
      <x:c r="B121" s="461"/>
      <x:c r="C121" s="461"/>
      <x:c r="D121" s="461"/>
      <x:c r="E121" s="495"/>
      <x:c r="F121" s="473"/>
      <x:c r="G121" s="461"/>
      <x:c r="H121" s="473"/>
      <x:c r="I121" s="461"/>
      <x:c r="J121" s="461"/>
      <x:c r="K121" s="461"/>
      <x:c r="L121" s="461"/>
      <x:c r="M121" s="593"/>
      <x:c r="N121" s="593"/>
      <x:c r="O121" s="593"/>
    </x:row>
    <x:row r="122" ht="38" customHeight="1">
      <x:c r="A122" s="461"/>
      <x:c r="B122" s="461"/>
      <x:c r="C122" s="461"/>
      <x:c r="D122" s="461"/>
      <x:c r="E122" s="495"/>
      <x:c r="F122" s="473"/>
      <x:c r="G122" s="461"/>
      <x:c r="H122" s="473"/>
      <x:c r="I122" s="461"/>
      <x:c r="J122" s="461"/>
      <x:c r="K122" s="461"/>
      <x:c r="L122" s="461"/>
      <x:c r="M122" s="593"/>
      <x:c r="N122" s="593"/>
      <x:c r="O122" s="593"/>
    </x:row>
    <x:row r="123" ht="38" customHeight="1">
      <x:c r="A123" s="461"/>
      <x:c r="B123" s="461"/>
      <x:c r="C123" s="461"/>
      <x:c r="D123" s="461"/>
      <x:c r="E123" s="495"/>
      <x:c r="F123" s="473"/>
      <x:c r="G123" s="461"/>
      <x:c r="H123" s="473"/>
      <x:c r="I123" s="461"/>
      <x:c r="J123" s="461"/>
      <x:c r="K123" s="461"/>
      <x:c r="L123" s="461"/>
      <x:c r="M123" s="593"/>
      <x:c r="N123" s="593"/>
      <x:c r="O123" s="593"/>
    </x:row>
    <x:row r="124" ht="38" customHeight="1">
      <x:c r="A124" s="461"/>
      <x:c r="B124" s="461"/>
      <x:c r="C124" s="461"/>
      <x:c r="D124" s="461"/>
      <x:c r="E124" s="495"/>
      <x:c r="F124" s="473"/>
      <x:c r="G124" s="461"/>
      <x:c r="H124" s="473"/>
      <x:c r="I124" s="461"/>
      <x:c r="J124" s="461"/>
      <x:c r="K124" s="461"/>
      <x:c r="L124" s="461"/>
      <x:c r="M124" s="593"/>
      <x:c r="N124" s="593"/>
      <x:c r="O124" s="593"/>
    </x:row>
    <x:row r="125" ht="38" customHeight="1">
      <x:c r="A125" s="461"/>
      <x:c r="B125" s="461"/>
      <x:c r="C125" s="461"/>
      <x:c r="D125" s="461"/>
      <x:c r="E125" s="495"/>
      <x:c r="F125" s="473"/>
      <x:c r="G125" s="461"/>
      <x:c r="H125" s="473"/>
      <x:c r="I125" s="461"/>
      <x:c r="J125" s="461"/>
      <x:c r="K125" s="461"/>
      <x:c r="L125" s="461"/>
      <x:c r="M125" s="593"/>
      <x:c r="N125" s="593"/>
      <x:c r="O125" s="593"/>
    </x:row>
    <x:row r="126" ht="38" customHeight="1">
      <x:c r="A126" s="461"/>
      <x:c r="B126" s="461"/>
      <x:c r="C126" s="461"/>
      <x:c r="D126" s="461"/>
      <x:c r="E126" s="495"/>
      <x:c r="F126" s="473"/>
      <x:c r="G126" s="461"/>
      <x:c r="H126" s="473"/>
      <x:c r="I126" s="461"/>
      <x:c r="J126" s="461"/>
      <x:c r="K126" s="461"/>
      <x:c r="L126" s="461"/>
      <x:c r="M126" s="593"/>
      <x:c r="N126" s="593"/>
      <x:c r="O126" s="593"/>
    </x:row>
    <x:row r="127" ht="38" customHeight="1">
      <x:c r="A127" s="461"/>
      <x:c r="B127" s="461"/>
      <x:c r="C127" s="461"/>
      <x:c r="D127" s="461"/>
      <x:c r="E127" s="495"/>
      <x:c r="F127" s="473"/>
      <x:c r="G127" s="461"/>
      <x:c r="H127" s="473"/>
      <x:c r="I127" s="461"/>
      <x:c r="J127" s="461"/>
      <x:c r="K127" s="461"/>
      <x:c r="L127" s="461"/>
      <x:c r="M127" s="593"/>
      <x:c r="N127" s="593"/>
      <x:c r="O127" s="593"/>
    </x:row>
    <x:row r="128" ht="38" customHeight="1">
      <x:c r="A128" s="461"/>
      <x:c r="B128" s="461"/>
      <x:c r="C128" s="461"/>
      <x:c r="D128" s="461"/>
      <x:c r="E128" s="495"/>
      <x:c r="F128" s="473"/>
      <x:c r="G128" s="461"/>
      <x:c r="H128" s="473"/>
      <x:c r="I128" s="461"/>
      <x:c r="J128" s="461"/>
      <x:c r="K128" s="461"/>
      <x:c r="L128" s="461"/>
      <x:c r="M128" s="593"/>
      <x:c r="N128" s="593"/>
      <x:c r="O128" s="593"/>
    </x:row>
    <x:row r="129" ht="38" customHeight="1">
      <x:c r="A129" s="461"/>
      <x:c r="B129" s="461"/>
      <x:c r="C129" s="461"/>
      <x:c r="D129" s="461"/>
      <x:c r="E129" s="495"/>
      <x:c r="F129" s="473"/>
      <x:c r="G129" s="461"/>
      <x:c r="H129" s="473"/>
      <x:c r="I129" s="461"/>
      <x:c r="J129" s="461"/>
      <x:c r="K129" s="461"/>
      <x:c r="L129" s="461"/>
      <x:c r="M129" s="593"/>
      <x:c r="N129" s="593"/>
      <x:c r="O129" s="593"/>
    </x:row>
    <x:row r="130" ht="38" customHeight="1">
      <x:c r="A130" s="461"/>
      <x:c r="B130" s="461"/>
      <x:c r="C130" s="461"/>
      <x:c r="D130" s="461"/>
      <x:c r="E130" s="495"/>
      <x:c r="F130" s="473"/>
      <x:c r="G130" s="461"/>
      <x:c r="H130" s="473"/>
      <x:c r="I130" s="461"/>
      <x:c r="J130" s="461"/>
      <x:c r="K130" s="461"/>
      <x:c r="L130" s="461"/>
      <x:c r="M130" s="593"/>
      <x:c r="N130" s="593"/>
      <x:c r="O130" s="593"/>
    </x:row>
    <x:row r="131" ht="38" customHeight="1">
      <x:c r="A131" s="461"/>
      <x:c r="B131" s="461"/>
      <x:c r="C131" s="461"/>
      <x:c r="D131" s="461"/>
      <x:c r="E131" s="495"/>
      <x:c r="F131" s="473"/>
      <x:c r="G131" s="461"/>
      <x:c r="H131" s="473"/>
      <x:c r="I131" s="461"/>
      <x:c r="J131" s="461"/>
      <x:c r="K131" s="461"/>
      <x:c r="L131" s="461"/>
      <x:c r="M131" s="593"/>
      <x:c r="N131" s="593"/>
      <x:c r="O131" s="593"/>
    </x:row>
    <x:row r="132" ht="38" customHeight="1">
      <x:c r="A132" s="461"/>
      <x:c r="B132" s="461"/>
      <x:c r="C132" s="461"/>
      <x:c r="D132" s="461"/>
      <x:c r="E132" s="495"/>
      <x:c r="F132" s="473"/>
      <x:c r="G132" s="461"/>
      <x:c r="H132" s="473"/>
      <x:c r="I132" s="461"/>
      <x:c r="J132" s="461"/>
      <x:c r="K132" s="461"/>
      <x:c r="L132" s="461"/>
      <x:c r="M132" s="593"/>
      <x:c r="N132" s="593"/>
      <x:c r="O132" s="593"/>
    </x:row>
    <x:row r="133" ht="38" customHeight="1">
      <x:c r="A133" s="461"/>
      <x:c r="B133" s="461"/>
      <x:c r="C133" s="461"/>
      <x:c r="D133" s="461"/>
      <x:c r="E133" s="495"/>
      <x:c r="F133" s="473"/>
      <x:c r="G133" s="461"/>
      <x:c r="H133" s="473"/>
      <x:c r="I133" s="461"/>
      <x:c r="J133" s="461"/>
      <x:c r="K133" s="461"/>
      <x:c r="L133" s="461"/>
      <x:c r="M133" s="593"/>
      <x:c r="N133" s="593"/>
      <x:c r="O133" s="593"/>
    </x:row>
    <x:row r="134" ht="38" customHeight="1">
      <x:c r="A134" s="461"/>
      <x:c r="B134" s="461"/>
      <x:c r="C134" s="461"/>
      <x:c r="D134" s="461"/>
      <x:c r="E134" s="495"/>
      <x:c r="F134" s="473"/>
      <x:c r="G134" s="461"/>
      <x:c r="H134" s="473"/>
      <x:c r="I134" s="461"/>
      <x:c r="J134" s="461"/>
      <x:c r="K134" s="461"/>
      <x:c r="L134" s="461"/>
      <x:c r="M134" s="593"/>
      <x:c r="N134" s="593"/>
      <x:c r="O134" s="593"/>
    </x:row>
    <x:row r="135" ht="38" customHeight="1">
      <x:c r="A135" s="461"/>
      <x:c r="B135" s="461"/>
      <x:c r="C135" s="461"/>
      <x:c r="D135" s="461"/>
      <x:c r="E135" s="495"/>
      <x:c r="F135" s="473"/>
      <x:c r="G135" s="461"/>
      <x:c r="H135" s="473"/>
      <x:c r="I135" s="461"/>
      <x:c r="J135" s="461"/>
      <x:c r="K135" s="461"/>
      <x:c r="L135" s="461"/>
      <x:c r="M135" s="593"/>
      <x:c r="N135" s="593"/>
      <x:c r="O135" s="593"/>
    </x:row>
    <x:row r="136" ht="38" customHeight="1">
      <x:c r="A136" s="461"/>
      <x:c r="B136" s="461"/>
      <x:c r="C136" s="461"/>
      <x:c r="D136" s="461"/>
      <x:c r="E136" s="495"/>
      <x:c r="F136" s="473"/>
      <x:c r="G136" s="461"/>
      <x:c r="H136" s="473"/>
      <x:c r="I136" s="461"/>
      <x:c r="J136" s="461"/>
      <x:c r="K136" s="461"/>
      <x:c r="L136" s="461"/>
      <x:c r="M136" s="593"/>
      <x:c r="N136" s="593"/>
      <x:c r="O136" s="593"/>
    </x:row>
    <x:row r="137" ht="38" customHeight="1">
      <x:c r="A137" s="461"/>
      <x:c r="B137" s="461"/>
      <x:c r="C137" s="461"/>
      <x:c r="D137" s="461"/>
      <x:c r="E137" s="495"/>
      <x:c r="F137" s="473"/>
      <x:c r="G137" s="461"/>
      <x:c r="H137" s="473"/>
      <x:c r="I137" s="461"/>
      <x:c r="J137" s="461"/>
      <x:c r="K137" s="461"/>
      <x:c r="L137" s="461"/>
      <x:c r="M137" s="593"/>
      <x:c r="N137" s="593"/>
      <x:c r="O137" s="593"/>
    </x:row>
    <x:row r="138" ht="38" customHeight="1">
      <x:c r="A138" s="461"/>
      <x:c r="B138" s="461"/>
      <x:c r="C138" s="461"/>
      <x:c r="D138" s="461"/>
      <x:c r="E138" s="495"/>
      <x:c r="F138" s="473"/>
      <x:c r="G138" s="461"/>
      <x:c r="H138" s="473"/>
      <x:c r="I138" s="461"/>
      <x:c r="J138" s="461"/>
      <x:c r="K138" s="461"/>
      <x:c r="L138" s="461"/>
      <x:c r="M138" s="593"/>
      <x:c r="N138" s="593"/>
      <x:c r="O138" s="593"/>
    </x:row>
    <x:row r="139" ht="38" customHeight="1">
      <x:c r="A139" s="461"/>
      <x:c r="B139" s="461"/>
      <x:c r="C139" s="461"/>
      <x:c r="D139" s="461"/>
      <x:c r="E139" s="495"/>
      <x:c r="F139" s="473"/>
      <x:c r="G139" s="461"/>
      <x:c r="H139" s="473"/>
      <x:c r="I139" s="461"/>
      <x:c r="J139" s="461"/>
      <x:c r="K139" s="461"/>
      <x:c r="L139" s="461"/>
      <x:c r="M139" s="593"/>
      <x:c r="N139" s="593"/>
      <x:c r="O139" s="593"/>
    </x:row>
    <x:row r="140" ht="38" customHeight="1">
      <x:c r="A140" s="461"/>
      <x:c r="B140" s="461"/>
      <x:c r="C140" s="461"/>
      <x:c r="D140" s="461"/>
      <x:c r="E140" s="495"/>
      <x:c r="F140" s="473"/>
      <x:c r="G140" s="461"/>
      <x:c r="H140" s="473"/>
      <x:c r="I140" s="461"/>
      <x:c r="J140" s="461"/>
      <x:c r="K140" s="461"/>
      <x:c r="L140" s="461"/>
      <x:c r="M140" s="593"/>
      <x:c r="N140" s="593"/>
      <x:c r="O140" s="593"/>
    </x:row>
    <x:row r="141" ht="38" customHeight="1">
      <x:c r="A141" s="461"/>
      <x:c r="B141" s="461"/>
      <x:c r="C141" s="461"/>
      <x:c r="D141" s="461"/>
      <x:c r="E141" s="495"/>
      <x:c r="F141" s="473"/>
      <x:c r="G141" s="461"/>
      <x:c r="H141" s="473"/>
      <x:c r="I141" s="461"/>
      <x:c r="J141" s="461"/>
      <x:c r="K141" s="461"/>
      <x:c r="L141" s="461"/>
      <x:c r="M141" s="593"/>
      <x:c r="N141" s="593"/>
      <x:c r="O141" s="593"/>
    </x:row>
    <x:row r="142" ht="38" customHeight="1">
      <x:c r="A142" s="461"/>
      <x:c r="B142" s="461"/>
      <x:c r="C142" s="461"/>
      <x:c r="D142" s="461"/>
      <x:c r="E142" s="495"/>
      <x:c r="F142" s="473"/>
      <x:c r="G142" s="461"/>
      <x:c r="H142" s="473"/>
      <x:c r="I142" s="461"/>
      <x:c r="J142" s="461"/>
      <x:c r="K142" s="461"/>
      <x:c r="L142" s="461"/>
      <x:c r="M142" s="593"/>
      <x:c r="N142" s="593"/>
      <x:c r="O142" s="593"/>
    </x:row>
    <x:row r="143" ht="38" customHeight="1">
      <x:c r="A143" s="461"/>
      <x:c r="B143" s="461"/>
      <x:c r="C143" s="461"/>
      <x:c r="D143" s="461"/>
      <x:c r="E143" s="495"/>
      <x:c r="F143" s="473"/>
      <x:c r="G143" s="461"/>
      <x:c r="H143" s="473"/>
      <x:c r="I143" s="461"/>
      <x:c r="J143" s="461"/>
      <x:c r="K143" s="461"/>
      <x:c r="L143" s="461"/>
      <x:c r="M143" s="593"/>
      <x:c r="N143" s="593"/>
      <x:c r="O143" s="593"/>
    </x:row>
    <x:row r="144" ht="38" customHeight="1">
      <x:c r="A144" s="461"/>
      <x:c r="B144" s="461"/>
      <x:c r="C144" s="461"/>
      <x:c r="D144" s="461"/>
      <x:c r="E144" s="495"/>
      <x:c r="F144" s="473"/>
      <x:c r="G144" s="461"/>
      <x:c r="H144" s="473"/>
      <x:c r="I144" s="461"/>
      <x:c r="J144" s="461"/>
      <x:c r="K144" s="461"/>
      <x:c r="L144" s="461"/>
      <x:c r="M144" s="593"/>
      <x:c r="N144" s="593"/>
      <x:c r="O144" s="593"/>
    </x:row>
    <x:row r="145" ht="38" customHeight="1">
      <x:c r="A145" s="461"/>
      <x:c r="B145" s="461"/>
      <x:c r="C145" s="461"/>
      <x:c r="D145" s="461"/>
      <x:c r="E145" s="495"/>
      <x:c r="F145" s="473"/>
      <x:c r="G145" s="461"/>
      <x:c r="H145" s="473"/>
      <x:c r="I145" s="461"/>
      <x:c r="J145" s="461"/>
      <x:c r="K145" s="461"/>
      <x:c r="L145" s="461"/>
      <x:c r="M145" s="593"/>
      <x:c r="N145" s="593"/>
      <x:c r="O145" s="593"/>
    </x:row>
    <x:row r="146" ht="38" customHeight="1">
      <x:c r="A146" s="461"/>
      <x:c r="B146" s="461"/>
      <x:c r="C146" s="461"/>
      <x:c r="D146" s="461"/>
      <x:c r="E146" s="495"/>
      <x:c r="F146" s="473"/>
      <x:c r="G146" s="461"/>
      <x:c r="H146" s="473"/>
      <x:c r="I146" s="461"/>
      <x:c r="J146" s="461"/>
      <x:c r="K146" s="461"/>
      <x:c r="L146" s="461"/>
      <x:c r="M146" s="593"/>
      <x:c r="N146" s="593"/>
      <x:c r="O146" s="593"/>
    </x:row>
    <x:row r="147" ht="38" customHeight="1">
      <x:c r="A147" s="461"/>
      <x:c r="B147" s="461"/>
      <x:c r="C147" s="461"/>
      <x:c r="D147" s="461"/>
      <x:c r="E147" s="495"/>
      <x:c r="F147" s="473"/>
      <x:c r="G147" s="461"/>
      <x:c r="H147" s="473"/>
      <x:c r="I147" s="461"/>
      <x:c r="J147" s="461"/>
      <x:c r="K147" s="461"/>
      <x:c r="L147" s="461"/>
      <x:c r="M147" s="593"/>
      <x:c r="N147" s="593"/>
      <x:c r="O147" s="593"/>
    </x:row>
    <x:row r="148" ht="38" customHeight="1">
      <x:c r="A148" s="461"/>
      <x:c r="B148" s="461"/>
      <x:c r="C148" s="461"/>
      <x:c r="D148" s="461"/>
      <x:c r="E148" s="495"/>
      <x:c r="F148" s="473"/>
      <x:c r="G148" s="461"/>
      <x:c r="H148" s="473"/>
      <x:c r="I148" s="461"/>
      <x:c r="J148" s="461"/>
      <x:c r="K148" s="461"/>
      <x:c r="L148" s="461"/>
      <x:c r="M148" s="593"/>
      <x:c r="N148" s="593"/>
      <x:c r="O148" s="593"/>
    </x:row>
    <x:row r="149" ht="38" customHeight="1">
      <x:c r="A149" s="461"/>
      <x:c r="B149" s="461"/>
      <x:c r="C149" s="461"/>
      <x:c r="D149" s="461"/>
      <x:c r="E149" s="495"/>
      <x:c r="F149" s="473"/>
      <x:c r="G149" s="461"/>
      <x:c r="H149" s="473"/>
      <x:c r="I149" s="461"/>
      <x:c r="J149" s="461"/>
      <x:c r="K149" s="461"/>
      <x:c r="L149" s="461"/>
      <x:c r="M149" s="593"/>
      <x:c r="N149" s="593"/>
      <x:c r="O149" s="593"/>
    </x:row>
    <x:row r="150" ht="38" customHeight="1">
      <x:c r="A150" s="461"/>
      <x:c r="B150" s="461"/>
      <x:c r="C150" s="461"/>
      <x:c r="D150" s="461"/>
      <x:c r="E150" s="495"/>
      <x:c r="F150" s="473"/>
      <x:c r="G150" s="461"/>
      <x:c r="H150" s="473"/>
      <x:c r="I150" s="461"/>
      <x:c r="J150" s="461"/>
      <x:c r="K150" s="461"/>
      <x:c r="L150" s="461"/>
      <x:c r="M150" s="593"/>
      <x:c r="N150" s="593"/>
      <x:c r="O150" s="593"/>
    </x:row>
    <x:row r="151" ht="38" customHeight="1">
      <x:c r="A151" s="461"/>
      <x:c r="B151" s="461"/>
      <x:c r="C151" s="461"/>
      <x:c r="D151" s="461"/>
      <x:c r="E151" s="495"/>
      <x:c r="F151" s="473"/>
      <x:c r="G151" s="461"/>
      <x:c r="H151" s="473"/>
      <x:c r="I151" s="461"/>
      <x:c r="J151" s="461"/>
      <x:c r="K151" s="461"/>
      <x:c r="L151" s="461"/>
      <x:c r="M151" s="593"/>
      <x:c r="N151" s="593"/>
      <x:c r="O151" s="593"/>
    </x:row>
    <x:row r="152" ht="38" customHeight="1">
      <x:c r="A152" s="461"/>
      <x:c r="B152" s="461"/>
      <x:c r="C152" s="461"/>
      <x:c r="D152" s="461"/>
      <x:c r="E152" s="495"/>
      <x:c r="F152" s="473"/>
      <x:c r="G152" s="461"/>
      <x:c r="H152" s="473"/>
      <x:c r="I152" s="461"/>
      <x:c r="J152" s="461"/>
      <x:c r="K152" s="461"/>
      <x:c r="L152" s="461"/>
      <x:c r="M152" s="593"/>
      <x:c r="N152" s="593"/>
      <x:c r="O152" s="593"/>
    </x:row>
    <x:row r="153" ht="38" customHeight="1">
      <x:c r="A153" s="461"/>
      <x:c r="B153" s="461"/>
      <x:c r="C153" s="461"/>
      <x:c r="D153" s="461"/>
      <x:c r="E153" s="495"/>
      <x:c r="F153" s="473"/>
      <x:c r="G153" s="461"/>
      <x:c r="H153" s="473"/>
      <x:c r="I153" s="461"/>
      <x:c r="J153" s="461"/>
      <x:c r="K153" s="461"/>
      <x:c r="L153" s="461"/>
      <x:c r="M153" s="593"/>
      <x:c r="N153" s="593"/>
      <x:c r="O153" s="593"/>
    </x:row>
    <x:row r="154" ht="38" customHeight="1">
      <x:c r="A154" s="461"/>
      <x:c r="B154" s="461"/>
      <x:c r="C154" s="461"/>
      <x:c r="D154" s="461"/>
      <x:c r="E154" s="495"/>
      <x:c r="F154" s="473"/>
      <x:c r="G154" s="461"/>
      <x:c r="H154" s="473"/>
      <x:c r="I154" s="461"/>
      <x:c r="J154" s="461"/>
      <x:c r="K154" s="461"/>
      <x:c r="L154" s="461"/>
      <x:c r="M154" s="593"/>
      <x:c r="N154" s="593"/>
      <x:c r="O154" s="593"/>
    </x:row>
    <x:row r="155" ht="38" customHeight="1">
      <x:c r="A155" s="461"/>
      <x:c r="B155" s="461"/>
      <x:c r="C155" s="461"/>
      <x:c r="D155" s="461"/>
      <x:c r="E155" s="495"/>
      <x:c r="F155" s="473"/>
      <x:c r="G155" s="461"/>
      <x:c r="H155" s="473"/>
      <x:c r="I155" s="461"/>
      <x:c r="J155" s="461"/>
      <x:c r="K155" s="461"/>
      <x:c r="L155" s="461"/>
      <x:c r="M155" s="593"/>
      <x:c r="N155" s="593"/>
      <x:c r="O155" s="593"/>
    </x:row>
    <x:row r="156" ht="38" customHeight="1">
      <x:c r="A156" s="461"/>
      <x:c r="B156" s="461"/>
      <x:c r="C156" s="461"/>
      <x:c r="D156" s="461"/>
      <x:c r="E156" s="495"/>
      <x:c r="F156" s="473"/>
      <x:c r="G156" s="461"/>
      <x:c r="H156" s="473"/>
      <x:c r="I156" s="461"/>
      <x:c r="J156" s="461"/>
      <x:c r="K156" s="461"/>
      <x:c r="L156" s="461"/>
      <x:c r="M156" s="593"/>
      <x:c r="N156" s="593"/>
      <x:c r="O156" s="593"/>
    </x:row>
    <x:row r="157" ht="38" customHeight="1">
      <x:c r="A157" s="461"/>
      <x:c r="B157" s="461"/>
      <x:c r="C157" s="461"/>
      <x:c r="D157" s="461"/>
      <x:c r="E157" s="495"/>
      <x:c r="F157" s="473"/>
      <x:c r="G157" s="461"/>
      <x:c r="H157" s="473"/>
      <x:c r="I157" s="461"/>
      <x:c r="J157" s="461"/>
      <x:c r="K157" s="461"/>
      <x:c r="L157" s="461"/>
      <x:c r="M157" s="593"/>
      <x:c r="N157" s="593"/>
      <x:c r="O157" s="593"/>
    </x:row>
    <x:row r="158" ht="38" customHeight="1">
      <x:c r="A158" s="461"/>
      <x:c r="B158" s="461"/>
      <x:c r="C158" s="461"/>
      <x:c r="D158" s="461"/>
      <x:c r="E158" s="495"/>
      <x:c r="F158" s="473"/>
      <x:c r="G158" s="461"/>
      <x:c r="H158" s="473"/>
      <x:c r="I158" s="461"/>
      <x:c r="J158" s="461"/>
      <x:c r="K158" s="461"/>
      <x:c r="L158" s="461"/>
      <x:c r="M158" s="593"/>
      <x:c r="N158" s="593"/>
      <x:c r="O158" s="593"/>
    </x:row>
    <x:row r="159" ht="38" customHeight="1">
      <x:c r="A159" s="461"/>
      <x:c r="B159" s="461"/>
      <x:c r="C159" s="461"/>
      <x:c r="D159" s="461"/>
      <x:c r="E159" s="495"/>
      <x:c r="F159" s="473"/>
      <x:c r="G159" s="461"/>
      <x:c r="H159" s="473"/>
      <x:c r="I159" s="461"/>
      <x:c r="J159" s="461"/>
      <x:c r="K159" s="461"/>
      <x:c r="L159" s="461"/>
      <x:c r="M159" s="593"/>
      <x:c r="N159" s="593"/>
      <x:c r="O159" s="593"/>
    </x:row>
    <x:row r="160" ht="38" customHeight="1">
      <x:c r="A160" s="461"/>
      <x:c r="B160" s="461"/>
      <x:c r="C160" s="461"/>
      <x:c r="D160" s="461"/>
      <x:c r="E160" s="495"/>
      <x:c r="F160" s="473"/>
      <x:c r="G160" s="461"/>
      <x:c r="H160" s="473"/>
      <x:c r="I160" s="461"/>
      <x:c r="J160" s="461"/>
      <x:c r="K160" s="461"/>
      <x:c r="L160" s="461"/>
      <x:c r="M160" s="593"/>
      <x:c r="N160" s="593"/>
      <x:c r="O160" s="593"/>
    </x:row>
    <x:row r="161" ht="38" customHeight="1">
      <x:c r="A161" s="461"/>
      <x:c r="B161" s="461"/>
      <x:c r="C161" s="461"/>
      <x:c r="D161" s="461"/>
      <x:c r="E161" s="495"/>
      <x:c r="F161" s="473"/>
      <x:c r="G161" s="461"/>
      <x:c r="H161" s="473"/>
      <x:c r="I161" s="461"/>
      <x:c r="J161" s="461"/>
      <x:c r="K161" s="461"/>
      <x:c r="L161" s="461"/>
      <x:c r="M161" s="593"/>
      <x:c r="N161" s="593"/>
      <x:c r="O161" s="593"/>
    </x:row>
    <x:row r="162" ht="38" customHeight="1">
      <x:c r="A162" s="461"/>
      <x:c r="B162" s="461"/>
      <x:c r="C162" s="461"/>
      <x:c r="D162" s="461"/>
      <x:c r="E162" s="495"/>
      <x:c r="F162" s="473"/>
      <x:c r="G162" s="461"/>
      <x:c r="H162" s="473"/>
      <x:c r="I162" s="461"/>
      <x:c r="J162" s="461"/>
      <x:c r="K162" s="461"/>
      <x:c r="L162" s="461"/>
      <x:c r="M162" s="593"/>
      <x:c r="N162" s="593"/>
      <x:c r="O162" s="593"/>
    </x:row>
    <x:row r="163" ht="38" customHeight="1">
      <x:c r="A163" s="461"/>
      <x:c r="B163" s="461"/>
      <x:c r="C163" s="461"/>
      <x:c r="D163" s="461"/>
      <x:c r="E163" s="495"/>
      <x:c r="F163" s="473"/>
      <x:c r="G163" s="461"/>
      <x:c r="H163" s="473"/>
      <x:c r="I163" s="461"/>
      <x:c r="J163" s="461"/>
      <x:c r="K163" s="461"/>
      <x:c r="L163" s="461"/>
      <x:c r="M163" s="593"/>
      <x:c r="N163" s="593"/>
      <x:c r="O163" s="593"/>
    </x:row>
    <x:row r="164" ht="38" customHeight="1">
      <x:c r="A164" s="461"/>
      <x:c r="B164" s="461"/>
      <x:c r="C164" s="461"/>
      <x:c r="D164" s="461"/>
      <x:c r="E164" s="495"/>
      <x:c r="F164" s="473"/>
      <x:c r="G164" s="461"/>
      <x:c r="H164" s="473"/>
      <x:c r="I164" s="461"/>
      <x:c r="J164" s="461"/>
      <x:c r="K164" s="461"/>
      <x:c r="L164" s="461"/>
      <x:c r="M164" s="593"/>
      <x:c r="N164" s="593"/>
      <x:c r="O164" s="593"/>
    </x:row>
    <x:row r="165" ht="38" customHeight="1">
      <x:c r="A165" s="461"/>
      <x:c r="B165" s="461"/>
      <x:c r="C165" s="461"/>
      <x:c r="D165" s="461"/>
      <x:c r="E165" s="495"/>
      <x:c r="F165" s="473"/>
      <x:c r="G165" s="461"/>
      <x:c r="H165" s="473"/>
      <x:c r="I165" s="461"/>
      <x:c r="J165" s="461"/>
      <x:c r="K165" s="461"/>
      <x:c r="L165" s="461"/>
      <x:c r="M165" s="593"/>
      <x:c r="N165" s="593"/>
      <x:c r="O165" s="593"/>
    </x:row>
    <x:row r="166" ht="38" customHeight="1">
      <x:c r="A166" s="461"/>
      <x:c r="B166" s="461"/>
      <x:c r="C166" s="461"/>
      <x:c r="D166" s="461"/>
      <x:c r="E166" s="495"/>
      <x:c r="F166" s="473"/>
      <x:c r="G166" s="461"/>
      <x:c r="H166" s="473"/>
      <x:c r="I166" s="461"/>
      <x:c r="J166" s="461"/>
      <x:c r="K166" s="461"/>
      <x:c r="L166" s="461"/>
      <x:c r="M166" s="593"/>
      <x:c r="N166" s="593"/>
      <x:c r="O166" s="593"/>
    </x:row>
    <x:row r="167" ht="38" customHeight="1">
      <x:c r="A167" s="461"/>
      <x:c r="B167" s="461"/>
      <x:c r="C167" s="461"/>
      <x:c r="D167" s="461"/>
      <x:c r="E167" s="495"/>
      <x:c r="F167" s="473"/>
      <x:c r="G167" s="461"/>
      <x:c r="H167" s="473"/>
      <x:c r="I167" s="461"/>
      <x:c r="J167" s="461"/>
      <x:c r="K167" s="461"/>
      <x:c r="L167" s="461"/>
      <x:c r="M167" s="593"/>
      <x:c r="N167" s="593"/>
      <x:c r="O167" s="593"/>
    </x:row>
    <x:row r="168" ht="38" customHeight="1">
      <x:c r="A168" s="461"/>
      <x:c r="B168" s="461"/>
      <x:c r="C168" s="461"/>
      <x:c r="D168" s="461"/>
      <x:c r="E168" s="495"/>
      <x:c r="F168" s="473"/>
      <x:c r="G168" s="461"/>
      <x:c r="H168" s="473"/>
      <x:c r="I168" s="461"/>
      <x:c r="J168" s="461"/>
      <x:c r="K168" s="461"/>
      <x:c r="L168" s="461"/>
      <x:c r="M168" s="593"/>
      <x:c r="N168" s="593"/>
      <x:c r="O168" s="593"/>
    </x:row>
    <x:row r="169" ht="38" customHeight="1">
      <x:c r="A169" s="461"/>
      <x:c r="B169" s="461"/>
      <x:c r="C169" s="461"/>
      <x:c r="D169" s="461"/>
      <x:c r="E169" s="495"/>
      <x:c r="F169" s="473"/>
      <x:c r="G169" s="461"/>
      <x:c r="H169" s="473"/>
      <x:c r="I169" s="461"/>
      <x:c r="J169" s="461"/>
      <x:c r="K169" s="461"/>
      <x:c r="L169" s="461"/>
      <x:c r="M169" s="593"/>
      <x:c r="N169" s="593"/>
      <x:c r="O169" s="593"/>
    </x:row>
    <x:row r="170" ht="38" customHeight="1">
      <x:c r="A170" s="461"/>
      <x:c r="B170" s="461"/>
      <x:c r="C170" s="461"/>
      <x:c r="D170" s="461"/>
      <x:c r="E170" s="495"/>
      <x:c r="F170" s="473"/>
      <x:c r="G170" s="461"/>
      <x:c r="H170" s="473"/>
      <x:c r="I170" s="461"/>
      <x:c r="J170" s="461"/>
      <x:c r="K170" s="461"/>
      <x:c r="L170" s="461"/>
      <x:c r="M170" s="593"/>
      <x:c r="N170" s="593"/>
      <x:c r="O170" s="593"/>
    </x:row>
    <x:row r="171" ht="38" customHeight="1">
      <x:c r="A171" s="461"/>
      <x:c r="B171" s="461"/>
      <x:c r="C171" s="461"/>
      <x:c r="D171" s="461"/>
      <x:c r="E171" s="495"/>
      <x:c r="F171" s="473"/>
      <x:c r="G171" s="461"/>
      <x:c r="H171" s="473"/>
      <x:c r="I171" s="461"/>
      <x:c r="J171" s="461"/>
      <x:c r="K171" s="461"/>
      <x:c r="L171" s="461"/>
      <x:c r="M171" s="593"/>
      <x:c r="N171" s="593"/>
      <x:c r="O171" s="593"/>
    </x:row>
    <x:row r="172" ht="38" customHeight="1">
      <x:c r="A172" s="461"/>
      <x:c r="B172" s="461"/>
      <x:c r="C172" s="461"/>
      <x:c r="D172" s="461"/>
      <x:c r="E172" s="495"/>
      <x:c r="F172" s="473"/>
      <x:c r="G172" s="461"/>
      <x:c r="H172" s="473"/>
      <x:c r="I172" s="461"/>
      <x:c r="J172" s="461"/>
      <x:c r="K172" s="461"/>
      <x:c r="L172" s="461"/>
      <x:c r="M172" s="593"/>
      <x:c r="N172" s="593"/>
      <x:c r="O172" s="593"/>
    </x:row>
    <x:row r="173" ht="38" customHeight="1">
      <x:c r="A173" s="461"/>
      <x:c r="B173" s="461"/>
      <x:c r="C173" s="461"/>
      <x:c r="D173" s="461"/>
      <x:c r="E173" s="495"/>
      <x:c r="F173" s="473"/>
      <x:c r="G173" s="461"/>
      <x:c r="H173" s="473"/>
      <x:c r="I173" s="461"/>
      <x:c r="J173" s="461"/>
      <x:c r="K173" s="461"/>
      <x:c r="L173" s="461"/>
      <x:c r="M173" s="593"/>
      <x:c r="N173" s="593"/>
      <x:c r="O173" s="593"/>
    </x:row>
    <x:row r="174" ht="38" customHeight="1">
      <x:c r="A174" s="461"/>
      <x:c r="B174" s="461"/>
      <x:c r="C174" s="461"/>
      <x:c r="D174" s="461"/>
      <x:c r="E174" s="495"/>
      <x:c r="F174" s="473"/>
      <x:c r="G174" s="461"/>
      <x:c r="H174" s="473"/>
      <x:c r="I174" s="461"/>
      <x:c r="J174" s="461"/>
      <x:c r="K174" s="461"/>
      <x:c r="L174" s="461"/>
      <x:c r="M174" s="593"/>
      <x:c r="N174" s="593"/>
      <x:c r="O174" s="593"/>
    </x:row>
    <x:row r="175" ht="38" customHeight="1">
      <x:c r="A175" s="461"/>
      <x:c r="B175" s="461"/>
      <x:c r="C175" s="461"/>
      <x:c r="D175" s="461"/>
      <x:c r="E175" s="495"/>
      <x:c r="F175" s="473"/>
      <x:c r="G175" s="461"/>
      <x:c r="H175" s="473"/>
      <x:c r="I175" s="461"/>
      <x:c r="J175" s="461"/>
      <x:c r="K175" s="461"/>
      <x:c r="L175" s="461"/>
      <x:c r="M175" s="593"/>
      <x:c r="N175" s="593"/>
      <x:c r="O175" s="593"/>
    </x:row>
    <x:row r="176" ht="38" customHeight="1">
      <x:c r="A176" s="461"/>
      <x:c r="B176" s="461"/>
      <x:c r="C176" s="461"/>
      <x:c r="D176" s="461"/>
      <x:c r="E176" s="495"/>
      <x:c r="F176" s="473"/>
      <x:c r="G176" s="461"/>
      <x:c r="H176" s="473"/>
      <x:c r="I176" s="461"/>
      <x:c r="J176" s="461"/>
      <x:c r="K176" s="461"/>
      <x:c r="L176" s="461"/>
      <x:c r="M176" s="593"/>
      <x:c r="N176" s="593"/>
      <x:c r="O176" s="593"/>
    </x:row>
    <x:row r="177" ht="38" customHeight="1">
      <x:c r="A177" s="461"/>
      <x:c r="B177" s="461"/>
      <x:c r="C177" s="461"/>
      <x:c r="D177" s="461"/>
      <x:c r="E177" s="495"/>
      <x:c r="F177" s="473"/>
      <x:c r="G177" s="461"/>
      <x:c r="H177" s="473"/>
      <x:c r="I177" s="461"/>
      <x:c r="J177" s="461"/>
      <x:c r="K177" s="461"/>
      <x:c r="L177" s="461"/>
      <x:c r="M177" s="593"/>
      <x:c r="N177" s="593"/>
      <x:c r="O177" s="593"/>
    </x:row>
    <x:row r="178" ht="38" customHeight="1">
      <x:c r="A178" s="461"/>
      <x:c r="B178" s="461"/>
      <x:c r="C178" s="461"/>
      <x:c r="D178" s="461"/>
      <x:c r="E178" s="495"/>
      <x:c r="F178" s="473"/>
      <x:c r="G178" s="461"/>
      <x:c r="H178" s="473"/>
      <x:c r="I178" s="461"/>
      <x:c r="J178" s="461"/>
      <x:c r="K178" s="461"/>
      <x:c r="L178" s="461"/>
      <x:c r="M178" s="593"/>
      <x:c r="N178" s="593"/>
      <x:c r="O178" s="593"/>
    </x:row>
    <x:row r="179" ht="38" customHeight="1">
      <x:c r="A179" s="461"/>
      <x:c r="B179" s="461"/>
      <x:c r="C179" s="461"/>
      <x:c r="D179" s="461"/>
      <x:c r="E179" s="495"/>
      <x:c r="F179" s="473"/>
      <x:c r="G179" s="461"/>
      <x:c r="H179" s="473"/>
      <x:c r="I179" s="461"/>
      <x:c r="J179" s="461"/>
      <x:c r="K179" s="461"/>
      <x:c r="L179" s="461"/>
      <x:c r="M179" s="593"/>
      <x:c r="N179" s="593"/>
      <x:c r="O179" s="593"/>
    </x:row>
    <x:row r="180" ht="38" customHeight="1">
      <x:c r="A180" s="461"/>
      <x:c r="B180" s="461"/>
      <x:c r="C180" s="461"/>
      <x:c r="D180" s="461"/>
      <x:c r="E180" s="495"/>
      <x:c r="F180" s="473"/>
      <x:c r="G180" s="461"/>
      <x:c r="H180" s="473"/>
      <x:c r="I180" s="461"/>
      <x:c r="J180" s="461"/>
      <x:c r="K180" s="461"/>
      <x:c r="L180" s="461"/>
      <x:c r="M180" s="593"/>
      <x:c r="N180" s="593"/>
      <x:c r="O180" s="593"/>
    </x:row>
    <x:row r="181" ht="38" customHeight="1">
      <x:c r="A181" s="461"/>
      <x:c r="B181" s="461"/>
      <x:c r="C181" s="461"/>
      <x:c r="D181" s="461"/>
      <x:c r="E181" s="495"/>
      <x:c r="F181" s="473"/>
      <x:c r="G181" s="461"/>
      <x:c r="H181" s="473"/>
      <x:c r="I181" s="461"/>
      <x:c r="J181" s="461"/>
      <x:c r="K181" s="461"/>
      <x:c r="L181" s="461"/>
      <x:c r="M181" s="593"/>
      <x:c r="N181" s="593"/>
      <x:c r="O181" s="593"/>
    </x:row>
    <x:row r="182" ht="38" customHeight="1">
      <x:c r="A182" s="461"/>
      <x:c r="B182" s="461"/>
      <x:c r="C182" s="461"/>
      <x:c r="D182" s="461"/>
      <x:c r="E182" s="495"/>
      <x:c r="F182" s="473"/>
      <x:c r="G182" s="461"/>
      <x:c r="H182" s="473"/>
      <x:c r="I182" s="461"/>
      <x:c r="J182" s="461"/>
      <x:c r="K182" s="461"/>
      <x:c r="L182" s="461"/>
      <x:c r="M182" s="593"/>
      <x:c r="N182" s="593"/>
      <x:c r="O182" s="593"/>
    </x:row>
    <x:row r="183" ht="38" customHeight="1">
      <x:c r="A183" s="461"/>
      <x:c r="B183" s="461"/>
      <x:c r="C183" s="461"/>
      <x:c r="D183" s="461"/>
      <x:c r="E183" s="495"/>
      <x:c r="F183" s="473"/>
      <x:c r="G183" s="461"/>
      <x:c r="H183" s="473"/>
      <x:c r="I183" s="461"/>
      <x:c r="J183" s="461"/>
      <x:c r="K183" s="461"/>
      <x:c r="L183" s="461"/>
      <x:c r="M183" s="593"/>
      <x:c r="N183" s="593"/>
      <x:c r="O183" s="593"/>
    </x:row>
    <x:row r="184" ht="38" customHeight="1">
      <x:c r="A184" s="461"/>
      <x:c r="B184" s="461"/>
      <x:c r="C184" s="461"/>
      <x:c r="D184" s="461"/>
      <x:c r="E184" s="495"/>
      <x:c r="F184" s="473"/>
      <x:c r="G184" s="461"/>
      <x:c r="H184" s="473"/>
      <x:c r="I184" s="461"/>
      <x:c r="J184" s="461"/>
      <x:c r="K184" s="461"/>
      <x:c r="L184" s="461"/>
      <x:c r="M184" s="593"/>
      <x:c r="N184" s="593"/>
      <x:c r="O184" s="593"/>
    </x:row>
    <x:row r="185" ht="38" customHeight="1">
      <x:c r="A185" s="461"/>
      <x:c r="B185" s="461"/>
      <x:c r="C185" s="461"/>
      <x:c r="D185" s="461"/>
      <x:c r="E185" s="495"/>
      <x:c r="F185" s="473"/>
      <x:c r="G185" s="461"/>
      <x:c r="H185" s="473"/>
      <x:c r="I185" s="461"/>
      <x:c r="J185" s="461"/>
      <x:c r="K185" s="461"/>
      <x:c r="L185" s="461"/>
      <x:c r="M185" s="593"/>
      <x:c r="N185" s="593"/>
      <x:c r="O185" s="593"/>
    </x:row>
    <x:row r="186" ht="38" customHeight="1">
      <x:c r="A186" s="461"/>
      <x:c r="B186" s="461"/>
      <x:c r="C186" s="461"/>
      <x:c r="D186" s="461"/>
      <x:c r="E186" s="495"/>
      <x:c r="F186" s="473"/>
      <x:c r="G186" s="461"/>
      <x:c r="H186" s="473"/>
      <x:c r="I186" s="461"/>
      <x:c r="J186" s="461"/>
      <x:c r="K186" s="461"/>
      <x:c r="L186" s="461"/>
      <x:c r="M186" s="593"/>
      <x:c r="N186" s="593"/>
      <x:c r="O186" s="593"/>
    </x:row>
    <x:row r="187" ht="38" customHeight="1">
      <x:c r="A187" s="461"/>
      <x:c r="B187" s="461"/>
      <x:c r="C187" s="461"/>
      <x:c r="D187" s="461"/>
      <x:c r="E187" s="495"/>
      <x:c r="F187" s="473"/>
      <x:c r="G187" s="461"/>
      <x:c r="H187" s="473"/>
      <x:c r="I187" s="461"/>
      <x:c r="J187" s="461"/>
      <x:c r="K187" s="461"/>
      <x:c r="L187" s="461"/>
      <x:c r="M187" s="593"/>
      <x:c r="N187" s="593"/>
      <x:c r="O187" s="593"/>
    </x:row>
    <x:row r="188" ht="38" customHeight="1">
      <x:c r="A188" s="461"/>
      <x:c r="B188" s="461"/>
      <x:c r="C188" s="461"/>
      <x:c r="D188" s="461"/>
      <x:c r="E188" s="495"/>
      <x:c r="F188" s="473"/>
      <x:c r="G188" s="461"/>
      <x:c r="H188" s="473"/>
      <x:c r="I188" s="461"/>
      <x:c r="J188" s="461"/>
      <x:c r="K188" s="461"/>
      <x:c r="L188" s="461"/>
      <x:c r="M188" s="593"/>
      <x:c r="N188" s="593"/>
      <x:c r="O188" s="593"/>
    </x:row>
    <x:row r="189" ht="38" customHeight="1">
      <x:c r="A189" s="461"/>
      <x:c r="B189" s="461"/>
      <x:c r="C189" s="461"/>
      <x:c r="D189" s="461"/>
      <x:c r="E189" s="495"/>
      <x:c r="F189" s="473"/>
      <x:c r="G189" s="461"/>
      <x:c r="H189" s="473"/>
      <x:c r="I189" s="461"/>
      <x:c r="J189" s="461"/>
      <x:c r="K189" s="461"/>
      <x:c r="L189" s="461"/>
      <x:c r="M189" s="593"/>
      <x:c r="N189" s="593"/>
      <x:c r="O189" s="593"/>
    </x:row>
    <x:row r="190" ht="38" customHeight="1">
      <x:c r="A190" s="461"/>
      <x:c r="B190" s="461"/>
      <x:c r="C190" s="461"/>
      <x:c r="D190" s="461"/>
      <x:c r="E190" s="495"/>
      <x:c r="F190" s="473"/>
      <x:c r="G190" s="461"/>
      <x:c r="H190" s="473"/>
      <x:c r="I190" s="461"/>
      <x:c r="J190" s="461"/>
      <x:c r="K190" s="461"/>
      <x:c r="L190" s="461"/>
      <x:c r="M190" s="593"/>
      <x:c r="N190" s="593"/>
      <x:c r="O190" s="593"/>
    </x:row>
    <x:row r="191" ht="38" customHeight="1">
      <x:c r="A191" s="461"/>
      <x:c r="B191" s="461"/>
      <x:c r="C191" s="461"/>
      <x:c r="D191" s="461"/>
      <x:c r="E191" s="495"/>
      <x:c r="F191" s="473"/>
      <x:c r="G191" s="461"/>
      <x:c r="H191" s="473"/>
      <x:c r="I191" s="461"/>
      <x:c r="J191" s="461"/>
      <x:c r="K191" s="461"/>
      <x:c r="L191" s="461"/>
      <x:c r="M191" s="593"/>
      <x:c r="N191" s="593"/>
      <x:c r="O191" s="593"/>
    </x:row>
    <x:row r="192" ht="38" customHeight="1">
      <x:c r="A192" s="461"/>
      <x:c r="B192" s="461"/>
      <x:c r="C192" s="461"/>
      <x:c r="D192" s="461"/>
      <x:c r="E192" s="495"/>
      <x:c r="F192" s="473"/>
      <x:c r="G192" s="461"/>
      <x:c r="H192" s="473"/>
      <x:c r="I192" s="461"/>
      <x:c r="J192" s="461"/>
      <x:c r="K192" s="461"/>
      <x:c r="L192" s="461"/>
      <x:c r="M192" s="593"/>
      <x:c r="N192" s="593"/>
      <x:c r="O192" s="593"/>
    </x:row>
    <x:row r="193" ht="38" customHeight="1">
      <x:c r="A193" s="461"/>
      <x:c r="B193" s="461"/>
      <x:c r="C193" s="461"/>
      <x:c r="D193" s="461"/>
      <x:c r="E193" s="495"/>
      <x:c r="F193" s="473"/>
      <x:c r="G193" s="461"/>
      <x:c r="H193" s="473"/>
      <x:c r="I193" s="461"/>
      <x:c r="J193" s="461"/>
      <x:c r="K193" s="461"/>
      <x:c r="L193" s="461"/>
      <x:c r="M193" s="593"/>
      <x:c r="N193" s="593"/>
      <x:c r="O193" s="593"/>
    </x:row>
    <x:row r="194" ht="38" customHeight="1">
      <x:c r="A194" s="461"/>
      <x:c r="B194" s="461"/>
      <x:c r="C194" s="461"/>
      <x:c r="D194" s="461"/>
      <x:c r="E194" s="495"/>
      <x:c r="F194" s="473"/>
      <x:c r="G194" s="461"/>
      <x:c r="H194" s="473"/>
      <x:c r="I194" s="461"/>
      <x:c r="J194" s="461"/>
      <x:c r="K194" s="461"/>
      <x:c r="L194" s="461"/>
      <x:c r="M194" s="593"/>
      <x:c r="N194" s="593"/>
      <x:c r="O194" s="593"/>
    </x:row>
    <x:row r="195" ht="38" customHeight="1">
      <x:c r="A195" s="461"/>
      <x:c r="B195" s="461"/>
      <x:c r="C195" s="461"/>
      <x:c r="D195" s="461"/>
      <x:c r="E195" s="495"/>
      <x:c r="F195" s="473"/>
      <x:c r="G195" s="461"/>
      <x:c r="H195" s="473"/>
      <x:c r="I195" s="461"/>
      <x:c r="J195" s="461"/>
      <x:c r="K195" s="461"/>
      <x:c r="L195" s="461"/>
      <x:c r="M195" s="593"/>
      <x:c r="N195" s="593"/>
      <x:c r="O195" s="593"/>
    </x:row>
    <x:row r="196" ht="38" customHeight="1">
      <x:c r="A196" s="461"/>
      <x:c r="B196" s="461"/>
      <x:c r="C196" s="461"/>
      <x:c r="D196" s="461"/>
      <x:c r="E196" s="495"/>
      <x:c r="F196" s="473"/>
      <x:c r="G196" s="461"/>
      <x:c r="H196" s="473"/>
      <x:c r="I196" s="461"/>
      <x:c r="J196" s="461"/>
      <x:c r="K196" s="461"/>
      <x:c r="L196" s="461"/>
      <x:c r="M196" s="593"/>
      <x:c r="N196" s="593"/>
      <x:c r="O196" s="593"/>
    </x:row>
    <x:row r="197" ht="38" customHeight="1">
      <x:c r="A197" s="461"/>
      <x:c r="B197" s="461"/>
      <x:c r="C197" s="461"/>
      <x:c r="D197" s="461"/>
      <x:c r="E197" s="495"/>
      <x:c r="F197" s="473"/>
      <x:c r="G197" s="461"/>
      <x:c r="H197" s="473"/>
      <x:c r="I197" s="461"/>
      <x:c r="J197" s="461"/>
      <x:c r="K197" s="461"/>
      <x:c r="L197" s="461"/>
      <x:c r="M197" s="593"/>
      <x:c r="N197" s="593"/>
      <x:c r="O197" s="593"/>
    </x:row>
    <x:row r="198" ht="38" customHeight="1">
      <x:c r="A198" s="461"/>
      <x:c r="B198" s="461"/>
      <x:c r="C198" s="461"/>
      <x:c r="D198" s="461"/>
      <x:c r="E198" s="495"/>
      <x:c r="F198" s="473"/>
      <x:c r="G198" s="461"/>
      <x:c r="H198" s="473"/>
      <x:c r="I198" s="461"/>
      <x:c r="J198" s="461"/>
      <x:c r="K198" s="461"/>
      <x:c r="L198" s="461"/>
      <x:c r="M198" s="593"/>
      <x:c r="N198" s="593"/>
      <x:c r="O198" s="593"/>
    </x:row>
    <x:row r="199" ht="38" customHeight="1">
      <x:c r="A199" s="461"/>
      <x:c r="B199" s="461"/>
      <x:c r="C199" s="461"/>
      <x:c r="D199" s="461"/>
      <x:c r="E199" s="495"/>
      <x:c r="F199" s="473"/>
      <x:c r="G199" s="461"/>
      <x:c r="H199" s="473"/>
      <x:c r="I199" s="461"/>
      <x:c r="J199" s="461"/>
      <x:c r="K199" s="461"/>
      <x:c r="L199" s="461"/>
      <x:c r="M199" s="593"/>
      <x:c r="N199" s="593"/>
      <x:c r="O199" s="593"/>
    </x:row>
    <x:row r="200" ht="38" customHeight="1">
      <x:c r="A200" s="461"/>
      <x:c r="B200" s="461"/>
      <x:c r="C200" s="461"/>
      <x:c r="D200" s="461"/>
      <x:c r="E200" s="495"/>
      <x:c r="F200" s="473"/>
      <x:c r="G200" s="461"/>
      <x:c r="H200" s="473"/>
      <x:c r="I200" s="461"/>
      <x:c r="J200" s="461"/>
      <x:c r="K200" s="461"/>
      <x:c r="L200" s="461"/>
      <x:c r="M200" s="593"/>
      <x:c r="N200" s="593"/>
      <x:c r="O200" s="593"/>
    </x:row>
    <x:row r="201" ht="38" customHeight="1">
      <x:c r="A201" s="461"/>
      <x:c r="B201" s="461"/>
      <x:c r="C201" s="461"/>
      <x:c r="D201" s="461"/>
      <x:c r="E201" s="495"/>
      <x:c r="F201" s="473"/>
      <x:c r="G201" s="461"/>
      <x:c r="H201" s="473"/>
      <x:c r="I201" s="461"/>
      <x:c r="J201" s="461"/>
      <x:c r="K201" s="461"/>
      <x:c r="L201" s="461"/>
      <x:c r="M201" s="593"/>
      <x:c r="N201" s="593"/>
      <x:c r="O201" s="593"/>
    </x:row>
    <x:row r="202" ht="38" customHeight="1">
      <x:c r="A202" s="461"/>
      <x:c r="B202" s="461"/>
      <x:c r="C202" s="461"/>
      <x:c r="D202" s="461"/>
      <x:c r="E202" s="495"/>
      <x:c r="F202" s="473"/>
      <x:c r="G202" s="461"/>
      <x:c r="H202" s="473"/>
      <x:c r="I202" s="461"/>
      <x:c r="J202" s="461"/>
      <x:c r="K202" s="461"/>
      <x:c r="L202" s="461"/>
      <x:c r="M202" s="593"/>
      <x:c r="N202" s="593"/>
      <x:c r="O202" s="593"/>
    </x:row>
    <x:row r="203" ht="38" customHeight="1">
      <x:c r="A203" s="461"/>
      <x:c r="B203" s="461"/>
      <x:c r="C203" s="461"/>
      <x:c r="D203" s="461"/>
      <x:c r="E203" s="495"/>
      <x:c r="F203" s="473"/>
      <x:c r="G203" s="461"/>
      <x:c r="H203" s="473"/>
      <x:c r="I203" s="461"/>
      <x:c r="J203" s="461"/>
      <x:c r="K203" s="461"/>
      <x:c r="L203" s="461"/>
      <x:c r="M203" s="593"/>
      <x:c r="N203" s="593"/>
      <x:c r="O203" s="593"/>
    </x:row>
    <x:row r="204" ht="38" customHeight="1">
      <x:c r="A204" s="461"/>
      <x:c r="B204" s="461"/>
      <x:c r="C204" s="461"/>
      <x:c r="D204" s="461"/>
      <x:c r="E204" s="495"/>
      <x:c r="F204" s="473"/>
      <x:c r="G204" s="461"/>
      <x:c r="H204" s="473"/>
      <x:c r="I204" s="461"/>
      <x:c r="J204" s="461"/>
      <x:c r="K204" s="461"/>
      <x:c r="L204" s="461"/>
      <x:c r="M204" s="593"/>
      <x:c r="N204" s="593"/>
      <x:c r="O204" s="593"/>
    </x:row>
    <x:row r="205" ht="38" customHeight="1">
      <x:c r="A205" s="461"/>
      <x:c r="B205" s="461"/>
      <x:c r="C205" s="461"/>
      <x:c r="D205" s="461"/>
      <x:c r="E205" s="495"/>
      <x:c r="F205" s="473"/>
      <x:c r="G205" s="461"/>
      <x:c r="H205" s="473"/>
      <x:c r="I205" s="461"/>
      <x:c r="J205" s="461"/>
      <x:c r="K205" s="461"/>
      <x:c r="L205" s="461"/>
      <x:c r="M205" s="593"/>
      <x:c r="N205" s="593"/>
      <x:c r="O205" s="593"/>
    </x:row>
    <x:row r="206" ht="38" customHeight="1">
      <x:c r="A206" s="461"/>
      <x:c r="B206" s="461"/>
      <x:c r="C206" s="461"/>
      <x:c r="D206" s="461"/>
      <x:c r="E206" s="495"/>
      <x:c r="F206" s="473"/>
      <x:c r="G206" s="461"/>
      <x:c r="H206" s="473"/>
      <x:c r="I206" s="461"/>
      <x:c r="J206" s="461"/>
      <x:c r="K206" s="461"/>
      <x:c r="L206" s="461"/>
      <x:c r="M206" s="593"/>
      <x:c r="N206" s="593"/>
      <x:c r="O206" s="593"/>
    </x:row>
    <x:row r="207" ht="38" customHeight="1">
      <x:c r="A207" s="461"/>
      <x:c r="B207" s="461"/>
      <x:c r="C207" s="461"/>
      <x:c r="D207" s="461"/>
      <x:c r="E207" s="495"/>
      <x:c r="F207" s="473"/>
      <x:c r="G207" s="461"/>
      <x:c r="H207" s="473"/>
      <x:c r="I207" s="461"/>
      <x:c r="J207" s="461"/>
      <x:c r="K207" s="461"/>
      <x:c r="L207" s="461"/>
      <x:c r="M207" s="593"/>
      <x:c r="N207" s="593"/>
      <x:c r="O207" s="593"/>
    </x:row>
    <x:row r="208" ht="38" customHeight="1">
      <x:c r="A208" s="461"/>
      <x:c r="B208" s="461"/>
      <x:c r="C208" s="461"/>
      <x:c r="D208" s="461"/>
      <x:c r="E208" s="495"/>
      <x:c r="F208" s="473"/>
      <x:c r="G208" s="461"/>
      <x:c r="H208" s="473"/>
      <x:c r="I208" s="461"/>
      <x:c r="J208" s="461"/>
      <x:c r="K208" s="461"/>
      <x:c r="L208" s="461"/>
      <x:c r="M208" s="593"/>
      <x:c r="N208" s="593"/>
      <x:c r="O208" s="593"/>
    </x:row>
    <x:row r="209" ht="38" customHeight="1">
      <x:c r="A209" s="461"/>
      <x:c r="B209" s="461"/>
      <x:c r="C209" s="461"/>
      <x:c r="D209" s="461"/>
      <x:c r="E209" s="495"/>
      <x:c r="F209" s="473"/>
      <x:c r="G209" s="461"/>
      <x:c r="H209" s="473"/>
      <x:c r="I209" s="461"/>
      <x:c r="J209" s="461"/>
      <x:c r="K209" s="461"/>
      <x:c r="L209" s="461"/>
      <x:c r="M209" s="593"/>
      <x:c r="N209" s="593"/>
      <x:c r="O209" s="593"/>
    </x:row>
    <x:row r="210" ht="38" customHeight="1">
      <x:c r="A210" s="461"/>
      <x:c r="B210" s="461"/>
      <x:c r="C210" s="461"/>
      <x:c r="D210" s="461"/>
      <x:c r="E210" s="495"/>
      <x:c r="F210" s="473"/>
      <x:c r="G210" s="461"/>
      <x:c r="H210" s="473"/>
      <x:c r="I210" s="461"/>
      <x:c r="J210" s="461"/>
      <x:c r="K210" s="461"/>
      <x:c r="L210" s="461"/>
      <x:c r="M210" s="593"/>
      <x:c r="N210" s="593"/>
      <x:c r="O210" s="593"/>
    </x:row>
    <x:row r="211" ht="38" customHeight="1">
      <x:c r="A211" s="461"/>
      <x:c r="B211" s="461"/>
      <x:c r="C211" s="461"/>
      <x:c r="D211" s="461"/>
      <x:c r="E211" s="495"/>
      <x:c r="F211" s="473"/>
      <x:c r="G211" s="461"/>
      <x:c r="H211" s="473"/>
      <x:c r="I211" s="461"/>
      <x:c r="J211" s="461"/>
      <x:c r="K211" s="461"/>
      <x:c r="L211" s="461"/>
      <x:c r="M211" s="593"/>
      <x:c r="N211" s="593"/>
      <x:c r="O211" s="593"/>
    </x:row>
    <x:row r="212" ht="38" customHeight="1">
      <x:c r="A212" s="461"/>
      <x:c r="B212" s="461"/>
      <x:c r="C212" s="461"/>
      <x:c r="D212" s="461"/>
      <x:c r="E212" s="495"/>
      <x:c r="F212" s="473"/>
      <x:c r="G212" s="461"/>
      <x:c r="H212" s="473"/>
      <x:c r="I212" s="461"/>
      <x:c r="J212" s="461"/>
      <x:c r="K212" s="461"/>
      <x:c r="L212" s="461"/>
      <x:c r="M212" s="593"/>
      <x:c r="N212" s="593"/>
      <x:c r="O212" s="593"/>
    </x:row>
    <x:row r="213" ht="38" customHeight="1">
      <x:c r="A213" s="461"/>
      <x:c r="B213" s="461"/>
      <x:c r="C213" s="461"/>
      <x:c r="D213" s="461"/>
      <x:c r="E213" s="495"/>
      <x:c r="F213" s="473"/>
      <x:c r="G213" s="461"/>
      <x:c r="H213" s="473"/>
      <x:c r="I213" s="461"/>
      <x:c r="J213" s="461"/>
      <x:c r="K213" s="461"/>
      <x:c r="L213" s="461"/>
      <x:c r="M213" s="593"/>
      <x:c r="N213" s="593"/>
      <x:c r="O213" s="593"/>
    </x:row>
    <x:row r="214" ht="38" customHeight="1">
      <x:c r="A214" s="461"/>
      <x:c r="B214" s="461"/>
      <x:c r="C214" s="461"/>
      <x:c r="D214" s="461"/>
      <x:c r="E214" s="495"/>
      <x:c r="F214" s="473"/>
      <x:c r="G214" s="461"/>
      <x:c r="H214" s="473"/>
      <x:c r="I214" s="461"/>
      <x:c r="J214" s="461"/>
      <x:c r="K214" s="461"/>
      <x:c r="L214" s="461"/>
      <x:c r="M214" s="593"/>
      <x:c r="N214" s="593"/>
      <x:c r="O214" s="593"/>
    </x:row>
    <x:row r="215" ht="38" customHeight="1">
      <x:c r="A215" s="461"/>
      <x:c r="B215" s="461"/>
      <x:c r="C215" s="461"/>
      <x:c r="D215" s="461"/>
      <x:c r="E215" s="495"/>
      <x:c r="F215" s="473"/>
      <x:c r="G215" s="461"/>
      <x:c r="H215" s="473"/>
      <x:c r="I215" s="461"/>
      <x:c r="J215" s="461"/>
      <x:c r="K215" s="461"/>
      <x:c r="L215" s="461"/>
      <x:c r="M215" s="593"/>
      <x:c r="N215" s="593"/>
      <x:c r="O215" s="593"/>
    </x:row>
    <x:row r="216" ht="38" customHeight="1">
      <x:c r="A216" s="461"/>
      <x:c r="B216" s="461"/>
      <x:c r="C216" s="461"/>
      <x:c r="D216" s="461"/>
      <x:c r="E216" s="495"/>
      <x:c r="F216" s="473"/>
      <x:c r="G216" s="461"/>
      <x:c r="H216" s="473"/>
      <x:c r="I216" s="461"/>
      <x:c r="J216" s="461"/>
      <x:c r="K216" s="461"/>
      <x:c r="L216" s="461"/>
      <x:c r="M216" s="593"/>
      <x:c r="N216" s="593"/>
      <x:c r="O216" s="593"/>
    </x:row>
    <x:row r="217" ht="38" customHeight="1">
      <x:c r="A217" s="461"/>
      <x:c r="B217" s="461"/>
      <x:c r="C217" s="461"/>
      <x:c r="D217" s="461"/>
      <x:c r="E217" s="495"/>
      <x:c r="F217" s="473"/>
      <x:c r="G217" s="461"/>
      <x:c r="H217" s="473"/>
      <x:c r="I217" s="461"/>
      <x:c r="J217" s="461"/>
      <x:c r="K217" s="461"/>
      <x:c r="L217" s="461"/>
      <x:c r="M217" s="593"/>
      <x:c r="N217" s="593"/>
      <x:c r="O217" s="593"/>
    </x:row>
    <x:row r="218" ht="38" customHeight="1">
      <x:c r="A218" s="461"/>
      <x:c r="B218" s="461"/>
      <x:c r="C218" s="461"/>
      <x:c r="D218" s="461"/>
      <x:c r="E218" s="495"/>
      <x:c r="F218" s="473"/>
      <x:c r="G218" s="461"/>
      <x:c r="H218" s="473"/>
      <x:c r="I218" s="461"/>
      <x:c r="J218" s="461"/>
      <x:c r="K218" s="461"/>
      <x:c r="L218" s="461"/>
      <x:c r="M218" s="593"/>
      <x:c r="N218" s="593"/>
      <x:c r="O218" s="593"/>
    </x:row>
    <x:row r="219" ht="38" customHeight="1">
      <x:c r="A219" s="461"/>
      <x:c r="B219" s="461"/>
      <x:c r="C219" s="461"/>
      <x:c r="D219" s="461"/>
      <x:c r="E219" s="495"/>
      <x:c r="F219" s="473"/>
      <x:c r="G219" s="461"/>
      <x:c r="H219" s="473"/>
      <x:c r="I219" s="461"/>
      <x:c r="J219" s="461"/>
      <x:c r="K219" s="461"/>
      <x:c r="L219" s="461"/>
      <x:c r="M219" s="593"/>
      <x:c r="N219" s="593"/>
      <x:c r="O219" s="593"/>
    </x:row>
    <x:row r="220" ht="38" customHeight="1">
      <x:c r="A220" s="461"/>
      <x:c r="B220" s="461"/>
      <x:c r="C220" s="461"/>
      <x:c r="D220" s="461"/>
      <x:c r="E220" s="495"/>
      <x:c r="F220" s="473"/>
      <x:c r="G220" s="461"/>
      <x:c r="H220" s="473"/>
      <x:c r="I220" s="461"/>
      <x:c r="J220" s="461"/>
      <x:c r="K220" s="461"/>
      <x:c r="L220" s="461"/>
      <x:c r="M220" s="593"/>
      <x:c r="N220" s="593"/>
      <x:c r="O220" s="593"/>
    </x:row>
    <x:row r="221" ht="38" customHeight="1">
      <x:c r="A221" s="461"/>
      <x:c r="B221" s="461"/>
      <x:c r="C221" s="461"/>
      <x:c r="D221" s="461"/>
      <x:c r="E221" s="495"/>
      <x:c r="F221" s="473"/>
      <x:c r="G221" s="461"/>
      <x:c r="H221" s="473"/>
      <x:c r="I221" s="461"/>
      <x:c r="J221" s="461"/>
      <x:c r="K221" s="461"/>
      <x:c r="L221" s="461"/>
      <x:c r="M221" s="593"/>
      <x:c r="N221" s="593"/>
      <x:c r="O221" s="593"/>
    </x:row>
    <x:row r="222" ht="38" customHeight="1">
      <x:c r="A222" s="461"/>
      <x:c r="B222" s="461"/>
      <x:c r="C222" s="461"/>
      <x:c r="D222" s="461"/>
      <x:c r="E222" s="495"/>
      <x:c r="F222" s="473"/>
      <x:c r="G222" s="461"/>
      <x:c r="H222" s="473"/>
      <x:c r="I222" s="461"/>
      <x:c r="J222" s="461"/>
      <x:c r="K222" s="461"/>
      <x:c r="L222" s="461"/>
      <x:c r="M222" s="593"/>
      <x:c r="N222" s="593"/>
      <x:c r="O222" s="593"/>
    </x:row>
    <x:row r="223" ht="38" customHeight="1">
      <x:c r="A223" s="461"/>
      <x:c r="B223" s="461"/>
      <x:c r="C223" s="461"/>
      <x:c r="D223" s="461"/>
      <x:c r="E223" s="495"/>
      <x:c r="F223" s="473"/>
      <x:c r="G223" s="461"/>
      <x:c r="H223" s="473"/>
      <x:c r="I223" s="461"/>
      <x:c r="J223" s="461"/>
      <x:c r="K223" s="461"/>
      <x:c r="L223" s="461"/>
      <x:c r="M223" s="593"/>
      <x:c r="N223" s="593"/>
      <x:c r="O223" s="593"/>
    </x:row>
    <x:row r="224" ht="38" customHeight="1">
      <x:c r="A224" s="461"/>
      <x:c r="B224" s="461"/>
      <x:c r="C224" s="461"/>
      <x:c r="D224" s="461"/>
      <x:c r="E224" s="495"/>
      <x:c r="F224" s="473"/>
      <x:c r="G224" s="461"/>
      <x:c r="H224" s="473"/>
      <x:c r="I224" s="461"/>
      <x:c r="J224" s="461"/>
      <x:c r="K224" s="461"/>
      <x:c r="L224" s="461"/>
      <x:c r="M224" s="593"/>
      <x:c r="N224" s="593"/>
      <x:c r="O224" s="593"/>
    </x:row>
    <x:row r="225" ht="38" customHeight="1">
      <x:c r="A225" s="461"/>
      <x:c r="B225" s="461"/>
      <x:c r="C225" s="461"/>
      <x:c r="D225" s="461"/>
      <x:c r="E225" s="495"/>
      <x:c r="F225" s="473"/>
      <x:c r="G225" s="461"/>
      <x:c r="H225" s="473"/>
      <x:c r="I225" s="461"/>
      <x:c r="J225" s="461"/>
      <x:c r="K225" s="461"/>
      <x:c r="L225" s="461"/>
      <x:c r="M225" s="593"/>
      <x:c r="N225" s="593"/>
      <x:c r="O225" s="593"/>
    </x:row>
    <x:row r="226" ht="38" customHeight="1">
      <x:c r="A226" s="461"/>
      <x:c r="B226" s="461"/>
      <x:c r="C226" s="461"/>
      <x:c r="D226" s="461"/>
      <x:c r="E226" s="495"/>
      <x:c r="F226" s="473"/>
      <x:c r="G226" s="461"/>
      <x:c r="H226" s="473"/>
      <x:c r="I226" s="461"/>
      <x:c r="J226" s="461"/>
      <x:c r="K226" s="461"/>
      <x:c r="L226" s="461"/>
      <x:c r="M226" s="593"/>
      <x:c r="N226" s="593"/>
      <x:c r="O226" s="593"/>
    </x:row>
    <x:row r="227" ht="38" customHeight="1">
      <x:c r="A227" s="461"/>
      <x:c r="B227" s="461"/>
      <x:c r="C227" s="461"/>
      <x:c r="D227" s="461"/>
      <x:c r="E227" s="495"/>
      <x:c r="F227" s="473"/>
      <x:c r="G227" s="461"/>
      <x:c r="H227" s="473"/>
      <x:c r="I227" s="461"/>
      <x:c r="J227" s="461"/>
      <x:c r="K227" s="461"/>
      <x:c r="L227" s="461"/>
      <x:c r="M227" s="593"/>
      <x:c r="N227" s="593"/>
      <x:c r="O227" s="593"/>
    </x:row>
    <x:row r="228" ht="38" customHeight="1">
      <x:c r="A228" s="461"/>
      <x:c r="B228" s="461"/>
      <x:c r="C228" s="461"/>
      <x:c r="D228" s="461"/>
      <x:c r="E228" s="495"/>
      <x:c r="F228" s="473"/>
      <x:c r="G228" s="461"/>
      <x:c r="H228" s="473"/>
      <x:c r="I228" s="461"/>
      <x:c r="J228" s="461"/>
      <x:c r="K228" s="461"/>
      <x:c r="L228" s="461"/>
      <x:c r="M228" s="593"/>
      <x:c r="N228" s="593"/>
      <x:c r="O228" s="593"/>
    </x:row>
    <x:row r="229" ht="38" customHeight="1">
      <x:c r="A229" s="461"/>
      <x:c r="B229" s="461"/>
      <x:c r="C229" s="461"/>
      <x:c r="D229" s="461"/>
      <x:c r="E229" s="495"/>
      <x:c r="F229" s="473"/>
      <x:c r="G229" s="461"/>
      <x:c r="H229" s="473"/>
      <x:c r="I229" s="461"/>
      <x:c r="J229" s="461"/>
      <x:c r="K229" s="461"/>
      <x:c r="L229" s="461"/>
      <x:c r="M229" s="593"/>
      <x:c r="N229" s="593"/>
      <x:c r="O229" s="593"/>
    </x:row>
    <x:row r="230" ht="38" customHeight="1">
      <x:c r="A230" s="461"/>
      <x:c r="B230" s="461"/>
      <x:c r="C230" s="461"/>
      <x:c r="D230" s="461"/>
      <x:c r="E230" s="495"/>
      <x:c r="F230" s="473"/>
      <x:c r="G230" s="461"/>
      <x:c r="H230" s="473"/>
      <x:c r="I230" s="461"/>
      <x:c r="J230" s="461"/>
      <x:c r="K230" s="461"/>
      <x:c r="L230" s="461"/>
      <x:c r="M230" s="593"/>
      <x:c r="N230" s="593"/>
      <x:c r="O230" s="593"/>
    </x:row>
    <x:row r="231" ht="38" customHeight="1">
      <x:c r="A231" s="461"/>
      <x:c r="B231" s="461"/>
      <x:c r="C231" s="461"/>
      <x:c r="D231" s="461"/>
      <x:c r="E231" s="495"/>
      <x:c r="F231" s="473"/>
      <x:c r="G231" s="461"/>
      <x:c r="H231" s="473"/>
      <x:c r="I231" s="461"/>
      <x:c r="J231" s="461"/>
      <x:c r="K231" s="461"/>
      <x:c r="L231" s="461"/>
      <x:c r="M231" s="593"/>
      <x:c r="N231" s="593"/>
      <x:c r="O231" s="593"/>
    </x:row>
    <x:row r="232" ht="38" customHeight="1">
      <x:c r="A232" s="461"/>
      <x:c r="B232" s="461"/>
      <x:c r="C232" s="461"/>
      <x:c r="D232" s="461"/>
      <x:c r="E232" s="495"/>
      <x:c r="F232" s="473"/>
      <x:c r="G232" s="461"/>
      <x:c r="H232" s="473"/>
      <x:c r="I232" s="461"/>
      <x:c r="J232" s="461"/>
      <x:c r="K232" s="461"/>
      <x:c r="L232" s="461"/>
      <x:c r="M232" s="593"/>
      <x:c r="N232" s="593"/>
      <x:c r="O232" s="593"/>
    </x:row>
    <x:row r="233" ht="38" customHeight="1">
      <x:c r="A233" s="461"/>
      <x:c r="B233" s="461"/>
      <x:c r="C233" s="461"/>
      <x:c r="D233" s="461"/>
      <x:c r="E233" s="495"/>
      <x:c r="F233" s="473"/>
      <x:c r="G233" s="461"/>
      <x:c r="H233" s="473"/>
      <x:c r="I233" s="461"/>
      <x:c r="J233" s="461"/>
      <x:c r="K233" s="461"/>
      <x:c r="L233" s="461"/>
      <x:c r="M233" s="593"/>
      <x:c r="N233" s="593"/>
      <x:c r="O233" s="593"/>
    </x:row>
    <x:row r="234" ht="38" customHeight="1">
      <x:c r="A234" s="461"/>
      <x:c r="B234" s="461"/>
      <x:c r="C234" s="461"/>
      <x:c r="D234" s="461"/>
      <x:c r="E234" s="495"/>
      <x:c r="F234" s="473"/>
      <x:c r="G234" s="461"/>
      <x:c r="H234" s="473"/>
      <x:c r="I234" s="461"/>
      <x:c r="J234" s="461"/>
      <x:c r="K234" s="461"/>
      <x:c r="L234" s="461"/>
      <x:c r="M234" s="593"/>
      <x:c r="N234" s="593"/>
      <x:c r="O234" s="593"/>
    </x:row>
    <x:row r="235" ht="38" customHeight="1">
      <x:c r="A235" s="461"/>
      <x:c r="B235" s="461"/>
      <x:c r="C235" s="461"/>
      <x:c r="D235" s="461"/>
      <x:c r="E235" s="495"/>
      <x:c r="F235" s="473"/>
      <x:c r="G235" s="461"/>
      <x:c r="H235" s="473"/>
      <x:c r="I235" s="461"/>
      <x:c r="J235" s="461"/>
      <x:c r="K235" s="461"/>
      <x:c r="L235" s="461"/>
      <x:c r="M235" s="593"/>
      <x:c r="N235" s="593"/>
      <x:c r="O235" s="593"/>
    </x:row>
    <x:row r="236" ht="38" customHeight="1">
      <x:c r="A236" s="461"/>
      <x:c r="B236" s="461"/>
      <x:c r="C236" s="461"/>
      <x:c r="D236" s="461"/>
      <x:c r="E236" s="495"/>
      <x:c r="F236" s="473"/>
      <x:c r="G236" s="461"/>
      <x:c r="H236" s="473"/>
      <x:c r="I236" s="461"/>
      <x:c r="J236" s="461"/>
      <x:c r="K236" s="461"/>
      <x:c r="L236" s="461"/>
      <x:c r="M236" s="593"/>
      <x:c r="N236" s="593"/>
      <x:c r="O236" s="593"/>
    </x:row>
    <x:row r="237" ht="38" customHeight="1">
      <x:c r="A237" s="461"/>
      <x:c r="B237" s="461"/>
      <x:c r="C237" s="461"/>
      <x:c r="D237" s="461"/>
      <x:c r="E237" s="495"/>
      <x:c r="F237" s="473"/>
      <x:c r="G237" s="461"/>
      <x:c r="H237" s="473"/>
      <x:c r="I237" s="461"/>
      <x:c r="J237" s="461"/>
      <x:c r="K237" s="461"/>
      <x:c r="L237" s="461"/>
      <x:c r="M237" s="593"/>
      <x:c r="N237" s="593"/>
      <x:c r="O237" s="593"/>
    </x:row>
    <x:row r="238" ht="38" customHeight="1">
      <x:c r="A238" s="461"/>
      <x:c r="B238" s="461"/>
      <x:c r="C238" s="461"/>
      <x:c r="D238" s="461"/>
      <x:c r="E238" s="495"/>
      <x:c r="F238" s="473"/>
      <x:c r="G238" s="461"/>
      <x:c r="H238" s="473"/>
      <x:c r="I238" s="461"/>
      <x:c r="J238" s="461"/>
      <x:c r="K238" s="461"/>
      <x:c r="L238" s="461"/>
      <x:c r="M238" s="593"/>
      <x:c r="N238" s="593"/>
      <x:c r="O238" s="593"/>
    </x:row>
    <x:row r="239" ht="38" customHeight="1">
      <x:c r="A239" s="461"/>
      <x:c r="B239" s="461"/>
      <x:c r="C239" s="461"/>
      <x:c r="D239" s="461"/>
      <x:c r="E239" s="495"/>
      <x:c r="F239" s="473"/>
      <x:c r="G239" s="461"/>
      <x:c r="H239" s="473"/>
      <x:c r="I239" s="461"/>
      <x:c r="J239" s="461"/>
      <x:c r="K239" s="461"/>
      <x:c r="L239" s="461"/>
      <x:c r="M239" s="593"/>
      <x:c r="N239" s="593"/>
      <x:c r="O239" s="593"/>
    </x:row>
    <x:row r="240" ht="38" customHeight="1">
      <x:c r="A240" s="461"/>
      <x:c r="B240" s="461"/>
      <x:c r="C240" s="461"/>
      <x:c r="D240" s="461"/>
      <x:c r="E240" s="495"/>
      <x:c r="F240" s="473"/>
      <x:c r="G240" s="461"/>
      <x:c r="H240" s="473"/>
      <x:c r="I240" s="461"/>
      <x:c r="J240" s="461"/>
      <x:c r="K240" s="461"/>
      <x:c r="L240" s="461"/>
      <x:c r="M240" s="593"/>
      <x:c r="N240" s="593"/>
      <x:c r="O240" s="593"/>
    </x:row>
    <x:row r="241" ht="38" customHeight="1">
      <x:c r="A241" s="461"/>
      <x:c r="B241" s="461"/>
      <x:c r="C241" s="461"/>
      <x:c r="D241" s="461"/>
      <x:c r="E241" s="495"/>
      <x:c r="F241" s="473"/>
      <x:c r="G241" s="461"/>
      <x:c r="H241" s="473"/>
      <x:c r="I241" s="461"/>
      <x:c r="J241" s="461"/>
      <x:c r="K241" s="461"/>
      <x:c r="L241" s="461"/>
      <x:c r="M241" s="593"/>
      <x:c r="N241" s="593"/>
      <x:c r="O241" s="593"/>
    </x:row>
    <x:row r="242" ht="38" customHeight="1">
      <x:c r="A242" s="461"/>
      <x:c r="B242" s="461"/>
      <x:c r="C242" s="461"/>
      <x:c r="D242" s="461"/>
      <x:c r="E242" s="495"/>
      <x:c r="F242" s="473"/>
      <x:c r="G242" s="461"/>
      <x:c r="H242" s="473"/>
      <x:c r="I242" s="461"/>
      <x:c r="J242" s="461"/>
      <x:c r="K242" s="461"/>
      <x:c r="L242" s="461"/>
      <x:c r="M242" s="593"/>
      <x:c r="N242" s="593"/>
      <x:c r="O242" s="593"/>
    </x:row>
    <x:row r="243" ht="38" customHeight="1">
      <x:c r="A243" s="461"/>
      <x:c r="B243" s="461"/>
      <x:c r="C243" s="461"/>
      <x:c r="D243" s="461"/>
      <x:c r="E243" s="495"/>
      <x:c r="F243" s="473"/>
      <x:c r="G243" s="461"/>
      <x:c r="H243" s="473"/>
      <x:c r="I243" s="461"/>
      <x:c r="J243" s="461"/>
      <x:c r="K243" s="461"/>
      <x:c r="L243" s="461"/>
      <x:c r="M243" s="593"/>
      <x:c r="N243" s="593"/>
      <x:c r="O243" s="593"/>
    </x:row>
    <x:row r="244" ht="38" customHeight="1">
      <x:c r="A244" s="461"/>
      <x:c r="B244" s="461"/>
      <x:c r="C244" s="461"/>
      <x:c r="D244" s="461"/>
      <x:c r="E244" s="495"/>
      <x:c r="F244" s="473"/>
      <x:c r="G244" s="461"/>
      <x:c r="H244" s="473"/>
      <x:c r="I244" s="461"/>
      <x:c r="J244" s="461"/>
      <x:c r="K244" s="461"/>
      <x:c r="L244" s="461"/>
      <x:c r="M244" s="593"/>
      <x:c r="N244" s="593"/>
      <x:c r="O244" s="593"/>
    </x:row>
    <x:row r="245" ht="38" customHeight="1">
      <x:c r="A245" s="461"/>
      <x:c r="B245" s="461"/>
      <x:c r="C245" s="461"/>
      <x:c r="D245" s="461"/>
      <x:c r="E245" s="495"/>
      <x:c r="F245" s="473"/>
      <x:c r="G245" s="461"/>
      <x:c r="H245" s="473"/>
      <x:c r="I245" s="461"/>
      <x:c r="J245" s="461"/>
      <x:c r="K245" s="461"/>
      <x:c r="L245" s="461"/>
      <x:c r="M245" s="593"/>
      <x:c r="N245" s="593"/>
      <x:c r="O245" s="593"/>
    </x:row>
    <x:row r="246" ht="38" customHeight="1">
      <x:c r="A246" s="461"/>
      <x:c r="B246" s="461"/>
      <x:c r="C246" s="461"/>
      <x:c r="D246" s="461"/>
      <x:c r="E246" s="495"/>
      <x:c r="F246" s="473"/>
      <x:c r="G246" s="461"/>
      <x:c r="H246" s="473"/>
      <x:c r="I246" s="461"/>
      <x:c r="J246" s="461"/>
      <x:c r="K246" s="461"/>
      <x:c r="L246" s="461"/>
      <x:c r="M246" s="593"/>
      <x:c r="N246" s="593"/>
      <x:c r="O246" s="593"/>
    </x:row>
    <x:row r="247" ht="38" customHeight="1">
      <x:c r="A247" s="461"/>
      <x:c r="B247" s="461"/>
      <x:c r="C247" s="461"/>
      <x:c r="D247" s="461"/>
      <x:c r="E247" s="495"/>
      <x:c r="F247" s="473"/>
      <x:c r="G247" s="461"/>
      <x:c r="H247" s="473"/>
      <x:c r="I247" s="461"/>
      <x:c r="J247" s="461"/>
      <x:c r="K247" s="461"/>
      <x:c r="L247" s="461"/>
      <x:c r="M247" s="593"/>
      <x:c r="N247" s="593"/>
      <x:c r="O247" s="593"/>
    </x:row>
    <x:row r="248" ht="38" customHeight="1">
      <x:c r="A248" s="461"/>
      <x:c r="B248" s="461"/>
      <x:c r="C248" s="461"/>
      <x:c r="D248" s="461"/>
      <x:c r="E248" s="495"/>
      <x:c r="F248" s="473"/>
      <x:c r="G248" s="461"/>
      <x:c r="H248" s="473"/>
      <x:c r="I248" s="461"/>
      <x:c r="J248" s="461"/>
      <x:c r="K248" s="461"/>
      <x:c r="L248" s="461"/>
      <x:c r="M248" s="593"/>
      <x:c r="N248" s="593"/>
      <x:c r="O248" s="593"/>
    </x:row>
    <x:row r="249" ht="38" customHeight="1">
      <x:c r="A249" s="461"/>
      <x:c r="B249" s="461"/>
      <x:c r="C249" s="461"/>
      <x:c r="D249" s="461"/>
      <x:c r="E249" s="495"/>
      <x:c r="F249" s="473"/>
      <x:c r="G249" s="461"/>
      <x:c r="H249" s="473"/>
      <x:c r="I249" s="461"/>
      <x:c r="J249" s="461"/>
      <x:c r="K249" s="461"/>
      <x:c r="L249" s="461"/>
      <x:c r="M249" s="593"/>
      <x:c r="N249" s="593"/>
      <x:c r="O249" s="593"/>
    </x:row>
    <x:row r="250" ht="38" customHeight="1">
      <x:c r="A250" s="461"/>
      <x:c r="B250" s="461"/>
      <x:c r="C250" s="461"/>
      <x:c r="D250" s="461"/>
      <x:c r="E250" s="495"/>
      <x:c r="F250" s="473"/>
      <x:c r="G250" s="461"/>
      <x:c r="H250" s="473"/>
      <x:c r="I250" s="461"/>
      <x:c r="J250" s="461"/>
      <x:c r="K250" s="461"/>
      <x:c r="L250" s="461"/>
      <x:c r="M250" s="593"/>
      <x:c r="N250" s="593"/>
      <x:c r="O250" s="593"/>
    </x:row>
    <x:row r="251" ht="38" customHeight="1">
      <x:c r="A251" s="461"/>
      <x:c r="B251" s="461"/>
      <x:c r="C251" s="461"/>
      <x:c r="D251" s="461"/>
      <x:c r="E251" s="495"/>
      <x:c r="F251" s="473"/>
      <x:c r="G251" s="461"/>
      <x:c r="H251" s="473"/>
      <x:c r="I251" s="461"/>
      <x:c r="J251" s="461"/>
      <x:c r="K251" s="461"/>
      <x:c r="L251" s="461"/>
      <x:c r="M251" s="593"/>
      <x:c r="N251" s="593"/>
      <x:c r="O251" s="593"/>
    </x:row>
    <x:row r="252" ht="38" customHeight="1">
      <x:c r="A252" s="461"/>
      <x:c r="B252" s="461"/>
      <x:c r="C252" s="461"/>
      <x:c r="D252" s="461"/>
      <x:c r="E252" s="495"/>
      <x:c r="F252" s="473"/>
      <x:c r="G252" s="461"/>
      <x:c r="H252" s="473"/>
      <x:c r="I252" s="461"/>
      <x:c r="J252" s="461"/>
      <x:c r="K252" s="461"/>
      <x:c r="L252" s="461"/>
      <x:c r="M252" s="593"/>
      <x:c r="N252" s="593"/>
      <x:c r="O252" s="593"/>
    </x:row>
    <x:row r="253" ht="38" customHeight="1">
      <x:c r="A253" s="461"/>
      <x:c r="B253" s="461"/>
      <x:c r="C253" s="461"/>
      <x:c r="D253" s="461"/>
      <x:c r="E253" s="495"/>
      <x:c r="F253" s="473"/>
      <x:c r="G253" s="461"/>
      <x:c r="H253" s="473"/>
      <x:c r="I253" s="461"/>
      <x:c r="J253" s="461"/>
      <x:c r="K253" s="461"/>
      <x:c r="L253" s="461"/>
      <x:c r="M253" s="593"/>
      <x:c r="N253" s="593"/>
      <x:c r="O253" s="593"/>
    </x:row>
    <x:row r="254" ht="38" customHeight="1">
      <x:c r="A254" s="461"/>
      <x:c r="B254" s="461"/>
      <x:c r="C254" s="461"/>
      <x:c r="D254" s="461"/>
      <x:c r="E254" s="495"/>
      <x:c r="F254" s="473"/>
      <x:c r="G254" s="461"/>
      <x:c r="H254" s="473"/>
      <x:c r="I254" s="461"/>
      <x:c r="J254" s="461"/>
      <x:c r="K254" s="461"/>
      <x:c r="L254" s="461"/>
      <x:c r="M254" s="593"/>
      <x:c r="N254" s="593"/>
      <x:c r="O254" s="593"/>
    </x:row>
    <x:row r="255" ht="38" customHeight="1">
      <x:c r="A255" s="461"/>
      <x:c r="B255" s="461"/>
      <x:c r="C255" s="461"/>
      <x:c r="D255" s="461"/>
      <x:c r="E255" s="495"/>
      <x:c r="F255" s="473"/>
      <x:c r="G255" s="461"/>
      <x:c r="H255" s="473"/>
      <x:c r="I255" s="461"/>
      <x:c r="J255" s="461"/>
      <x:c r="K255" s="461"/>
      <x:c r="L255" s="461"/>
      <x:c r="M255" s="593"/>
      <x:c r="N255" s="593"/>
      <x:c r="O255" s="593"/>
    </x:row>
    <x:row r="256" ht="38" customHeight="1">
      <x:c r="A256" s="461"/>
      <x:c r="B256" s="461"/>
      <x:c r="C256" s="461"/>
      <x:c r="D256" s="461"/>
      <x:c r="E256" s="495"/>
      <x:c r="F256" s="473"/>
      <x:c r="G256" s="461"/>
      <x:c r="H256" s="473"/>
      <x:c r="I256" s="461"/>
      <x:c r="J256" s="461"/>
      <x:c r="K256" s="461"/>
      <x:c r="L256" s="461"/>
      <x:c r="M256" s="593"/>
      <x:c r="N256" s="593"/>
      <x:c r="O256" s="593"/>
    </x:row>
    <x:row r="257" ht="38" customHeight="1">
      <x:c r="A257" s="461"/>
      <x:c r="B257" s="461"/>
      <x:c r="C257" s="461"/>
      <x:c r="D257" s="461"/>
      <x:c r="E257" s="495"/>
      <x:c r="F257" s="473"/>
      <x:c r="G257" s="461"/>
      <x:c r="H257" s="473"/>
      <x:c r="I257" s="461"/>
      <x:c r="J257" s="461"/>
      <x:c r="K257" s="461"/>
      <x:c r="L257" s="461"/>
      <x:c r="M257" s="593"/>
      <x:c r="N257" s="593"/>
      <x:c r="O257" s="593"/>
    </x:row>
    <x:row r="258" ht="38" customHeight="1">
      <x:c r="A258" s="461"/>
      <x:c r="B258" s="461"/>
      <x:c r="C258" s="461"/>
      <x:c r="D258" s="461"/>
      <x:c r="E258" s="495"/>
      <x:c r="F258" s="473"/>
      <x:c r="G258" s="461"/>
      <x:c r="H258" s="473"/>
      <x:c r="I258" s="461"/>
      <x:c r="J258" s="461"/>
      <x:c r="K258" s="461"/>
      <x:c r="L258" s="461"/>
      <x:c r="M258" s="593"/>
      <x:c r="N258" s="593"/>
      <x:c r="O258" s="593"/>
    </x:row>
    <x:row r="259" ht="38" customHeight="1">
      <x:c r="A259" s="461"/>
      <x:c r="B259" s="461"/>
      <x:c r="C259" s="461"/>
      <x:c r="D259" s="461"/>
      <x:c r="E259" s="495"/>
      <x:c r="F259" s="473"/>
      <x:c r="G259" s="461"/>
      <x:c r="H259" s="473"/>
      <x:c r="I259" s="461"/>
      <x:c r="J259" s="461"/>
      <x:c r="K259" s="461"/>
      <x:c r="L259" s="461"/>
      <x:c r="M259" s="593"/>
      <x:c r="N259" s="593"/>
      <x:c r="O259" s="593"/>
    </x:row>
    <x:row r="260" ht="38" customHeight="1">
      <x:c r="A260" s="461"/>
      <x:c r="B260" s="461"/>
      <x:c r="C260" s="461"/>
      <x:c r="D260" s="461"/>
      <x:c r="E260" s="495"/>
      <x:c r="F260" s="473"/>
      <x:c r="G260" s="461"/>
      <x:c r="H260" s="473"/>
      <x:c r="I260" s="461"/>
      <x:c r="J260" s="461"/>
      <x:c r="K260" s="461"/>
      <x:c r="L260" s="461"/>
      <x:c r="M260" s="593"/>
      <x:c r="N260" s="593"/>
      <x:c r="O260" s="593"/>
    </x:row>
    <x:row r="261" ht="38" customHeight="1">
      <x:c r="A261" s="461"/>
      <x:c r="B261" s="461"/>
      <x:c r="C261" s="461"/>
      <x:c r="D261" s="461"/>
      <x:c r="E261" s="495"/>
      <x:c r="F261" s="473"/>
      <x:c r="G261" s="461"/>
      <x:c r="H261" s="473"/>
      <x:c r="I261" s="461"/>
      <x:c r="J261" s="461"/>
      <x:c r="K261" s="461"/>
      <x:c r="L261" s="461"/>
      <x:c r="M261" s="593"/>
      <x:c r="N261" s="593"/>
      <x:c r="O261" s="593"/>
    </x:row>
    <x:row r="262" ht="38" customHeight="1">
      <x:c r="A262" s="461"/>
      <x:c r="B262" s="461"/>
      <x:c r="C262" s="461"/>
      <x:c r="D262" s="461"/>
      <x:c r="E262" s="495"/>
      <x:c r="F262" s="473"/>
      <x:c r="G262" s="461"/>
      <x:c r="H262" s="473"/>
      <x:c r="I262" s="461"/>
      <x:c r="J262" s="461"/>
      <x:c r="K262" s="461"/>
      <x:c r="L262" s="461"/>
      <x:c r="M262" s="593"/>
      <x:c r="N262" s="593"/>
      <x:c r="O262" s="593"/>
    </x:row>
    <x:row r="263" ht="38" customHeight="1">
      <x:c r="A263" s="461"/>
      <x:c r="B263" s="461"/>
      <x:c r="C263" s="461"/>
      <x:c r="D263" s="461"/>
      <x:c r="E263" s="495"/>
      <x:c r="F263" s="473"/>
      <x:c r="G263" s="461"/>
      <x:c r="H263" s="473"/>
      <x:c r="I263" s="461"/>
      <x:c r="J263" s="461"/>
      <x:c r="K263" s="461"/>
      <x:c r="L263" s="461"/>
      <x:c r="M263" s="593"/>
      <x:c r="N263" s="593"/>
      <x:c r="O263" s="593"/>
    </x:row>
    <x:row r="264" ht="38" customHeight="1">
      <x:c r="A264" s="461"/>
      <x:c r="B264" s="461"/>
      <x:c r="C264" s="461"/>
      <x:c r="D264" s="461"/>
      <x:c r="E264" s="495"/>
      <x:c r="F264" s="473"/>
      <x:c r="G264" s="461"/>
      <x:c r="H264" s="473"/>
      <x:c r="I264" s="461"/>
      <x:c r="J264" s="461"/>
      <x:c r="K264" s="461"/>
      <x:c r="L264" s="461"/>
      <x:c r="M264" s="593"/>
      <x:c r="N264" s="593"/>
      <x:c r="O264" s="593"/>
    </x:row>
    <x:row r="265" ht="38" customHeight="1">
      <x:c r="A265" s="461"/>
      <x:c r="B265" s="461"/>
      <x:c r="C265" s="461"/>
      <x:c r="D265" s="461"/>
      <x:c r="E265" s="495"/>
      <x:c r="F265" s="473"/>
      <x:c r="G265" s="461"/>
      <x:c r="H265" s="473"/>
      <x:c r="I265" s="461"/>
      <x:c r="J265" s="461"/>
      <x:c r="K265" s="461"/>
      <x:c r="L265" s="461"/>
      <x:c r="M265" s="593"/>
      <x:c r="N265" s="593"/>
      <x:c r="O265" s="593"/>
    </x:row>
    <x:row r="266" ht="38" customHeight="1">
      <x:c r="A266" s="461"/>
      <x:c r="B266" s="461"/>
      <x:c r="C266" s="461"/>
      <x:c r="D266" s="461"/>
      <x:c r="E266" s="495"/>
      <x:c r="F266" s="473"/>
      <x:c r="G266" s="461"/>
      <x:c r="H266" s="473"/>
      <x:c r="I266" s="461"/>
      <x:c r="J266" s="461"/>
      <x:c r="K266" s="461"/>
      <x:c r="L266" s="461"/>
      <x:c r="M266" s="593"/>
      <x:c r="N266" s="593"/>
      <x:c r="O266" s="593"/>
    </x:row>
    <x:row r="267" ht="38" customHeight="1">
      <x:c r="A267" s="461"/>
      <x:c r="B267" s="461"/>
      <x:c r="C267" s="461"/>
      <x:c r="D267" s="461"/>
      <x:c r="E267" s="495"/>
      <x:c r="F267" s="473"/>
      <x:c r="G267" s="461"/>
      <x:c r="H267" s="473"/>
      <x:c r="I267" s="461"/>
      <x:c r="J267" s="461"/>
      <x:c r="K267" s="461"/>
      <x:c r="L267" s="461"/>
      <x:c r="M267" s="593"/>
      <x:c r="N267" s="593"/>
      <x:c r="O267" s="593"/>
    </x:row>
    <x:row r="268" ht="38" customHeight="1">
      <x:c r="A268" s="461"/>
      <x:c r="B268" s="461"/>
      <x:c r="C268" s="461"/>
      <x:c r="D268" s="461"/>
      <x:c r="E268" s="495"/>
      <x:c r="F268" s="473"/>
      <x:c r="G268" s="461"/>
      <x:c r="H268" s="473"/>
      <x:c r="I268" s="461"/>
      <x:c r="J268" s="461"/>
      <x:c r="K268" s="461"/>
      <x:c r="L268" s="461"/>
      <x:c r="M268" s="593"/>
      <x:c r="N268" s="593"/>
      <x:c r="O268" s="593"/>
    </x:row>
    <x:row r="269" ht="38" customHeight="1">
      <x:c r="A269" s="461"/>
      <x:c r="B269" s="461"/>
      <x:c r="C269" s="461"/>
      <x:c r="D269" s="461"/>
      <x:c r="E269" s="495"/>
      <x:c r="F269" s="473"/>
      <x:c r="G269" s="461"/>
      <x:c r="H269" s="473"/>
      <x:c r="I269" s="461"/>
      <x:c r="J269" s="461"/>
      <x:c r="K269" s="461"/>
      <x:c r="L269" s="461"/>
      <x:c r="M269" s="593"/>
      <x:c r="N269" s="593"/>
      <x:c r="O269" s="593"/>
    </x:row>
    <x:row r="270" ht="38" customHeight="1">
      <x:c r="A270" s="461"/>
      <x:c r="B270" s="461"/>
      <x:c r="C270" s="461"/>
      <x:c r="D270" s="461"/>
      <x:c r="E270" s="495"/>
      <x:c r="F270" s="473"/>
      <x:c r="G270" s="461"/>
      <x:c r="H270" s="473"/>
      <x:c r="I270" s="461"/>
      <x:c r="J270" s="461"/>
      <x:c r="K270" s="461"/>
      <x:c r="L270" s="461"/>
      <x:c r="M270" s="593"/>
      <x:c r="N270" s="593"/>
      <x:c r="O270" s="593"/>
    </x:row>
    <x:row r="271" ht="38" customHeight="1">
      <x:c r="A271" s="461"/>
      <x:c r="B271" s="461"/>
      <x:c r="C271" s="461"/>
      <x:c r="D271" s="461"/>
      <x:c r="E271" s="495"/>
      <x:c r="F271" s="473"/>
      <x:c r="G271" s="461"/>
      <x:c r="H271" s="473"/>
      <x:c r="I271" s="461"/>
      <x:c r="J271" s="461"/>
      <x:c r="K271" s="461"/>
      <x:c r="L271" s="461"/>
      <x:c r="M271" s="593"/>
      <x:c r="N271" s="593"/>
      <x:c r="O271" s="593"/>
    </x:row>
    <x:row r="272" ht="38" customHeight="1">
      <x:c r="A272" s="461"/>
      <x:c r="B272" s="461"/>
      <x:c r="C272" s="461"/>
      <x:c r="D272" s="461"/>
      <x:c r="E272" s="495"/>
      <x:c r="F272" s="473"/>
      <x:c r="G272" s="461"/>
      <x:c r="H272" s="473"/>
      <x:c r="I272" s="461"/>
      <x:c r="J272" s="461"/>
      <x:c r="K272" s="461"/>
      <x:c r="L272" s="461"/>
      <x:c r="M272" s="593"/>
      <x:c r="N272" s="593"/>
      <x:c r="O272" s="593"/>
    </x:row>
    <x:row r="273" ht="38" customHeight="1">
      <x:c r="A273" s="461"/>
      <x:c r="B273" s="461"/>
      <x:c r="C273" s="461"/>
      <x:c r="D273" s="461"/>
      <x:c r="E273" s="495"/>
      <x:c r="F273" s="473"/>
      <x:c r="G273" s="461"/>
      <x:c r="H273" s="473"/>
      <x:c r="I273" s="461"/>
      <x:c r="J273" s="461"/>
      <x:c r="K273" s="461"/>
      <x:c r="L273" s="461"/>
      <x:c r="M273" s="593"/>
      <x:c r="N273" s="593"/>
      <x:c r="O273" s="593"/>
    </x:row>
    <x:row r="274" ht="38" customHeight="1">
      <x:c r="A274" s="461"/>
      <x:c r="B274" s="461"/>
      <x:c r="C274" s="461"/>
      <x:c r="D274" s="461"/>
      <x:c r="E274" s="495"/>
      <x:c r="F274" s="473"/>
      <x:c r="G274" s="461"/>
      <x:c r="H274" s="473"/>
      <x:c r="I274" s="461"/>
      <x:c r="J274" s="461"/>
      <x:c r="K274" s="461"/>
      <x:c r="L274" s="461"/>
      <x:c r="M274" s="593"/>
      <x:c r="N274" s="593"/>
      <x:c r="O274" s="593"/>
    </x:row>
    <x:row r="275" ht="38" customHeight="1">
      <x:c r="A275" s="461"/>
      <x:c r="B275" s="461"/>
      <x:c r="C275" s="461"/>
      <x:c r="D275" s="461"/>
      <x:c r="E275" s="495"/>
      <x:c r="F275" s="473"/>
      <x:c r="G275" s="461"/>
      <x:c r="H275" s="473"/>
      <x:c r="I275" s="461"/>
      <x:c r="J275" s="461"/>
      <x:c r="K275" s="461"/>
      <x:c r="L275" s="461"/>
      <x:c r="M275" s="593"/>
      <x:c r="N275" s="593"/>
      <x:c r="O275" s="593"/>
    </x:row>
    <x:row r="276" ht="38" customHeight="1">
      <x:c r="A276" s="461"/>
      <x:c r="B276" s="461"/>
      <x:c r="C276" s="461"/>
      <x:c r="D276" s="461"/>
      <x:c r="E276" s="495"/>
      <x:c r="F276" s="473"/>
      <x:c r="G276" s="461"/>
      <x:c r="H276" s="473"/>
      <x:c r="I276" s="461"/>
      <x:c r="J276" s="461"/>
      <x:c r="K276" s="461"/>
      <x:c r="L276" s="461"/>
      <x:c r="M276" s="593"/>
      <x:c r="N276" s="593"/>
      <x:c r="O276" s="593"/>
    </x:row>
    <x:row r="277" ht="38" customHeight="1">
      <x:c r="A277" s="461"/>
      <x:c r="B277" s="461"/>
      <x:c r="C277" s="461"/>
      <x:c r="D277" s="461"/>
      <x:c r="E277" s="495"/>
      <x:c r="F277" s="473"/>
      <x:c r="G277" s="461"/>
      <x:c r="H277" s="473"/>
      <x:c r="I277" s="461"/>
      <x:c r="J277" s="461"/>
      <x:c r="K277" s="461"/>
      <x:c r="L277" s="461"/>
      <x:c r="M277" s="593"/>
      <x:c r="N277" s="593"/>
      <x:c r="O277" s="593"/>
    </x:row>
    <x:row r="278" ht="38" customHeight="1">
      <x:c r="A278" s="461"/>
      <x:c r="B278" s="461"/>
      <x:c r="C278" s="461"/>
      <x:c r="D278" s="461"/>
      <x:c r="E278" s="495"/>
      <x:c r="F278" s="473"/>
      <x:c r="G278" s="461"/>
      <x:c r="H278" s="473"/>
      <x:c r="I278" s="461"/>
      <x:c r="J278" s="461"/>
      <x:c r="K278" s="461"/>
      <x:c r="L278" s="461"/>
      <x:c r="M278" s="593"/>
      <x:c r="N278" s="593"/>
      <x:c r="O278" s="593"/>
    </x:row>
    <x:row r="279" ht="38" customHeight="1">
      <x:c r="A279" s="461"/>
      <x:c r="B279" s="461"/>
      <x:c r="C279" s="461"/>
      <x:c r="D279" s="461"/>
      <x:c r="E279" s="495"/>
      <x:c r="F279" s="473"/>
      <x:c r="G279" s="461"/>
      <x:c r="H279" s="473"/>
      <x:c r="I279" s="461"/>
      <x:c r="J279" s="461"/>
      <x:c r="K279" s="461"/>
      <x:c r="L279" s="461"/>
      <x:c r="M279" s="593"/>
      <x:c r="N279" s="593"/>
      <x:c r="O279" s="593"/>
    </x:row>
    <x:row r="280" ht="38" customHeight="1">
      <x:c r="A280" s="461"/>
      <x:c r="B280" s="461"/>
      <x:c r="C280" s="461"/>
      <x:c r="D280" s="461"/>
      <x:c r="E280" s="495"/>
      <x:c r="F280" s="473"/>
      <x:c r="G280" s="461"/>
      <x:c r="H280" s="473"/>
      <x:c r="I280" s="461"/>
      <x:c r="J280" s="461"/>
      <x:c r="K280" s="461"/>
      <x:c r="L280" s="461"/>
      <x:c r="M280" s="593"/>
      <x:c r="N280" s="593"/>
      <x:c r="O280" s="593"/>
    </x:row>
    <x:row r="281" ht="38" customHeight="1">
      <x:c r="A281" s="461"/>
      <x:c r="B281" s="461"/>
      <x:c r="C281" s="461"/>
      <x:c r="D281" s="461"/>
      <x:c r="E281" s="495"/>
      <x:c r="F281" s="473"/>
      <x:c r="G281" s="461"/>
      <x:c r="H281" s="473"/>
      <x:c r="I281" s="461"/>
      <x:c r="J281" s="461"/>
      <x:c r="K281" s="461"/>
      <x:c r="L281" s="461"/>
      <x:c r="M281" s="593"/>
      <x:c r="N281" s="593"/>
      <x:c r="O281" s="593"/>
    </x:row>
    <x:row r="282" ht="38" customHeight="1">
      <x:c r="A282" s="461"/>
      <x:c r="B282" s="461"/>
      <x:c r="C282" s="461"/>
      <x:c r="D282" s="461"/>
      <x:c r="E282" s="495"/>
      <x:c r="F282" s="473"/>
      <x:c r="G282" s="461"/>
      <x:c r="H282" s="473"/>
      <x:c r="I282" s="461"/>
      <x:c r="J282" s="461"/>
      <x:c r="K282" s="461"/>
      <x:c r="L282" s="461"/>
      <x:c r="M282" s="593"/>
      <x:c r="N282" s="593"/>
      <x:c r="O282" s="593"/>
    </x:row>
    <x:row r="283" ht="38" customHeight="1">
      <x:c r="A283" s="461"/>
      <x:c r="B283" s="461"/>
      <x:c r="C283" s="461"/>
      <x:c r="D283" s="461"/>
      <x:c r="E283" s="495"/>
      <x:c r="F283" s="473"/>
      <x:c r="G283" s="461"/>
      <x:c r="H283" s="473"/>
      <x:c r="I283" s="461"/>
      <x:c r="J283" s="461"/>
      <x:c r="K283" s="461"/>
      <x:c r="L283" s="461"/>
      <x:c r="M283" s="593"/>
      <x:c r="N283" s="593"/>
      <x:c r="O283" s="593"/>
    </x:row>
    <x:row r="284" ht="38" customHeight="1">
      <x:c r="A284" s="461"/>
      <x:c r="B284" s="461"/>
      <x:c r="C284" s="461"/>
      <x:c r="D284" s="461"/>
      <x:c r="E284" s="495"/>
      <x:c r="F284" s="473"/>
      <x:c r="G284" s="461"/>
      <x:c r="H284" s="473"/>
      <x:c r="I284" s="461"/>
      <x:c r="J284" s="461"/>
      <x:c r="K284" s="461"/>
      <x:c r="L284" s="461"/>
      <x:c r="M284" s="593"/>
      <x:c r="N284" s="593"/>
      <x:c r="O284" s="593"/>
    </x:row>
    <x:row r="285" ht="38" customHeight="1">
      <x:c r="A285" s="461"/>
      <x:c r="B285" s="461"/>
      <x:c r="C285" s="461"/>
      <x:c r="D285" s="461"/>
      <x:c r="E285" s="495"/>
      <x:c r="F285" s="473"/>
      <x:c r="G285" s="461"/>
      <x:c r="H285" s="473"/>
      <x:c r="I285" s="461"/>
      <x:c r="J285" s="461"/>
      <x:c r="K285" s="461"/>
      <x:c r="L285" s="461"/>
      <x:c r="M285" s="593"/>
      <x:c r="N285" s="593"/>
      <x:c r="O285" s="593"/>
    </x:row>
    <x:row r="286" ht="38" customHeight="1">
      <x:c r="A286" s="461"/>
      <x:c r="B286" s="461"/>
      <x:c r="C286" s="461"/>
      <x:c r="D286" s="461"/>
      <x:c r="E286" s="495"/>
      <x:c r="F286" s="473"/>
      <x:c r="G286" s="461"/>
      <x:c r="H286" s="473"/>
      <x:c r="I286" s="461"/>
      <x:c r="J286" s="461"/>
      <x:c r="K286" s="461"/>
      <x:c r="L286" s="461"/>
      <x:c r="M286" s="593"/>
      <x:c r="N286" s="593"/>
      <x:c r="O286" s="593"/>
    </x:row>
    <x:row r="287" ht="38" customHeight="1">
      <x:c r="A287" s="461"/>
      <x:c r="B287" s="461"/>
      <x:c r="C287" s="461"/>
      <x:c r="D287" s="461"/>
      <x:c r="E287" s="495"/>
      <x:c r="F287" s="473"/>
      <x:c r="G287" s="461"/>
      <x:c r="H287" s="473"/>
      <x:c r="I287" s="461"/>
      <x:c r="J287" s="461"/>
      <x:c r="K287" s="461"/>
      <x:c r="L287" s="461"/>
      <x:c r="M287" s="593"/>
      <x:c r="N287" s="593"/>
      <x:c r="O287" s="593"/>
    </x:row>
    <x:row r="288" ht="38" customHeight="1">
      <x:c r="A288" s="461"/>
      <x:c r="B288" s="461"/>
      <x:c r="C288" s="461"/>
      <x:c r="D288" s="461"/>
      <x:c r="E288" s="495"/>
      <x:c r="F288" s="473"/>
      <x:c r="G288" s="461"/>
      <x:c r="H288" s="473"/>
      <x:c r="I288" s="461"/>
      <x:c r="J288" s="461"/>
      <x:c r="K288" s="461"/>
      <x:c r="L288" s="461"/>
      <x:c r="M288" s="593"/>
      <x:c r="N288" s="593"/>
      <x:c r="O288" s="593"/>
    </x:row>
    <x:row r="289" ht="38" customHeight="1">
      <x:c r="A289" s="461"/>
      <x:c r="B289" s="461"/>
      <x:c r="C289" s="461"/>
      <x:c r="D289" s="461"/>
      <x:c r="E289" s="495"/>
      <x:c r="F289" s="473"/>
      <x:c r="G289" s="461"/>
      <x:c r="H289" s="473"/>
      <x:c r="I289" s="461"/>
      <x:c r="J289" s="461"/>
      <x:c r="K289" s="461"/>
      <x:c r="L289" s="461"/>
      <x:c r="M289" s="593"/>
      <x:c r="N289" s="593"/>
      <x:c r="O289" s="593"/>
    </x:row>
    <x:row r="290" ht="38" customHeight="1">
      <x:c r="A290" s="461"/>
      <x:c r="B290" s="461"/>
      <x:c r="C290" s="461"/>
      <x:c r="D290" s="461"/>
      <x:c r="E290" s="495"/>
      <x:c r="F290" s="473"/>
      <x:c r="G290" s="461"/>
      <x:c r="H290" s="473"/>
      <x:c r="I290" s="461"/>
      <x:c r="J290" s="461"/>
      <x:c r="K290" s="461"/>
      <x:c r="L290" s="461"/>
      <x:c r="M290" s="593"/>
      <x:c r="N290" s="593"/>
      <x:c r="O290" s="593"/>
    </x:row>
    <x:row r="291" ht="38" customHeight="1">
      <x:c r="A291" s="461"/>
      <x:c r="B291" s="461"/>
      <x:c r="C291" s="461"/>
      <x:c r="D291" s="461"/>
      <x:c r="E291" s="495"/>
      <x:c r="F291" s="473"/>
      <x:c r="G291" s="461"/>
      <x:c r="H291" s="473"/>
      <x:c r="I291" s="461"/>
      <x:c r="J291" s="461"/>
      <x:c r="K291" s="461"/>
      <x:c r="L291" s="461"/>
      <x:c r="M291" s="593"/>
      <x:c r="N291" s="593"/>
      <x:c r="O291" s="593"/>
    </x:row>
    <x:row r="292" ht="38" customHeight="1">
      <x:c r="A292" s="461"/>
      <x:c r="B292" s="461"/>
      <x:c r="C292" s="461"/>
      <x:c r="D292" s="461"/>
      <x:c r="E292" s="495"/>
      <x:c r="F292" s="473"/>
      <x:c r="G292" s="461"/>
      <x:c r="H292" s="473"/>
      <x:c r="I292" s="461"/>
      <x:c r="J292" s="461"/>
      <x:c r="K292" s="461"/>
      <x:c r="L292" s="461"/>
      <x:c r="M292" s="593"/>
      <x:c r="N292" s="593"/>
      <x:c r="O292" s="593"/>
    </x:row>
    <x:row r="293" ht="38" customHeight="1">
      <x:c r="A293" s="461"/>
      <x:c r="B293" s="461"/>
      <x:c r="C293" s="461"/>
      <x:c r="D293" s="461"/>
      <x:c r="E293" s="495"/>
      <x:c r="F293" s="473"/>
      <x:c r="G293" s="461"/>
      <x:c r="H293" s="473"/>
      <x:c r="I293" s="461"/>
      <x:c r="J293" s="461"/>
      <x:c r="K293" s="461"/>
      <x:c r="L293" s="461"/>
      <x:c r="M293" s="593"/>
      <x:c r="N293" s="593"/>
      <x:c r="O293" s="593"/>
    </x:row>
    <x:row r="294" ht="38" customHeight="1">
      <x:c r="A294" s="461"/>
      <x:c r="B294" s="461"/>
      <x:c r="C294" s="461"/>
      <x:c r="D294" s="461"/>
      <x:c r="E294" s="495"/>
      <x:c r="F294" s="473"/>
      <x:c r="G294" s="461"/>
      <x:c r="H294" s="473"/>
      <x:c r="I294" s="461"/>
      <x:c r="J294" s="461"/>
      <x:c r="K294" s="461"/>
      <x:c r="L294" s="461"/>
      <x:c r="M294" s="593"/>
      <x:c r="N294" s="593"/>
      <x:c r="O294" s="593"/>
    </x:row>
    <x:row r="295" ht="38" customHeight="1">
      <x:c r="A295" s="461"/>
      <x:c r="B295" s="461"/>
      <x:c r="C295" s="461"/>
      <x:c r="D295" s="461"/>
      <x:c r="E295" s="495"/>
      <x:c r="F295" s="473"/>
      <x:c r="G295" s="461"/>
      <x:c r="H295" s="473"/>
      <x:c r="I295" s="461"/>
      <x:c r="J295" s="461"/>
      <x:c r="K295" s="461"/>
      <x:c r="L295" s="461"/>
      <x:c r="M295" s="593"/>
      <x:c r="N295" s="593"/>
      <x:c r="O295" s="593"/>
    </x:row>
    <x:row r="296" ht="38" customHeight="1">
      <x:c r="A296" s="461"/>
      <x:c r="B296" s="461"/>
      <x:c r="C296" s="461"/>
      <x:c r="D296" s="461"/>
      <x:c r="E296" s="495"/>
      <x:c r="F296" s="473"/>
      <x:c r="G296" s="461"/>
      <x:c r="H296" s="473"/>
      <x:c r="I296" s="461"/>
      <x:c r="J296" s="461"/>
      <x:c r="K296" s="461"/>
      <x:c r="L296" s="461"/>
      <x:c r="M296" s="593"/>
      <x:c r="N296" s="593"/>
      <x:c r="O296" s="593"/>
    </x:row>
    <x:row r="297" ht="38" customHeight="1">
      <x:c r="A297" s="461"/>
      <x:c r="B297" s="461"/>
      <x:c r="C297" s="461"/>
      <x:c r="D297" s="461"/>
      <x:c r="E297" s="495"/>
      <x:c r="F297" s="473"/>
      <x:c r="G297" s="461"/>
      <x:c r="H297" s="473"/>
      <x:c r="I297" s="461"/>
      <x:c r="J297" s="461"/>
      <x:c r="K297" s="461"/>
      <x:c r="L297" s="461"/>
      <x:c r="M297" s="593"/>
      <x:c r="N297" s="593"/>
      <x:c r="O297" s="593"/>
    </x:row>
    <x:row r="298" ht="38" customHeight="1">
      <x:c r="A298" s="461"/>
      <x:c r="B298" s="461"/>
      <x:c r="C298" s="461"/>
      <x:c r="D298" s="461"/>
      <x:c r="E298" s="495"/>
      <x:c r="F298" s="473"/>
      <x:c r="G298" s="461"/>
      <x:c r="H298" s="473"/>
      <x:c r="I298" s="461"/>
      <x:c r="J298" s="461"/>
      <x:c r="K298" s="461"/>
      <x:c r="L298" s="461"/>
      <x:c r="M298" s="593"/>
      <x:c r="N298" s="593"/>
      <x:c r="O298" s="593"/>
    </x:row>
    <x:row r="299" ht="38" customHeight="1">
      <x:c r="A299" s="461"/>
      <x:c r="B299" s="461"/>
      <x:c r="C299" s="461"/>
      <x:c r="D299" s="461"/>
      <x:c r="E299" s="495"/>
      <x:c r="F299" s="473"/>
      <x:c r="G299" s="461"/>
      <x:c r="H299" s="473"/>
      <x:c r="I299" s="461"/>
      <x:c r="J299" s="461"/>
      <x:c r="K299" s="461"/>
      <x:c r="L299" s="461"/>
      <x:c r="M299" s="593"/>
      <x:c r="N299" s="593"/>
      <x:c r="O299" s="593"/>
    </x:row>
    <x:row r="300" ht="38" customHeight="1">
      <x:c r="A300" s="461"/>
      <x:c r="B300" s="461"/>
      <x:c r="C300" s="461"/>
      <x:c r="D300" s="461"/>
      <x:c r="E300" s="495"/>
      <x:c r="F300" s="473"/>
      <x:c r="G300" s="461"/>
      <x:c r="H300" s="473"/>
      <x:c r="I300" s="461"/>
      <x:c r="J300" s="461"/>
      <x:c r="K300" s="461"/>
      <x:c r="L300" s="461"/>
      <x:c r="M300" s="593"/>
      <x:c r="N300" s="593"/>
      <x:c r="O300" s="593"/>
    </x:row>
    <x:row r="301" ht="38" customHeight="1">
      <x:c r="A301" s="461"/>
      <x:c r="B301" s="461"/>
      <x:c r="C301" s="461"/>
      <x:c r="D301" s="461"/>
      <x:c r="E301" s="495"/>
      <x:c r="F301" s="473"/>
      <x:c r="G301" s="461"/>
      <x:c r="H301" s="473"/>
      <x:c r="I301" s="461"/>
      <x:c r="J301" s="461"/>
      <x:c r="K301" s="461"/>
      <x:c r="L301" s="461"/>
      <x:c r="M301" s="593"/>
      <x:c r="N301" s="593"/>
      <x:c r="O301" s="593"/>
    </x:row>
    <x:row r="302" ht="38" customHeight="1">
      <x:c r="A302" s="461"/>
      <x:c r="B302" s="461"/>
      <x:c r="C302" s="461"/>
      <x:c r="D302" s="461"/>
      <x:c r="E302" s="495"/>
      <x:c r="F302" s="473"/>
      <x:c r="G302" s="461"/>
      <x:c r="H302" s="473"/>
      <x:c r="I302" s="461"/>
      <x:c r="J302" s="461"/>
      <x:c r="K302" s="461"/>
      <x:c r="L302" s="461"/>
      <x:c r="M302" s="593"/>
      <x:c r="N302" s="593"/>
      <x:c r="O302" s="593"/>
    </x:row>
    <x:row r="303" ht="38" customHeight="1">
      <x:c r="A303" s="461"/>
      <x:c r="B303" s="461"/>
      <x:c r="C303" s="461"/>
      <x:c r="D303" s="461"/>
      <x:c r="E303" s="495"/>
      <x:c r="F303" s="473"/>
      <x:c r="G303" s="461"/>
      <x:c r="H303" s="473"/>
      <x:c r="I303" s="461"/>
      <x:c r="J303" s="461"/>
      <x:c r="K303" s="461"/>
      <x:c r="L303" s="461"/>
      <x:c r="M303" s="593"/>
      <x:c r="N303" s="593"/>
      <x:c r="O303" s="593"/>
    </x:row>
    <x:row r="304" ht="38" customHeight="1">
      <x:c r="A304" s="461"/>
      <x:c r="B304" s="461"/>
      <x:c r="C304" s="461"/>
      <x:c r="D304" s="461"/>
      <x:c r="E304" s="495"/>
      <x:c r="F304" s="473"/>
      <x:c r="G304" s="461"/>
      <x:c r="H304" s="473"/>
      <x:c r="I304" s="461"/>
      <x:c r="J304" s="461"/>
      <x:c r="K304" s="461"/>
      <x:c r="L304" s="461"/>
      <x:c r="M304" s="593"/>
      <x:c r="N304" s="593"/>
      <x:c r="O304" s="593"/>
    </x:row>
    <x:row r="305" ht="38" customHeight="1">
      <x:c r="A305" s="461"/>
      <x:c r="B305" s="461"/>
      <x:c r="C305" s="461"/>
      <x:c r="D305" s="461"/>
      <x:c r="E305" s="495"/>
      <x:c r="F305" s="473"/>
      <x:c r="G305" s="461"/>
      <x:c r="H305" s="473"/>
      <x:c r="I305" s="461"/>
      <x:c r="J305" s="461"/>
      <x:c r="K305" s="461"/>
      <x:c r="L305" s="461"/>
      <x:c r="M305" s="593"/>
      <x:c r="N305" s="593"/>
      <x:c r="O305" s="593"/>
    </x:row>
    <x:row r="306" ht="38" customHeight="1">
      <x:c r="A306" s="461"/>
      <x:c r="B306" s="461"/>
      <x:c r="C306" s="461"/>
      <x:c r="D306" s="461"/>
      <x:c r="E306" s="495"/>
      <x:c r="F306" s="473"/>
      <x:c r="G306" s="461"/>
      <x:c r="H306" s="473"/>
      <x:c r="I306" s="461"/>
      <x:c r="J306" s="461"/>
      <x:c r="K306" s="461"/>
      <x:c r="L306" s="461"/>
      <x:c r="M306" s="593"/>
      <x:c r="N306" s="593"/>
      <x:c r="O306" s="593"/>
    </x:row>
    <x:row r="307" ht="38" customHeight="1">
      <x:c r="A307" s="461"/>
      <x:c r="B307" s="461"/>
      <x:c r="C307" s="461"/>
      <x:c r="D307" s="461"/>
      <x:c r="E307" s="495"/>
      <x:c r="F307" s="473"/>
      <x:c r="G307" s="461"/>
      <x:c r="H307" s="473"/>
      <x:c r="I307" s="461"/>
      <x:c r="J307" s="461"/>
      <x:c r="K307" s="461"/>
      <x:c r="L307" s="461"/>
      <x:c r="M307" s="593"/>
      <x:c r="N307" s="593"/>
      <x:c r="O307" s="593"/>
    </x:row>
    <x:row r="308" ht="38" customHeight="1">
      <x:c r="A308" s="461"/>
      <x:c r="B308" s="461"/>
      <x:c r="C308" s="461"/>
      <x:c r="D308" s="461"/>
      <x:c r="E308" s="495"/>
      <x:c r="F308" s="473"/>
      <x:c r="G308" s="461"/>
      <x:c r="H308" s="473"/>
      <x:c r="I308" s="461"/>
      <x:c r="J308" s="461"/>
      <x:c r="K308" s="461"/>
      <x:c r="L308" s="461"/>
      <x:c r="M308" s="593"/>
      <x:c r="N308" s="593"/>
      <x:c r="O308" s="593"/>
    </x:row>
    <x:row r="309" ht="38" customHeight="1">
      <x:c r="A309" s="461"/>
      <x:c r="B309" s="461"/>
      <x:c r="C309" s="461"/>
      <x:c r="D309" s="461"/>
      <x:c r="E309" s="495"/>
      <x:c r="F309" s="473"/>
      <x:c r="G309" s="461"/>
      <x:c r="H309" s="473"/>
      <x:c r="I309" s="461"/>
      <x:c r="J309" s="461"/>
      <x:c r="K309" s="461"/>
      <x:c r="L309" s="461"/>
      <x:c r="M309" s="593"/>
      <x:c r="N309" s="593"/>
      <x:c r="O309" s="593"/>
    </x:row>
    <x:row r="310" ht="38" customHeight="1">
      <x:c r="A310" s="461"/>
      <x:c r="B310" s="461"/>
      <x:c r="C310" s="461"/>
      <x:c r="D310" s="461"/>
      <x:c r="E310" s="495"/>
      <x:c r="F310" s="473"/>
      <x:c r="G310" s="461"/>
      <x:c r="H310" s="473"/>
      <x:c r="I310" s="461"/>
      <x:c r="J310" s="461"/>
      <x:c r="K310" s="461"/>
      <x:c r="L310" s="461"/>
      <x:c r="M310" s="593"/>
      <x:c r="N310" s="593"/>
      <x:c r="O310" s="593"/>
    </x:row>
    <x:row r="311" ht="38" customHeight="1">
      <x:c r="A311" s="461"/>
      <x:c r="B311" s="461"/>
      <x:c r="C311" s="461"/>
      <x:c r="D311" s="461"/>
      <x:c r="E311" s="495"/>
      <x:c r="F311" s="473"/>
      <x:c r="G311" s="461"/>
      <x:c r="H311" s="473"/>
      <x:c r="I311" s="461"/>
      <x:c r="J311" s="461"/>
      <x:c r="K311" s="461"/>
      <x:c r="L311" s="461"/>
      <x:c r="M311" s="593"/>
      <x:c r="N311" s="593"/>
      <x:c r="O311" s="593"/>
    </x:row>
    <x:row r="312" ht="38" customHeight="1">
      <x:c r="A312" s="461"/>
      <x:c r="B312" s="461"/>
      <x:c r="C312" s="461"/>
      <x:c r="D312" s="461"/>
      <x:c r="E312" s="495"/>
      <x:c r="F312" s="473"/>
      <x:c r="G312" s="461"/>
      <x:c r="H312" s="473"/>
      <x:c r="I312" s="461"/>
      <x:c r="J312" s="461"/>
      <x:c r="K312" s="461"/>
      <x:c r="L312" s="461"/>
      <x:c r="M312" s="593"/>
      <x:c r="N312" s="593"/>
      <x:c r="O312" s="593"/>
    </x:row>
    <x:row r="313" ht="38" customHeight="1">
      <x:c r="A313" s="461"/>
      <x:c r="B313" s="461"/>
      <x:c r="C313" s="461"/>
      <x:c r="D313" s="461"/>
      <x:c r="E313" s="495"/>
      <x:c r="F313" s="473"/>
      <x:c r="G313" s="461"/>
      <x:c r="H313" s="473"/>
      <x:c r="I313" s="461"/>
      <x:c r="J313" s="461"/>
      <x:c r="K313" s="461"/>
      <x:c r="L313" s="461"/>
      <x:c r="M313" s="593"/>
      <x:c r="N313" s="593"/>
      <x:c r="O313" s="593"/>
    </x:row>
    <x:row r="314" ht="38" customHeight="1">
      <x:c r="A314" s="461"/>
      <x:c r="B314" s="461"/>
      <x:c r="C314" s="461"/>
      <x:c r="D314" s="461"/>
      <x:c r="E314" s="495"/>
      <x:c r="F314" s="473"/>
      <x:c r="G314" s="461"/>
      <x:c r="H314" s="473"/>
      <x:c r="I314" s="461"/>
      <x:c r="J314" s="461"/>
      <x:c r="K314" s="461"/>
      <x:c r="L314" s="461"/>
      <x:c r="M314" s="593"/>
      <x:c r="N314" s="593"/>
      <x:c r="O314" s="593"/>
    </x:row>
    <x:row r="315" ht="38" customHeight="1">
      <x:c r="A315" s="461"/>
      <x:c r="B315" s="461"/>
      <x:c r="C315" s="461"/>
      <x:c r="D315" s="461"/>
      <x:c r="E315" s="495"/>
      <x:c r="F315" s="473"/>
      <x:c r="G315" s="461"/>
      <x:c r="H315" s="473"/>
      <x:c r="I315" s="461"/>
      <x:c r="J315" s="461"/>
      <x:c r="K315" s="461"/>
      <x:c r="L315" s="461"/>
      <x:c r="M315" s="593"/>
      <x:c r="N315" s="593"/>
      <x:c r="O315" s="593"/>
    </x:row>
    <x:row r="316" ht="38" customHeight="1">
      <x:c r="A316" s="461"/>
      <x:c r="B316" s="461"/>
      <x:c r="C316" s="461"/>
      <x:c r="D316" s="461"/>
      <x:c r="E316" s="495"/>
      <x:c r="F316" s="473"/>
      <x:c r="G316" s="461"/>
      <x:c r="H316" s="473"/>
      <x:c r="I316" s="461"/>
      <x:c r="J316" s="461"/>
      <x:c r="K316" s="461"/>
      <x:c r="L316" s="461"/>
      <x:c r="M316" s="593"/>
      <x:c r="N316" s="593"/>
      <x:c r="O316" s="593"/>
    </x:row>
    <x:row r="317" ht="38" customHeight="1">
      <x:c r="A317" s="461"/>
      <x:c r="B317" s="461"/>
      <x:c r="C317" s="461"/>
      <x:c r="D317" s="461"/>
      <x:c r="E317" s="495"/>
      <x:c r="F317" s="473"/>
      <x:c r="G317" s="461"/>
      <x:c r="H317" s="473"/>
      <x:c r="I317" s="461"/>
      <x:c r="J317" s="461"/>
      <x:c r="K317" s="461"/>
      <x:c r="L317" s="461"/>
      <x:c r="M317" s="593"/>
      <x:c r="N317" s="593"/>
      <x:c r="O317" s="593"/>
    </x:row>
    <x:row r="318" ht="38" customHeight="1">
      <x:c r="A318" s="461"/>
      <x:c r="B318" s="461"/>
      <x:c r="C318" s="461"/>
      <x:c r="D318" s="461"/>
      <x:c r="E318" s="495"/>
      <x:c r="F318" s="473"/>
      <x:c r="G318" s="461"/>
      <x:c r="H318" s="473"/>
      <x:c r="I318" s="461"/>
      <x:c r="J318" s="461"/>
      <x:c r="K318" s="461"/>
      <x:c r="L318" s="461"/>
      <x:c r="M318" s="593"/>
      <x:c r="N318" s="593"/>
      <x:c r="O318" s="593"/>
    </x:row>
    <x:row r="319" ht="38" customHeight="1">
      <x:c r="A319" s="461"/>
      <x:c r="B319" s="461"/>
      <x:c r="C319" s="461"/>
      <x:c r="D319" s="461"/>
      <x:c r="E319" s="495"/>
      <x:c r="F319" s="473"/>
      <x:c r="G319" s="461"/>
      <x:c r="H319" s="473"/>
      <x:c r="I319" s="461"/>
      <x:c r="J319" s="461"/>
      <x:c r="K319" s="461"/>
      <x:c r="L319" s="461"/>
      <x:c r="M319" s="593"/>
      <x:c r="N319" s="593"/>
      <x:c r="O319" s="593"/>
    </x:row>
    <x:row r="320" ht="38" customHeight="1">
      <x:c r="A320" s="461"/>
      <x:c r="B320" s="461"/>
      <x:c r="C320" s="461"/>
      <x:c r="D320" s="461"/>
      <x:c r="E320" s="495"/>
      <x:c r="F320" s="473"/>
      <x:c r="G320" s="461"/>
      <x:c r="H320" s="473"/>
      <x:c r="I320" s="461"/>
      <x:c r="J320" s="461"/>
      <x:c r="K320" s="461"/>
      <x:c r="L320" s="461"/>
      <x:c r="M320" s="593"/>
      <x:c r="N320" s="593"/>
      <x:c r="O320" s="593"/>
    </x:row>
    <x:row r="321" ht="38" customHeight="1">
      <x:c r="A321" s="461"/>
      <x:c r="B321" s="461"/>
      <x:c r="C321" s="461"/>
      <x:c r="D321" s="461"/>
      <x:c r="E321" s="495"/>
      <x:c r="F321" s="473"/>
      <x:c r="G321" s="461"/>
      <x:c r="H321" s="473"/>
      <x:c r="I321" s="461"/>
      <x:c r="J321" s="461"/>
      <x:c r="K321" s="461"/>
      <x:c r="L321" s="461"/>
      <x:c r="M321" s="593"/>
      <x:c r="N321" s="593"/>
      <x:c r="O321" s="593"/>
    </x:row>
    <x:row r="322" ht="38" customHeight="1">
      <x:c r="A322" s="461"/>
      <x:c r="B322" s="461"/>
      <x:c r="C322" s="461"/>
      <x:c r="D322" s="461"/>
      <x:c r="E322" s="495"/>
      <x:c r="F322" s="473"/>
      <x:c r="G322" s="461"/>
      <x:c r="H322" s="473"/>
      <x:c r="I322" s="461"/>
      <x:c r="J322" s="461"/>
      <x:c r="K322" s="461"/>
      <x:c r="L322" s="461"/>
      <x:c r="M322" s="593"/>
      <x:c r="N322" s="593"/>
      <x:c r="O322" s="593"/>
    </x:row>
    <x:row r="323" ht="38" customHeight="1">
      <x:c r="A323" s="461"/>
      <x:c r="B323" s="461"/>
      <x:c r="C323" s="461"/>
      <x:c r="D323" s="461"/>
      <x:c r="E323" s="495"/>
      <x:c r="F323" s="473"/>
      <x:c r="G323" s="461"/>
      <x:c r="H323" s="473"/>
      <x:c r="I323" s="461"/>
      <x:c r="J323" s="461"/>
      <x:c r="K323" s="461"/>
      <x:c r="L323" s="461"/>
      <x:c r="M323" s="593"/>
      <x:c r="N323" s="593"/>
      <x:c r="O323" s="593"/>
    </x:row>
    <x:row r="324" ht="38" customHeight="1">
      <x:c r="A324" s="461"/>
      <x:c r="B324" s="461"/>
      <x:c r="C324" s="461"/>
      <x:c r="D324" s="461"/>
      <x:c r="E324" s="495"/>
      <x:c r="F324" s="473"/>
      <x:c r="G324" s="461"/>
      <x:c r="H324" s="473"/>
      <x:c r="I324" s="461"/>
      <x:c r="J324" s="461"/>
      <x:c r="K324" s="461"/>
      <x:c r="L324" s="461"/>
      <x:c r="M324" s="593"/>
      <x:c r="N324" s="593"/>
      <x:c r="O324" s="593"/>
    </x:row>
    <x:row r="325" ht="38" customHeight="1">
      <x:c r="A325" s="461"/>
      <x:c r="B325" s="461"/>
      <x:c r="C325" s="461"/>
      <x:c r="D325" s="461"/>
      <x:c r="E325" s="495"/>
      <x:c r="F325" s="473"/>
      <x:c r="G325" s="461"/>
      <x:c r="H325" s="473"/>
      <x:c r="I325" s="461"/>
      <x:c r="J325" s="461"/>
      <x:c r="K325" s="461"/>
      <x:c r="L325" s="461"/>
      <x:c r="M325" s="593"/>
      <x:c r="N325" s="593"/>
      <x:c r="O325" s="593"/>
    </x:row>
    <x:row r="326" ht="38" customHeight="1">
      <x:c r="A326" s="461"/>
      <x:c r="B326" s="461"/>
      <x:c r="C326" s="461"/>
      <x:c r="D326" s="461"/>
      <x:c r="E326" s="495"/>
      <x:c r="F326" s="473"/>
      <x:c r="G326" s="461"/>
      <x:c r="H326" s="473"/>
      <x:c r="I326" s="461"/>
      <x:c r="J326" s="461"/>
      <x:c r="K326" s="461"/>
      <x:c r="L326" s="461"/>
      <x:c r="M326" s="593"/>
      <x:c r="N326" s="593"/>
      <x:c r="O326" s="593"/>
    </x:row>
    <x:row r="327" ht="38" customHeight="1">
      <x:c r="A327" s="461"/>
      <x:c r="B327" s="461"/>
      <x:c r="C327" s="461"/>
      <x:c r="D327" s="461"/>
      <x:c r="E327" s="495"/>
      <x:c r="F327" s="473"/>
      <x:c r="G327" s="461"/>
      <x:c r="H327" s="473"/>
      <x:c r="I327" s="461"/>
      <x:c r="J327" s="461"/>
      <x:c r="K327" s="461"/>
      <x:c r="L327" s="461"/>
      <x:c r="M327" s="593"/>
      <x:c r="N327" s="593"/>
      <x:c r="O327" s="593"/>
    </x:row>
    <x:row r="328" ht="38" customHeight="1">
      <x:c r="A328" s="461"/>
      <x:c r="B328" s="461"/>
      <x:c r="C328" s="461"/>
      <x:c r="D328" s="461"/>
      <x:c r="E328" s="495"/>
      <x:c r="F328" s="473"/>
      <x:c r="G328" s="461"/>
      <x:c r="H328" s="473"/>
      <x:c r="I328" s="461"/>
      <x:c r="J328" s="461"/>
      <x:c r="K328" s="461"/>
      <x:c r="L328" s="461"/>
      <x:c r="M328" s="593"/>
      <x:c r="N328" s="593"/>
      <x:c r="O328" s="593"/>
    </x:row>
    <x:row r="329" ht="38" customHeight="1">
      <x:c r="A329" s="461"/>
      <x:c r="B329" s="461"/>
      <x:c r="C329" s="461"/>
      <x:c r="D329" s="461"/>
      <x:c r="E329" s="495"/>
      <x:c r="F329" s="473"/>
      <x:c r="G329" s="461"/>
      <x:c r="H329" s="473"/>
      <x:c r="I329" s="461"/>
      <x:c r="J329" s="461"/>
      <x:c r="K329" s="461"/>
      <x:c r="L329" s="461"/>
      <x:c r="M329" s="593"/>
      <x:c r="N329" s="593"/>
      <x:c r="O329" s="593"/>
    </x:row>
    <x:row r="330" ht="38" customHeight="1">
      <x:c r="A330" s="461"/>
      <x:c r="B330" s="461"/>
      <x:c r="C330" s="461"/>
      <x:c r="D330" s="461"/>
      <x:c r="E330" s="495"/>
      <x:c r="F330" s="473"/>
      <x:c r="G330" s="461"/>
      <x:c r="H330" s="473"/>
      <x:c r="I330" s="461"/>
      <x:c r="J330" s="461"/>
      <x:c r="K330" s="461"/>
      <x:c r="L330" s="461"/>
      <x:c r="M330" s="593"/>
      <x:c r="N330" s="593"/>
      <x:c r="O330" s="593"/>
    </x:row>
    <x:row r="331" ht="38" customHeight="1">
      <x:c r="A331" s="461"/>
      <x:c r="B331" s="461"/>
      <x:c r="C331" s="461"/>
      <x:c r="D331" s="461"/>
      <x:c r="E331" s="495"/>
      <x:c r="F331" s="473"/>
      <x:c r="G331" s="461"/>
      <x:c r="H331" s="473"/>
      <x:c r="I331" s="461"/>
      <x:c r="J331" s="461"/>
      <x:c r="K331" s="461"/>
      <x:c r="L331" s="461"/>
      <x:c r="M331" s="593"/>
      <x:c r="N331" s="593"/>
      <x:c r="O331" s="593"/>
    </x:row>
    <x:row r="332" ht="38" customHeight="1">
      <x:c r="A332" s="461"/>
      <x:c r="B332" s="461"/>
      <x:c r="C332" s="461"/>
      <x:c r="D332" s="461"/>
      <x:c r="E332" s="495"/>
      <x:c r="F332" s="473"/>
      <x:c r="G332" s="461"/>
      <x:c r="H332" s="473"/>
      <x:c r="I332" s="461"/>
      <x:c r="J332" s="461"/>
      <x:c r="K332" s="461"/>
      <x:c r="L332" s="461"/>
      <x:c r="M332" s="593"/>
      <x:c r="N332" s="593"/>
      <x:c r="O332" s="593"/>
    </x:row>
    <x:row r="333" ht="38" customHeight="1">
      <x:c r="A333" s="461"/>
      <x:c r="B333" s="461"/>
      <x:c r="C333" s="461"/>
      <x:c r="D333" s="461"/>
      <x:c r="E333" s="495"/>
      <x:c r="F333" s="473"/>
      <x:c r="G333" s="461"/>
      <x:c r="H333" s="473"/>
      <x:c r="I333" s="461"/>
      <x:c r="J333" s="461"/>
      <x:c r="K333" s="461"/>
      <x:c r="L333" s="461"/>
      <x:c r="M333" s="593"/>
      <x:c r="N333" s="593"/>
      <x:c r="O333" s="593"/>
    </x:row>
    <x:row r="334" ht="38" customHeight="1">
      <x:c r="A334" s="461"/>
      <x:c r="B334" s="461"/>
      <x:c r="C334" s="461"/>
      <x:c r="D334" s="461"/>
      <x:c r="E334" s="495"/>
      <x:c r="F334" s="473"/>
      <x:c r="G334" s="461"/>
      <x:c r="H334" s="473"/>
      <x:c r="I334" s="461"/>
      <x:c r="J334" s="461"/>
      <x:c r="K334" s="461"/>
      <x:c r="L334" s="461"/>
      <x:c r="M334" s="593"/>
      <x:c r="N334" s="593"/>
      <x:c r="O334" s="593"/>
    </x:row>
    <x:row r="335" ht="38" customHeight="1">
      <x:c r="A335" s="461"/>
      <x:c r="B335" s="461"/>
      <x:c r="C335" s="461"/>
      <x:c r="D335" s="461"/>
      <x:c r="E335" s="495"/>
      <x:c r="F335" s="473"/>
      <x:c r="G335" s="461"/>
      <x:c r="H335" s="473"/>
      <x:c r="I335" s="461"/>
      <x:c r="J335" s="461"/>
      <x:c r="K335" s="461"/>
      <x:c r="L335" s="461"/>
      <x:c r="M335" s="593"/>
      <x:c r="N335" s="593"/>
      <x:c r="O335" s="593"/>
    </x:row>
    <x:row r="336" ht="38" customHeight="1">
      <x:c r="A336" s="461"/>
      <x:c r="B336" s="461"/>
      <x:c r="C336" s="461"/>
      <x:c r="D336" s="461"/>
      <x:c r="E336" s="495"/>
      <x:c r="F336" s="473"/>
      <x:c r="G336" s="461"/>
      <x:c r="H336" s="473"/>
      <x:c r="I336" s="461"/>
      <x:c r="J336" s="461"/>
      <x:c r="K336" s="461"/>
      <x:c r="L336" s="461"/>
      <x:c r="M336" s="593"/>
      <x:c r="N336" s="593"/>
      <x:c r="O336" s="593"/>
    </x:row>
    <x:row r="337" ht="38" customHeight="1">
      <x:c r="A337" s="461"/>
      <x:c r="B337" s="461"/>
      <x:c r="C337" s="461"/>
      <x:c r="D337" s="461"/>
      <x:c r="E337" s="495"/>
      <x:c r="F337" s="473"/>
      <x:c r="G337" s="461"/>
      <x:c r="H337" s="473"/>
      <x:c r="I337" s="461"/>
      <x:c r="J337" s="461"/>
      <x:c r="K337" s="461"/>
      <x:c r="L337" s="461"/>
      <x:c r="M337" s="593"/>
      <x:c r="N337" s="593"/>
      <x:c r="O337" s="593"/>
    </x:row>
    <x:row r="338" ht="38" customHeight="1">
      <x:c r="A338" s="461"/>
      <x:c r="B338" s="461"/>
      <x:c r="C338" s="461"/>
      <x:c r="D338" s="461"/>
      <x:c r="E338" s="495"/>
      <x:c r="F338" s="473"/>
      <x:c r="G338" s="461"/>
      <x:c r="H338" s="473"/>
      <x:c r="I338" s="461"/>
      <x:c r="J338" s="461"/>
      <x:c r="K338" s="461"/>
      <x:c r="L338" s="461"/>
      <x:c r="M338" s="593"/>
      <x:c r="N338" s="593"/>
      <x:c r="O338" s="593"/>
    </x:row>
    <x:row r="339" ht="38" customHeight="1">
      <x:c r="A339" s="461"/>
      <x:c r="B339" s="461"/>
      <x:c r="C339" s="461"/>
      <x:c r="D339" s="461"/>
      <x:c r="E339" s="495"/>
      <x:c r="F339" s="473"/>
      <x:c r="G339" s="461"/>
      <x:c r="H339" s="473"/>
      <x:c r="I339" s="461"/>
      <x:c r="J339" s="461"/>
      <x:c r="K339" s="461"/>
      <x:c r="L339" s="461"/>
      <x:c r="M339" s="593"/>
      <x:c r="N339" s="593"/>
      <x:c r="O339" s="593"/>
    </x:row>
    <x:row r="340" ht="38" customHeight="1">
      <x:c r="A340" s="461"/>
      <x:c r="B340" s="461"/>
      <x:c r="C340" s="461"/>
      <x:c r="D340" s="461"/>
      <x:c r="E340" s="495"/>
      <x:c r="F340" s="473"/>
      <x:c r="G340" s="461"/>
      <x:c r="H340" s="473"/>
      <x:c r="I340" s="461"/>
      <x:c r="J340" s="461"/>
      <x:c r="K340" s="461"/>
      <x:c r="L340" s="461"/>
      <x:c r="M340" s="593"/>
      <x:c r="N340" s="593"/>
      <x:c r="O340" s="593"/>
    </x:row>
    <x:row r="341" ht="38" customHeight="1">
      <x:c r="A341" s="461"/>
      <x:c r="B341" s="461"/>
      <x:c r="C341" s="461"/>
      <x:c r="D341" s="461"/>
      <x:c r="E341" s="495"/>
      <x:c r="F341" s="473"/>
      <x:c r="G341" s="461"/>
      <x:c r="H341" s="473"/>
      <x:c r="I341" s="461"/>
      <x:c r="J341" s="461"/>
      <x:c r="K341" s="461"/>
      <x:c r="L341" s="461"/>
      <x:c r="M341" s="593"/>
      <x:c r="N341" s="593"/>
      <x:c r="O341" s="593"/>
    </x:row>
    <x:row r="342" ht="38" customHeight="1">
      <x:c r="A342" s="461"/>
      <x:c r="B342" s="461"/>
      <x:c r="C342" s="461"/>
      <x:c r="D342" s="461"/>
      <x:c r="E342" s="495"/>
      <x:c r="F342" s="473"/>
      <x:c r="G342" s="461"/>
      <x:c r="H342" s="473"/>
      <x:c r="I342" s="461"/>
      <x:c r="J342" s="461"/>
      <x:c r="K342" s="461"/>
      <x:c r="L342" s="461"/>
      <x:c r="M342" s="593"/>
      <x:c r="N342" s="593"/>
      <x:c r="O342" s="593"/>
    </x:row>
    <x:row r="343" ht="38" customHeight="1">
      <x:c r="A343" s="461"/>
      <x:c r="B343" s="461"/>
      <x:c r="C343" s="461"/>
      <x:c r="D343" s="461"/>
      <x:c r="E343" s="495"/>
      <x:c r="F343" s="473"/>
      <x:c r="G343" s="461"/>
      <x:c r="H343" s="473"/>
      <x:c r="I343" s="461"/>
      <x:c r="J343" s="461"/>
      <x:c r="K343" s="461"/>
      <x:c r="L343" s="461"/>
      <x:c r="M343" s="593"/>
      <x:c r="N343" s="593"/>
      <x:c r="O343" s="593"/>
    </x:row>
    <x:row r="344" ht="38" customHeight="1">
      <x:c r="A344" s="461"/>
      <x:c r="B344" s="461"/>
      <x:c r="C344" s="461"/>
      <x:c r="D344" s="461"/>
      <x:c r="E344" s="495"/>
      <x:c r="F344" s="473"/>
      <x:c r="G344" s="461"/>
      <x:c r="H344" s="473"/>
      <x:c r="I344" s="461"/>
      <x:c r="J344" s="461"/>
      <x:c r="K344" s="461"/>
      <x:c r="L344" s="461"/>
      <x:c r="M344" s="593"/>
      <x:c r="N344" s="593"/>
      <x:c r="O344" s="593"/>
    </x:row>
    <x:row r="345" ht="38" customHeight="1">
      <x:c r="A345" s="461"/>
      <x:c r="B345" s="461"/>
      <x:c r="C345" s="461"/>
      <x:c r="D345" s="461"/>
      <x:c r="E345" s="495"/>
      <x:c r="F345" s="473"/>
      <x:c r="G345" s="461"/>
      <x:c r="H345" s="473"/>
      <x:c r="I345" s="461"/>
      <x:c r="J345" s="461"/>
      <x:c r="K345" s="461"/>
      <x:c r="L345" s="461"/>
      <x:c r="M345" s="593"/>
      <x:c r="N345" s="593"/>
      <x:c r="O345" s="593"/>
    </x:row>
    <x:row r="346" ht="38" customHeight="1">
      <x:c r="A346" s="461"/>
      <x:c r="B346" s="461"/>
      <x:c r="C346" s="461"/>
      <x:c r="D346" s="461"/>
      <x:c r="E346" s="495"/>
      <x:c r="F346" s="473"/>
      <x:c r="G346" s="461"/>
      <x:c r="H346" s="473"/>
      <x:c r="I346" s="461"/>
      <x:c r="J346" s="461"/>
      <x:c r="K346" s="461"/>
      <x:c r="L346" s="461"/>
      <x:c r="M346" s="593"/>
      <x:c r="N346" s="593"/>
      <x:c r="O346" s="593"/>
    </x:row>
    <x:row r="347" ht="38" customHeight="1">
      <x:c r="A347" s="461"/>
      <x:c r="B347" s="461"/>
      <x:c r="C347" s="461"/>
      <x:c r="D347" s="461"/>
      <x:c r="E347" s="495"/>
      <x:c r="F347" s="473"/>
      <x:c r="G347" s="461"/>
      <x:c r="H347" s="473"/>
      <x:c r="I347" s="461"/>
      <x:c r="J347" s="461"/>
      <x:c r="K347" s="461"/>
      <x:c r="L347" s="461"/>
      <x:c r="M347" s="593"/>
      <x:c r="N347" s="593"/>
      <x:c r="O347" s="593"/>
    </x:row>
    <x:row r="348" ht="38" customHeight="1">
      <x:c r="A348" s="461"/>
      <x:c r="B348" s="461"/>
      <x:c r="C348" s="461"/>
      <x:c r="D348" s="461"/>
      <x:c r="E348" s="495"/>
      <x:c r="F348" s="473"/>
      <x:c r="G348" s="461"/>
      <x:c r="H348" s="473"/>
      <x:c r="I348" s="461"/>
      <x:c r="J348" s="461"/>
      <x:c r="K348" s="461"/>
      <x:c r="L348" s="461"/>
      <x:c r="M348" s="593"/>
      <x:c r="N348" s="593"/>
      <x:c r="O348" s="593"/>
    </x:row>
    <x:row r="349" ht="38" customHeight="1">
      <x:c r="A349" s="461"/>
      <x:c r="B349" s="461"/>
      <x:c r="C349" s="461"/>
      <x:c r="D349" s="461"/>
      <x:c r="E349" s="495"/>
      <x:c r="F349" s="473"/>
      <x:c r="G349" s="461"/>
      <x:c r="H349" s="473"/>
      <x:c r="I349" s="461"/>
      <x:c r="J349" s="461"/>
      <x:c r="K349" s="461"/>
      <x:c r="L349" s="461"/>
      <x:c r="M349" s="593"/>
      <x:c r="N349" s="593"/>
      <x:c r="O349" s="593"/>
    </x:row>
    <x:row r="350" ht="38" customHeight="1">
      <x:c r="A350" s="461"/>
      <x:c r="B350" s="461"/>
      <x:c r="C350" s="461"/>
      <x:c r="D350" s="461"/>
      <x:c r="E350" s="495"/>
      <x:c r="F350" s="473"/>
      <x:c r="G350" s="461"/>
      <x:c r="H350" s="473"/>
      <x:c r="I350" s="461"/>
      <x:c r="J350" s="461"/>
      <x:c r="K350" s="461"/>
      <x:c r="L350" s="461"/>
      <x:c r="M350" s="593"/>
      <x:c r="N350" s="593"/>
      <x:c r="O350" s="593"/>
    </x:row>
    <x:row r="351" ht="38" customHeight="1">
      <x:c r="A351" s="461"/>
      <x:c r="B351" s="461"/>
      <x:c r="C351" s="461"/>
      <x:c r="D351" s="461"/>
      <x:c r="E351" s="495"/>
      <x:c r="F351" s="473"/>
      <x:c r="G351" s="461"/>
      <x:c r="H351" s="473"/>
      <x:c r="I351" s="461"/>
      <x:c r="J351" s="461"/>
      <x:c r="K351" s="461"/>
      <x:c r="L351" s="461"/>
      <x:c r="M351" s="593"/>
      <x:c r="N351" s="593"/>
      <x:c r="O351" s="593"/>
    </x:row>
    <x:row r="352" ht="38" customHeight="1">
      <x:c r="A352" s="461"/>
      <x:c r="B352" s="461"/>
      <x:c r="C352" s="461"/>
      <x:c r="D352" s="461"/>
      <x:c r="E352" s="495"/>
      <x:c r="F352" s="473"/>
      <x:c r="G352" s="461"/>
      <x:c r="H352" s="473"/>
      <x:c r="I352" s="461"/>
      <x:c r="J352" s="461"/>
      <x:c r="K352" s="461"/>
      <x:c r="L352" s="461"/>
      <x:c r="M352" s="593"/>
      <x:c r="N352" s="593"/>
      <x:c r="O352" s="593"/>
    </x:row>
    <x:row r="353" ht="38" customHeight="1">
      <x:c r="A353" s="461"/>
      <x:c r="B353" s="461"/>
      <x:c r="C353" s="461"/>
      <x:c r="D353" s="461"/>
      <x:c r="E353" s="495"/>
      <x:c r="F353" s="473"/>
      <x:c r="G353" s="461"/>
      <x:c r="H353" s="473"/>
      <x:c r="I353" s="461"/>
      <x:c r="J353" s="461"/>
      <x:c r="K353" s="461"/>
      <x:c r="L353" s="461"/>
      <x:c r="M353" s="593"/>
      <x:c r="N353" s="593"/>
      <x:c r="O353" s="593"/>
    </x:row>
    <x:row r="354" ht="38" customHeight="1">
      <x:c r="A354" s="461"/>
      <x:c r="B354" s="461"/>
      <x:c r="C354" s="461"/>
      <x:c r="D354" s="461"/>
      <x:c r="E354" s="495"/>
      <x:c r="F354" s="473"/>
      <x:c r="G354" s="461"/>
      <x:c r="H354" s="473"/>
      <x:c r="I354" s="461"/>
      <x:c r="J354" s="461"/>
      <x:c r="K354" s="461"/>
      <x:c r="L354" s="461"/>
      <x:c r="M354" s="593"/>
      <x:c r="N354" s="593"/>
      <x:c r="O354" s="593"/>
    </x:row>
    <x:row r="355" ht="38" customHeight="1">
      <x:c r="A355" s="461"/>
      <x:c r="B355" s="461"/>
      <x:c r="C355" s="461"/>
      <x:c r="D355" s="461"/>
      <x:c r="E355" s="495"/>
      <x:c r="F355" s="473"/>
      <x:c r="G355" s="461"/>
      <x:c r="H355" s="473"/>
      <x:c r="I355" s="461"/>
      <x:c r="J355" s="461"/>
      <x:c r="K355" s="461"/>
      <x:c r="L355" s="461"/>
      <x:c r="M355" s="593"/>
      <x:c r="N355" s="593"/>
      <x:c r="O355" s="593"/>
    </x:row>
    <x:row r="356" ht="38" customHeight="1">
      <x:c r="A356" s="461"/>
      <x:c r="B356" s="461"/>
      <x:c r="C356" s="461"/>
      <x:c r="D356" s="461"/>
      <x:c r="E356" s="495"/>
      <x:c r="F356" s="473"/>
      <x:c r="G356" s="461"/>
      <x:c r="H356" s="473"/>
      <x:c r="I356" s="461"/>
      <x:c r="J356" s="461"/>
      <x:c r="K356" s="461"/>
      <x:c r="L356" s="461"/>
      <x:c r="M356" s="593"/>
      <x:c r="N356" s="593"/>
      <x:c r="O356" s="593"/>
    </x:row>
    <x:row r="357" ht="38" customHeight="1">
      <x:c r="A357" s="461"/>
      <x:c r="B357" s="461"/>
      <x:c r="C357" s="461"/>
      <x:c r="D357" s="461"/>
      <x:c r="E357" s="495"/>
      <x:c r="F357" s="473"/>
      <x:c r="G357" s="461"/>
      <x:c r="H357" s="473"/>
      <x:c r="I357" s="461"/>
      <x:c r="J357" s="461"/>
      <x:c r="K357" s="461"/>
      <x:c r="L357" s="461"/>
      <x:c r="M357" s="593"/>
      <x:c r="N357" s="593"/>
      <x:c r="O357" s="593"/>
    </x:row>
    <x:row r="358" ht="38" customHeight="1">
      <x:c r="A358" s="461"/>
      <x:c r="B358" s="461"/>
      <x:c r="C358" s="461"/>
      <x:c r="D358" s="461"/>
      <x:c r="E358" s="495"/>
      <x:c r="F358" s="473"/>
      <x:c r="G358" s="461"/>
      <x:c r="H358" s="473"/>
      <x:c r="I358" s="461"/>
      <x:c r="J358" s="461"/>
      <x:c r="K358" s="461"/>
      <x:c r="L358" s="461"/>
      <x:c r="M358" s="593"/>
      <x:c r="N358" s="593"/>
      <x:c r="O358" s="593"/>
    </x:row>
    <x:row r="359" ht="38" customHeight="1">
      <x:c r="A359" s="461"/>
      <x:c r="B359" s="461"/>
      <x:c r="C359" s="461"/>
      <x:c r="D359" s="461"/>
      <x:c r="E359" s="495"/>
      <x:c r="F359" s="473"/>
      <x:c r="G359" s="461"/>
      <x:c r="H359" s="473"/>
      <x:c r="I359" s="461"/>
      <x:c r="J359" s="461"/>
      <x:c r="K359" s="461"/>
      <x:c r="L359" s="461"/>
      <x:c r="M359" s="593"/>
      <x:c r="N359" s="593"/>
      <x:c r="O359" s="593"/>
    </x:row>
    <x:row r="360" ht="38" customHeight="1">
      <x:c r="A360" s="461"/>
      <x:c r="B360" s="461"/>
      <x:c r="C360" s="461"/>
      <x:c r="D360" s="461"/>
      <x:c r="E360" s="495"/>
      <x:c r="F360" s="473"/>
      <x:c r="G360" s="461"/>
      <x:c r="H360" s="473"/>
      <x:c r="I360" s="461"/>
      <x:c r="J360" s="461"/>
      <x:c r="K360" s="461"/>
      <x:c r="L360" s="461"/>
      <x:c r="M360" s="593"/>
      <x:c r="N360" s="593"/>
      <x:c r="O360" s="593"/>
    </x:row>
    <x:row r="361" ht="38" customHeight="1">
      <x:c r="A361" s="461"/>
      <x:c r="B361" s="461"/>
      <x:c r="C361" s="461"/>
      <x:c r="D361" s="461"/>
      <x:c r="E361" s="495"/>
      <x:c r="F361" s="473"/>
      <x:c r="G361" s="461"/>
      <x:c r="H361" s="473"/>
      <x:c r="I361" s="461"/>
      <x:c r="J361" s="461"/>
      <x:c r="K361" s="461"/>
      <x:c r="L361" s="461"/>
      <x:c r="M361" s="593"/>
      <x:c r="N361" s="593"/>
      <x:c r="O361" s="593"/>
    </x:row>
    <x:row r="362" ht="38" customHeight="1">
      <x:c r="A362" s="461"/>
      <x:c r="B362" s="461"/>
      <x:c r="C362" s="461"/>
      <x:c r="D362" s="461"/>
      <x:c r="E362" s="495"/>
      <x:c r="F362" s="473"/>
      <x:c r="G362" s="461"/>
      <x:c r="H362" s="473"/>
      <x:c r="I362" s="461"/>
      <x:c r="J362" s="461"/>
      <x:c r="K362" s="461"/>
      <x:c r="L362" s="461"/>
      <x:c r="M362" s="593"/>
      <x:c r="N362" s="593"/>
      <x:c r="O362" s="593"/>
    </x:row>
    <x:row r="363" ht="38" customHeight="1">
      <x:c r="A363" s="461"/>
      <x:c r="B363" s="461"/>
      <x:c r="C363" s="461"/>
      <x:c r="D363" s="461"/>
      <x:c r="E363" s="495"/>
      <x:c r="F363" s="473"/>
      <x:c r="G363" s="461"/>
      <x:c r="H363" s="473"/>
      <x:c r="I363" s="461"/>
      <x:c r="J363" s="461"/>
      <x:c r="K363" s="461"/>
      <x:c r="L363" s="461"/>
      <x:c r="M363" s="593"/>
      <x:c r="N363" s="593"/>
      <x:c r="O363" s="593"/>
    </x:row>
    <x:row r="364" ht="38" customHeight="1">
      <x:c r="A364" s="461"/>
      <x:c r="B364" s="461"/>
      <x:c r="C364" s="461"/>
      <x:c r="D364" s="461"/>
      <x:c r="E364" s="495"/>
      <x:c r="F364" s="473"/>
      <x:c r="G364" s="461"/>
      <x:c r="H364" s="473"/>
      <x:c r="I364" s="461"/>
      <x:c r="J364" s="461"/>
      <x:c r="K364" s="461"/>
      <x:c r="L364" s="461"/>
      <x:c r="M364" s="593"/>
      <x:c r="N364" s="593"/>
      <x:c r="O364" s="593"/>
    </x:row>
    <x:row r="365" ht="38" customHeight="1">
      <x:c r="A365" s="461"/>
      <x:c r="B365" s="461"/>
      <x:c r="C365" s="461"/>
      <x:c r="D365" s="461"/>
      <x:c r="E365" s="495"/>
      <x:c r="F365" s="473"/>
      <x:c r="G365" s="461"/>
      <x:c r="H365" s="473"/>
      <x:c r="I365" s="461"/>
      <x:c r="J365" s="461"/>
      <x:c r="K365" s="461"/>
      <x:c r="L365" s="461"/>
      <x:c r="M365" s="593"/>
      <x:c r="N365" s="593"/>
      <x:c r="O365" s="593"/>
    </x:row>
    <x:row r="366" ht="38" customHeight="1">
      <x:c r="A366" s="461"/>
      <x:c r="B366" s="461"/>
      <x:c r="C366" s="461"/>
      <x:c r="D366" s="461"/>
      <x:c r="E366" s="495"/>
      <x:c r="F366" s="473"/>
      <x:c r="G366" s="461"/>
      <x:c r="H366" s="473"/>
      <x:c r="I366" s="461"/>
      <x:c r="J366" s="461"/>
      <x:c r="K366" s="461"/>
      <x:c r="L366" s="461"/>
      <x:c r="M366" s="593"/>
      <x:c r="N366" s="593"/>
      <x:c r="O366" s="593"/>
    </x:row>
    <x:row r="367" ht="38" customHeight="1">
      <x:c r="A367" s="461"/>
      <x:c r="B367" s="461"/>
      <x:c r="C367" s="461"/>
      <x:c r="D367" s="461"/>
      <x:c r="E367" s="495"/>
      <x:c r="F367" s="473"/>
      <x:c r="G367" s="461"/>
      <x:c r="H367" s="473"/>
      <x:c r="I367" s="461"/>
      <x:c r="J367" s="461"/>
      <x:c r="K367" s="461"/>
      <x:c r="L367" s="461"/>
      <x:c r="M367" s="593"/>
      <x:c r="N367" s="593"/>
      <x:c r="O367" s="593"/>
    </x:row>
    <x:row r="368" ht="38" customHeight="1">
      <x:c r="A368" s="461"/>
      <x:c r="B368" s="461"/>
      <x:c r="C368" s="461"/>
      <x:c r="D368" s="461"/>
      <x:c r="E368" s="495"/>
      <x:c r="F368" s="473"/>
      <x:c r="G368" s="461"/>
      <x:c r="H368" s="473"/>
      <x:c r="I368" s="461"/>
      <x:c r="J368" s="461"/>
      <x:c r="K368" s="461"/>
      <x:c r="L368" s="461"/>
      <x:c r="M368" s="593"/>
      <x:c r="N368" s="593"/>
      <x:c r="O368" s="593"/>
    </x:row>
    <x:row r="369" ht="38" customHeight="1">
      <x:c r="A369" s="461"/>
      <x:c r="B369" s="461"/>
      <x:c r="C369" s="461"/>
      <x:c r="D369" s="461"/>
      <x:c r="E369" s="495"/>
      <x:c r="F369" s="473"/>
      <x:c r="G369" s="461"/>
      <x:c r="H369" s="473"/>
      <x:c r="I369" s="461"/>
      <x:c r="J369" s="461"/>
      <x:c r="K369" s="461"/>
      <x:c r="L369" s="461"/>
      <x:c r="M369" s="593"/>
      <x:c r="N369" s="593"/>
      <x:c r="O369" s="593"/>
    </x:row>
    <x:row r="370" ht="38" customHeight="1">
      <x:c r="A370" s="461"/>
      <x:c r="B370" s="461"/>
      <x:c r="C370" s="461"/>
      <x:c r="D370" s="461"/>
      <x:c r="E370" s="495"/>
      <x:c r="F370" s="473"/>
      <x:c r="G370" s="461"/>
      <x:c r="H370" s="473"/>
      <x:c r="I370" s="461"/>
      <x:c r="J370" s="461"/>
      <x:c r="K370" s="461"/>
      <x:c r="L370" s="461"/>
      <x:c r="M370" s="593"/>
      <x:c r="N370" s="593"/>
      <x:c r="O370" s="593"/>
    </x:row>
    <x:row r="371" ht="38" customHeight="1">
      <x:c r="A371" s="461"/>
      <x:c r="B371" s="461"/>
      <x:c r="C371" s="461"/>
      <x:c r="D371" s="461"/>
      <x:c r="E371" s="495"/>
      <x:c r="F371" s="473"/>
      <x:c r="G371" s="461"/>
      <x:c r="H371" s="473"/>
      <x:c r="I371" s="461"/>
      <x:c r="J371" s="461"/>
      <x:c r="K371" s="461"/>
      <x:c r="L371" s="461"/>
      <x:c r="M371" s="593"/>
      <x:c r="N371" s="593"/>
      <x:c r="O371" s="593"/>
    </x:row>
    <x:row r="372" ht="38" customHeight="1">
      <x:c r="A372" s="461"/>
      <x:c r="B372" s="461"/>
      <x:c r="C372" s="461"/>
      <x:c r="D372" s="461"/>
      <x:c r="E372" s="495"/>
      <x:c r="F372" s="473"/>
      <x:c r="G372" s="461"/>
      <x:c r="H372" s="473"/>
      <x:c r="I372" s="461"/>
      <x:c r="J372" s="461"/>
      <x:c r="K372" s="461"/>
      <x:c r="L372" s="461"/>
      <x:c r="M372" s="593"/>
      <x:c r="N372" s="593"/>
      <x:c r="O372" s="593"/>
    </x:row>
    <x:row r="373" ht="38" customHeight="1">
      <x:c r="A373" s="461"/>
      <x:c r="B373" s="461"/>
      <x:c r="C373" s="461"/>
      <x:c r="D373" s="461"/>
      <x:c r="E373" s="495"/>
      <x:c r="F373" s="473"/>
      <x:c r="G373" s="461"/>
      <x:c r="H373" s="473"/>
      <x:c r="I373" s="461"/>
      <x:c r="J373" s="461"/>
      <x:c r="K373" s="461"/>
      <x:c r="L373" s="461"/>
      <x:c r="M373" s="593"/>
      <x:c r="N373" s="593"/>
      <x:c r="O373" s="593"/>
    </x:row>
    <x:row r="374" ht="38" customHeight="1">
      <x:c r="A374" s="461"/>
      <x:c r="B374" s="461"/>
      <x:c r="C374" s="461"/>
      <x:c r="D374" s="461"/>
      <x:c r="E374" s="495"/>
      <x:c r="F374" s="473"/>
      <x:c r="G374" s="461"/>
      <x:c r="H374" s="473"/>
      <x:c r="I374" s="461"/>
      <x:c r="J374" s="461"/>
      <x:c r="K374" s="461"/>
      <x:c r="L374" s="461"/>
      <x:c r="M374" s="593"/>
      <x:c r="N374" s="593"/>
      <x:c r="O374" s="593"/>
    </x:row>
    <x:row r="375" ht="38" customHeight="1">
      <x:c r="A375" s="461"/>
      <x:c r="B375" s="461"/>
      <x:c r="C375" s="461"/>
      <x:c r="D375" s="461"/>
      <x:c r="E375" s="495"/>
      <x:c r="F375" s="473"/>
      <x:c r="G375" s="461"/>
      <x:c r="H375" s="473"/>
      <x:c r="I375" s="461"/>
      <x:c r="J375" s="461"/>
      <x:c r="K375" s="461"/>
      <x:c r="L375" s="461"/>
      <x:c r="M375" s="593"/>
      <x:c r="N375" s="593"/>
      <x:c r="O375" s="593"/>
    </x:row>
    <x:row r="376" ht="38" customHeight="1">
      <x:c r="A376" s="461"/>
      <x:c r="B376" s="461"/>
      <x:c r="C376" s="461"/>
      <x:c r="D376" s="461"/>
      <x:c r="E376" s="495"/>
      <x:c r="F376" s="473"/>
      <x:c r="G376" s="461"/>
      <x:c r="H376" s="473"/>
      <x:c r="I376" s="461"/>
      <x:c r="J376" s="461"/>
      <x:c r="K376" s="461"/>
      <x:c r="L376" s="461"/>
      <x:c r="M376" s="593"/>
      <x:c r="N376" s="593"/>
      <x:c r="O376" s="593"/>
    </x:row>
    <x:row r="377" ht="38" customHeight="1">
      <x:c r="A377" s="461"/>
      <x:c r="B377" s="461"/>
      <x:c r="C377" s="461"/>
      <x:c r="D377" s="461"/>
      <x:c r="E377" s="495"/>
      <x:c r="F377" s="473"/>
      <x:c r="G377" s="461"/>
      <x:c r="H377" s="473"/>
      <x:c r="I377" s="461"/>
      <x:c r="J377" s="461"/>
      <x:c r="K377" s="461"/>
      <x:c r="L377" s="461"/>
      <x:c r="M377" s="593"/>
      <x:c r="N377" s="593"/>
      <x:c r="O377" s="593"/>
    </x:row>
    <x:row r="378" ht="38" customHeight="1">
      <x:c r="A378" s="461"/>
      <x:c r="B378" s="461"/>
      <x:c r="C378" s="461"/>
      <x:c r="D378" s="461"/>
      <x:c r="E378" s="495"/>
      <x:c r="F378" s="473"/>
      <x:c r="G378" s="461"/>
      <x:c r="H378" s="473"/>
      <x:c r="I378" s="461"/>
      <x:c r="J378" s="461"/>
      <x:c r="K378" s="461"/>
      <x:c r="L378" s="461"/>
      <x:c r="M378" s="593"/>
      <x:c r="N378" s="593"/>
      <x:c r="O378" s="593"/>
    </x:row>
    <x:row r="379" ht="38" customHeight="1">
      <x:c r="A379" s="461"/>
      <x:c r="B379" s="461"/>
      <x:c r="C379" s="461"/>
      <x:c r="D379" s="461"/>
      <x:c r="E379" s="495"/>
      <x:c r="F379" s="473"/>
      <x:c r="G379" s="461"/>
      <x:c r="H379" s="473"/>
      <x:c r="I379" s="461"/>
      <x:c r="J379" s="461"/>
      <x:c r="K379" s="461"/>
      <x:c r="L379" s="461"/>
      <x:c r="M379" s="593"/>
      <x:c r="N379" s="593"/>
      <x:c r="O379" s="593"/>
    </x:row>
    <x:row r="380" ht="38" customHeight="1">
      <x:c r="A380" s="461"/>
      <x:c r="B380" s="461"/>
      <x:c r="C380" s="461"/>
      <x:c r="D380" s="461"/>
      <x:c r="E380" s="495"/>
      <x:c r="F380" s="473"/>
      <x:c r="G380" s="461"/>
      <x:c r="H380" s="473"/>
      <x:c r="I380" s="461"/>
      <x:c r="J380" s="461"/>
      <x:c r="K380" s="461"/>
      <x:c r="L380" s="461"/>
      <x:c r="M380" s="593"/>
      <x:c r="N380" s="593"/>
      <x:c r="O380" s="593"/>
    </x:row>
    <x:row r="381" ht="38" customHeight="1">
      <x:c r="A381" s="461"/>
      <x:c r="B381" s="461"/>
      <x:c r="C381" s="461"/>
      <x:c r="D381" s="461"/>
      <x:c r="E381" s="495"/>
      <x:c r="F381" s="473"/>
      <x:c r="G381" s="461"/>
      <x:c r="H381" s="473"/>
      <x:c r="I381" s="461"/>
      <x:c r="J381" s="461"/>
      <x:c r="K381" s="461"/>
      <x:c r="L381" s="461"/>
      <x:c r="M381" s="593"/>
      <x:c r="N381" s="593"/>
      <x:c r="O381" s="593"/>
    </x:row>
    <x:row r="382" ht="38" customHeight="1">
      <x:c r="A382" s="461"/>
      <x:c r="B382" s="461"/>
      <x:c r="C382" s="461"/>
      <x:c r="D382" s="461"/>
      <x:c r="E382" s="495"/>
      <x:c r="F382" s="473"/>
      <x:c r="G382" s="461"/>
      <x:c r="H382" s="473"/>
      <x:c r="I382" s="461"/>
      <x:c r="J382" s="461"/>
      <x:c r="K382" s="461"/>
      <x:c r="L382" s="461"/>
      <x:c r="M382" s="593"/>
      <x:c r="N382" s="593"/>
      <x:c r="O382" s="593"/>
    </x:row>
    <x:row r="383" ht="38" customHeight="1">
      <x:c r="A383" s="461"/>
      <x:c r="B383" s="461"/>
      <x:c r="C383" s="461"/>
      <x:c r="D383" s="461"/>
      <x:c r="E383" s="495"/>
      <x:c r="F383" s="473"/>
      <x:c r="G383" s="461"/>
      <x:c r="H383" s="473"/>
      <x:c r="I383" s="461"/>
      <x:c r="J383" s="461"/>
      <x:c r="K383" s="461"/>
      <x:c r="L383" s="461"/>
      <x:c r="M383" s="593"/>
      <x:c r="N383" s="593"/>
      <x:c r="O383" s="593"/>
    </x:row>
    <x:row r="384" ht="38" customHeight="1">
      <x:c r="A384" s="461"/>
      <x:c r="B384" s="461"/>
      <x:c r="C384" s="461"/>
      <x:c r="D384" s="461"/>
      <x:c r="E384" s="495"/>
      <x:c r="F384" s="473"/>
      <x:c r="G384" s="461"/>
      <x:c r="H384" s="473"/>
      <x:c r="I384" s="461"/>
      <x:c r="J384" s="461"/>
      <x:c r="K384" s="461"/>
      <x:c r="L384" s="461"/>
      <x:c r="M384" s="593"/>
      <x:c r="N384" s="593"/>
      <x:c r="O384" s="593"/>
    </x:row>
    <x:row r="385" ht="38" customHeight="1">
      <x:c r="A385" s="461"/>
      <x:c r="B385" s="461"/>
      <x:c r="C385" s="461"/>
      <x:c r="D385" s="461"/>
      <x:c r="E385" s="495"/>
      <x:c r="F385" s="473"/>
      <x:c r="G385" s="461"/>
      <x:c r="H385" s="473"/>
      <x:c r="I385" s="461"/>
      <x:c r="J385" s="461"/>
      <x:c r="K385" s="461"/>
      <x:c r="L385" s="461"/>
      <x:c r="M385" s="593"/>
      <x:c r="N385" s="593"/>
      <x:c r="O385" s="593"/>
    </x:row>
    <x:row r="386" ht="38" customHeight="1">
      <x:c r="A386" s="461"/>
      <x:c r="B386" s="461"/>
      <x:c r="C386" s="461"/>
      <x:c r="D386" s="461"/>
      <x:c r="E386" s="495"/>
      <x:c r="F386" s="473"/>
      <x:c r="G386" s="461"/>
      <x:c r="H386" s="473"/>
      <x:c r="I386" s="461"/>
      <x:c r="J386" s="461"/>
      <x:c r="K386" s="461"/>
      <x:c r="L386" s="461"/>
      <x:c r="M386" s="593"/>
      <x:c r="N386" s="593"/>
      <x:c r="O386" s="593"/>
    </x:row>
    <x:row r="387" ht="38" customHeight="1">
      <x:c r="A387" s="461"/>
      <x:c r="B387" s="461"/>
      <x:c r="C387" s="461"/>
      <x:c r="D387" s="461"/>
      <x:c r="E387" s="495"/>
      <x:c r="F387" s="473"/>
      <x:c r="G387" s="461"/>
      <x:c r="H387" s="473"/>
      <x:c r="I387" s="461"/>
      <x:c r="J387" s="461"/>
      <x:c r="K387" s="461"/>
      <x:c r="L387" s="461"/>
      <x:c r="M387" s="593"/>
      <x:c r="N387" s="593"/>
      <x:c r="O387" s="593"/>
    </x:row>
    <x:row r="388" ht="38" customHeight="1">
      <x:c r="A388" s="461"/>
      <x:c r="B388" s="461"/>
      <x:c r="C388" s="461"/>
      <x:c r="D388" s="461"/>
      <x:c r="E388" s="495"/>
      <x:c r="F388" s="473"/>
      <x:c r="G388" s="461"/>
      <x:c r="H388" s="473"/>
      <x:c r="I388" s="461"/>
      <x:c r="J388" s="461"/>
      <x:c r="K388" s="461"/>
      <x:c r="L388" s="461"/>
      <x:c r="M388" s="593"/>
      <x:c r="N388" s="593"/>
      <x:c r="O388" s="593"/>
    </x:row>
    <x:row r="389" ht="38" customHeight="1">
      <x:c r="A389" s="461"/>
      <x:c r="B389" s="461"/>
      <x:c r="C389" s="461"/>
      <x:c r="D389" s="461"/>
      <x:c r="E389" s="495"/>
      <x:c r="F389" s="473"/>
      <x:c r="G389" s="461"/>
      <x:c r="H389" s="473"/>
      <x:c r="I389" s="461"/>
      <x:c r="J389" s="461"/>
      <x:c r="K389" s="461"/>
      <x:c r="L389" s="461"/>
      <x:c r="M389" s="593"/>
      <x:c r="N389" s="593"/>
      <x:c r="O389" s="593"/>
    </x:row>
    <x:row r="390" ht="38" customHeight="1">
      <x:c r="A390" s="461"/>
      <x:c r="B390" s="461"/>
      <x:c r="C390" s="461"/>
      <x:c r="D390" s="461"/>
      <x:c r="E390" s="495"/>
      <x:c r="F390" s="473"/>
      <x:c r="G390" s="461"/>
      <x:c r="H390" s="473"/>
      <x:c r="I390" s="461"/>
      <x:c r="J390" s="461"/>
      <x:c r="K390" s="461"/>
      <x:c r="L390" s="461"/>
      <x:c r="M390" s="593"/>
      <x:c r="N390" s="593"/>
      <x:c r="O390" s="593"/>
    </x:row>
    <x:row r="391" ht="38" customHeight="1">
      <x:c r="A391" s="461"/>
      <x:c r="B391" s="461"/>
      <x:c r="C391" s="461"/>
      <x:c r="D391" s="461"/>
      <x:c r="E391" s="495"/>
      <x:c r="F391" s="473"/>
      <x:c r="G391" s="461"/>
      <x:c r="H391" s="473"/>
      <x:c r="I391" s="461"/>
      <x:c r="J391" s="461"/>
      <x:c r="K391" s="461"/>
      <x:c r="L391" s="461"/>
      <x:c r="M391" s="593"/>
      <x:c r="N391" s="593"/>
      <x:c r="O391" s="593"/>
    </x:row>
    <x:row r="392" ht="38" customHeight="1">
      <x:c r="A392" s="461"/>
      <x:c r="B392" s="461"/>
      <x:c r="C392" s="461"/>
      <x:c r="D392" s="461"/>
      <x:c r="E392" s="495"/>
      <x:c r="F392" s="473"/>
      <x:c r="G392" s="461"/>
      <x:c r="H392" s="473"/>
      <x:c r="I392" s="461"/>
      <x:c r="J392" s="461"/>
      <x:c r="K392" s="461"/>
      <x:c r="L392" s="461"/>
      <x:c r="M392" s="593"/>
      <x:c r="N392" s="593"/>
      <x:c r="O392" s="593"/>
    </x:row>
    <x:row r="393" ht="38" customHeight="1">
      <x:c r="A393" s="461"/>
      <x:c r="B393" s="461"/>
      <x:c r="C393" s="461"/>
      <x:c r="D393" s="461"/>
      <x:c r="E393" s="495"/>
      <x:c r="F393" s="473"/>
      <x:c r="G393" s="461"/>
      <x:c r="H393" s="473"/>
      <x:c r="I393" s="461"/>
      <x:c r="J393" s="461"/>
      <x:c r="K393" s="461"/>
      <x:c r="L393" s="461"/>
      <x:c r="M393" s="593"/>
      <x:c r="N393" s="593"/>
      <x:c r="O393" s="593"/>
    </x:row>
    <x:row r="394" ht="38" customHeight="1">
      <x:c r="A394" s="461"/>
      <x:c r="B394" s="461"/>
      <x:c r="C394" s="461"/>
      <x:c r="D394" s="461"/>
      <x:c r="E394" s="495"/>
      <x:c r="F394" s="473"/>
      <x:c r="G394" s="461"/>
      <x:c r="H394" s="473"/>
      <x:c r="I394" s="461"/>
      <x:c r="J394" s="461"/>
      <x:c r="K394" s="461"/>
      <x:c r="L394" s="461"/>
      <x:c r="M394" s="593"/>
      <x:c r="N394" s="593"/>
      <x:c r="O394" s="593"/>
    </x:row>
    <x:row r="395" ht="38" customHeight="1">
      <x:c r="A395" s="461"/>
      <x:c r="B395" s="461"/>
      <x:c r="C395" s="461"/>
      <x:c r="D395" s="461"/>
      <x:c r="E395" s="495"/>
      <x:c r="F395" s="473"/>
      <x:c r="G395" s="461"/>
      <x:c r="H395" s="473"/>
      <x:c r="I395" s="461"/>
      <x:c r="J395" s="461"/>
      <x:c r="K395" s="461"/>
      <x:c r="L395" s="461"/>
      <x:c r="M395" s="593"/>
      <x:c r="N395" s="593"/>
      <x:c r="O395" s="593"/>
    </x:row>
    <x:row r="396" ht="38" customHeight="1">
      <x:c r="A396" s="461"/>
      <x:c r="B396" s="461"/>
      <x:c r="C396" s="461"/>
      <x:c r="D396" s="461"/>
      <x:c r="E396" s="495"/>
      <x:c r="F396" s="473"/>
      <x:c r="G396" s="461"/>
      <x:c r="H396" s="473"/>
      <x:c r="I396" s="461"/>
      <x:c r="J396" s="461"/>
      <x:c r="K396" s="461"/>
      <x:c r="L396" s="461"/>
      <x:c r="M396" s="593"/>
      <x:c r="N396" s="593"/>
      <x:c r="O396" s="593"/>
    </x:row>
    <x:row r="397" ht="38" customHeight="1">
      <x:c r="A397" s="461"/>
      <x:c r="B397" s="461"/>
      <x:c r="C397" s="461"/>
      <x:c r="D397" s="461"/>
      <x:c r="E397" s="495"/>
      <x:c r="F397" s="473"/>
      <x:c r="G397" s="461"/>
      <x:c r="H397" s="473"/>
      <x:c r="I397" s="461"/>
      <x:c r="J397" s="461"/>
      <x:c r="K397" s="461"/>
      <x:c r="L397" s="461"/>
      <x:c r="M397" s="593"/>
      <x:c r="N397" s="593"/>
      <x:c r="O397" s="593"/>
    </x:row>
    <x:row r="398" ht="38" customHeight="1">
      <x:c r="A398" s="461"/>
      <x:c r="B398" s="461"/>
      <x:c r="C398" s="461"/>
      <x:c r="D398" s="461"/>
      <x:c r="E398" s="495"/>
      <x:c r="F398" s="473"/>
      <x:c r="G398" s="461"/>
      <x:c r="H398" s="473"/>
      <x:c r="I398" s="461"/>
      <x:c r="J398" s="461"/>
      <x:c r="K398" s="461"/>
      <x:c r="L398" s="461"/>
      <x:c r="M398" s="593"/>
      <x:c r="N398" s="593"/>
      <x:c r="O398" s="593"/>
    </x:row>
    <x:row r="399" ht="38" customHeight="1">
      <x:c r="A399" s="461"/>
      <x:c r="B399" s="461"/>
      <x:c r="C399" s="461"/>
      <x:c r="D399" s="461"/>
      <x:c r="E399" s="495"/>
      <x:c r="F399" s="473"/>
      <x:c r="G399" s="461"/>
      <x:c r="H399" s="473"/>
      <x:c r="I399" s="461"/>
      <x:c r="J399" s="461"/>
      <x:c r="K399" s="461"/>
      <x:c r="L399" s="461"/>
      <x:c r="M399" s="593"/>
      <x:c r="N399" s="593"/>
      <x:c r="O399" s="593"/>
    </x:row>
    <x:row r="400" ht="38" customHeight="1">
      <x:c r="A400" s="461"/>
      <x:c r="B400" s="461"/>
      <x:c r="C400" s="461"/>
      <x:c r="D400" s="461"/>
      <x:c r="E400" s="495"/>
      <x:c r="F400" s="473"/>
      <x:c r="G400" s="461"/>
      <x:c r="H400" s="473"/>
      <x:c r="I400" s="461"/>
      <x:c r="J400" s="461"/>
      <x:c r="K400" s="461"/>
      <x:c r="L400" s="461"/>
      <x:c r="M400" s="593"/>
      <x:c r="N400" s="593"/>
      <x:c r="O400" s="593"/>
    </x:row>
    <x:row r="401" ht="38" customHeight="1">
      <x:c r="A401" s="461"/>
      <x:c r="B401" s="461"/>
      <x:c r="C401" s="461"/>
      <x:c r="D401" s="461"/>
      <x:c r="E401" s="495"/>
      <x:c r="F401" s="473"/>
      <x:c r="G401" s="461"/>
      <x:c r="H401" s="473"/>
      <x:c r="I401" s="461"/>
      <x:c r="J401" s="461"/>
      <x:c r="K401" s="461"/>
      <x:c r="L401" s="461"/>
      <x:c r="M401" s="593"/>
      <x:c r="N401" s="593"/>
      <x:c r="O401" s="593"/>
    </x:row>
    <x:row r="402" ht="38" customHeight="1">
      <x:c r="A402" s="461"/>
      <x:c r="B402" s="461"/>
      <x:c r="C402" s="461"/>
      <x:c r="D402" s="461"/>
      <x:c r="E402" s="495"/>
      <x:c r="F402" s="473"/>
      <x:c r="G402" s="461"/>
      <x:c r="H402" s="473"/>
      <x:c r="I402" s="461"/>
      <x:c r="J402" s="461"/>
      <x:c r="K402" s="461"/>
      <x:c r="L402" s="461"/>
      <x:c r="M402" s="593"/>
      <x:c r="N402" s="593"/>
      <x:c r="O402" s="593"/>
    </x:row>
    <x:row r="403" ht="38" customHeight="1">
      <x:c r="A403" s="461"/>
      <x:c r="B403" s="461"/>
      <x:c r="C403" s="461"/>
      <x:c r="D403" s="461"/>
      <x:c r="E403" s="495"/>
      <x:c r="F403" s="473"/>
      <x:c r="G403" s="461"/>
      <x:c r="H403" s="473"/>
      <x:c r="I403" s="461"/>
      <x:c r="J403" s="461"/>
      <x:c r="K403" s="461"/>
      <x:c r="L403" s="461"/>
      <x:c r="M403" s="593"/>
      <x:c r="N403" s="593"/>
      <x:c r="O403" s="593"/>
    </x:row>
    <x:row r="404" ht="38" customHeight="1">
      <x:c r="A404" s="461"/>
      <x:c r="B404" s="461"/>
      <x:c r="C404" s="461"/>
      <x:c r="D404" s="461"/>
      <x:c r="E404" s="495"/>
      <x:c r="F404" s="473"/>
      <x:c r="G404" s="461"/>
      <x:c r="H404" s="473"/>
      <x:c r="I404" s="461"/>
      <x:c r="J404" s="461"/>
      <x:c r="K404" s="461"/>
      <x:c r="L404" s="461"/>
      <x:c r="M404" s="593"/>
      <x:c r="N404" s="593"/>
      <x:c r="O404" s="593"/>
    </x:row>
    <x:row r="405" ht="38" customHeight="1">
      <x:c r="A405" s="461"/>
      <x:c r="B405" s="461"/>
      <x:c r="C405" s="461"/>
      <x:c r="D405" s="461"/>
      <x:c r="E405" s="495"/>
      <x:c r="F405" s="473"/>
      <x:c r="G405" s="461"/>
      <x:c r="H405" s="473"/>
      <x:c r="I405" s="461"/>
      <x:c r="J405" s="461"/>
      <x:c r="K405" s="461"/>
      <x:c r="L405" s="461"/>
      <x:c r="M405" s="593"/>
      <x:c r="N405" s="593"/>
      <x:c r="O405" s="593"/>
    </x:row>
    <x:row r="406" ht="38" customHeight="1">
      <x:c r="A406" s="461"/>
      <x:c r="B406" s="461"/>
      <x:c r="C406" s="461"/>
      <x:c r="D406" s="461"/>
      <x:c r="E406" s="495"/>
      <x:c r="F406" s="473"/>
      <x:c r="G406" s="461"/>
      <x:c r="H406" s="473"/>
      <x:c r="I406" s="461"/>
      <x:c r="J406" s="461"/>
      <x:c r="K406" s="461"/>
      <x:c r="L406" s="461"/>
      <x:c r="M406" s="593"/>
      <x:c r="N406" s="593"/>
      <x:c r="O406" s="593"/>
    </x:row>
    <x:row r="407" ht="38" customHeight="1">
      <x:c r="A407" s="461"/>
      <x:c r="B407" s="461"/>
      <x:c r="C407" s="461"/>
      <x:c r="D407" s="461"/>
      <x:c r="E407" s="495"/>
      <x:c r="F407" s="473"/>
      <x:c r="G407" s="461"/>
      <x:c r="H407" s="473"/>
      <x:c r="I407" s="461"/>
      <x:c r="J407" s="461"/>
      <x:c r="K407" s="461"/>
      <x:c r="L407" s="461"/>
      <x:c r="M407" s="593"/>
      <x:c r="N407" s="593"/>
      <x:c r="O407" s="593"/>
    </x:row>
    <x:row r="408" ht="38" customHeight="1">
      <x:c r="A408" s="461"/>
      <x:c r="B408" s="461"/>
      <x:c r="C408" s="461"/>
      <x:c r="D408" s="461"/>
      <x:c r="E408" s="495"/>
      <x:c r="F408" s="473"/>
      <x:c r="G408" s="461"/>
      <x:c r="H408" s="473"/>
      <x:c r="I408" s="461"/>
      <x:c r="J408" s="461"/>
      <x:c r="K408" s="461"/>
      <x:c r="L408" s="461"/>
      <x:c r="M408" s="593"/>
      <x:c r="N408" s="593"/>
      <x:c r="O408" s="593"/>
    </x:row>
    <x:row r="409" ht="38" customHeight="1">
      <x:c r="A409" s="461"/>
      <x:c r="B409" s="461"/>
      <x:c r="C409" s="461"/>
      <x:c r="D409" s="461"/>
      <x:c r="E409" s="495"/>
      <x:c r="F409" s="473"/>
      <x:c r="G409" s="461"/>
      <x:c r="H409" s="473"/>
      <x:c r="I409" s="461"/>
      <x:c r="J409" s="461"/>
      <x:c r="K409" s="461"/>
      <x:c r="L409" s="461"/>
      <x:c r="M409" s="593"/>
      <x:c r="N409" s="593"/>
      <x:c r="O409" s="593"/>
    </x:row>
    <x:row r="410" ht="38" customHeight="1">
      <x:c r="A410" s="461"/>
      <x:c r="B410" s="461"/>
      <x:c r="C410" s="461"/>
      <x:c r="D410" s="461"/>
      <x:c r="E410" s="495"/>
      <x:c r="F410" s="473"/>
      <x:c r="G410" s="461"/>
      <x:c r="H410" s="473"/>
      <x:c r="I410" s="461"/>
      <x:c r="J410" s="461"/>
      <x:c r="K410" s="461"/>
      <x:c r="L410" s="461"/>
      <x:c r="M410" s="593"/>
      <x:c r="N410" s="593"/>
      <x:c r="O410" s="593"/>
    </x:row>
    <x:row r="411" ht="38" customHeight="1">
      <x:c r="A411" s="461"/>
      <x:c r="B411" s="461"/>
      <x:c r="C411" s="461"/>
      <x:c r="D411" s="461"/>
      <x:c r="E411" s="495"/>
      <x:c r="F411" s="473"/>
      <x:c r="G411" s="461"/>
      <x:c r="H411" s="473"/>
      <x:c r="I411" s="461"/>
      <x:c r="J411" s="461"/>
      <x:c r="K411" s="461"/>
      <x:c r="L411" s="461"/>
      <x:c r="M411" s="593"/>
      <x:c r="N411" s="593"/>
      <x:c r="O411" s="593"/>
    </x:row>
    <x:row r="412" ht="38" customHeight="1">
      <x:c r="A412" s="461"/>
      <x:c r="B412" s="461"/>
      <x:c r="C412" s="461"/>
      <x:c r="D412" s="461"/>
      <x:c r="E412" s="495"/>
      <x:c r="F412" s="473"/>
      <x:c r="G412" s="461"/>
      <x:c r="H412" s="473"/>
      <x:c r="I412" s="461"/>
      <x:c r="J412" s="461"/>
      <x:c r="K412" s="461"/>
      <x:c r="L412" s="461"/>
      <x:c r="M412" s="593"/>
      <x:c r="N412" s="593"/>
      <x:c r="O412" s="593"/>
    </x:row>
    <x:row r="413" ht="38" customHeight="1">
      <x:c r="A413" s="461"/>
      <x:c r="B413" s="461"/>
      <x:c r="C413" s="461"/>
      <x:c r="D413" s="461"/>
      <x:c r="E413" s="495"/>
      <x:c r="F413" s="473"/>
      <x:c r="G413" s="461"/>
      <x:c r="H413" s="473"/>
      <x:c r="I413" s="461"/>
      <x:c r="J413" s="461"/>
      <x:c r="K413" s="461"/>
      <x:c r="L413" s="461"/>
      <x:c r="M413" s="593"/>
      <x:c r="N413" s="593"/>
      <x:c r="O413" s="593"/>
    </x:row>
    <x:row r="414" ht="38" customHeight="1">
      <x:c r="A414" s="461"/>
      <x:c r="B414" s="461"/>
      <x:c r="C414" s="461"/>
      <x:c r="D414" s="461"/>
      <x:c r="E414" s="495"/>
      <x:c r="F414" s="473"/>
      <x:c r="G414" s="461"/>
      <x:c r="H414" s="473"/>
      <x:c r="I414" s="461"/>
      <x:c r="J414" s="461"/>
      <x:c r="K414" s="461"/>
      <x:c r="L414" s="461"/>
      <x:c r="M414" s="593"/>
      <x:c r="N414" s="593"/>
      <x:c r="O414" s="593"/>
    </x:row>
    <x:row r="415" ht="38" customHeight="1">
      <x:c r="A415" s="461"/>
      <x:c r="B415" s="461"/>
      <x:c r="C415" s="461"/>
      <x:c r="D415" s="461"/>
      <x:c r="E415" s="495"/>
      <x:c r="F415" s="473"/>
      <x:c r="G415" s="461"/>
      <x:c r="H415" s="473"/>
      <x:c r="I415" s="461"/>
      <x:c r="J415" s="461"/>
      <x:c r="K415" s="461"/>
      <x:c r="L415" s="461"/>
      <x:c r="M415" s="593"/>
      <x:c r="N415" s="593"/>
      <x:c r="O415" s="593"/>
    </x:row>
    <x:row r="416" ht="38" customHeight="1">
      <x:c r="A416" s="461"/>
      <x:c r="B416" s="461"/>
      <x:c r="C416" s="461"/>
      <x:c r="D416" s="461"/>
      <x:c r="E416" s="495"/>
      <x:c r="F416" s="473"/>
      <x:c r="G416" s="461"/>
      <x:c r="H416" s="473"/>
      <x:c r="I416" s="461"/>
      <x:c r="J416" s="461"/>
      <x:c r="K416" s="461"/>
      <x:c r="L416" s="461"/>
      <x:c r="M416" s="593"/>
      <x:c r="N416" s="593"/>
      <x:c r="O416" s="593"/>
    </x:row>
    <x:row r="417" ht="38" customHeight="1">
      <x:c r="A417" s="461"/>
      <x:c r="B417" s="461"/>
      <x:c r="C417" s="461"/>
      <x:c r="D417" s="461"/>
      <x:c r="E417" s="495"/>
      <x:c r="F417" s="473"/>
      <x:c r="G417" s="461"/>
      <x:c r="H417" s="473"/>
      <x:c r="I417" s="461"/>
      <x:c r="J417" s="461"/>
      <x:c r="K417" s="461"/>
      <x:c r="L417" s="461"/>
      <x:c r="M417" s="593"/>
      <x:c r="N417" s="593"/>
      <x:c r="O417" s="593"/>
    </x:row>
    <x:row r="418" ht="38" customHeight="1">
      <x:c r="A418" s="461"/>
      <x:c r="B418" s="461"/>
      <x:c r="C418" s="461"/>
      <x:c r="D418" s="461"/>
      <x:c r="E418" s="495"/>
      <x:c r="F418" s="473"/>
      <x:c r="G418" s="461"/>
      <x:c r="H418" s="473"/>
      <x:c r="I418" s="461"/>
      <x:c r="J418" s="461"/>
      <x:c r="K418" s="461"/>
      <x:c r="L418" s="461"/>
      <x:c r="M418" s="593"/>
      <x:c r="N418" s="593"/>
      <x:c r="O418" s="593"/>
    </x:row>
    <x:row r="419" ht="38" customHeight="1">
      <x:c r="A419" s="461"/>
      <x:c r="B419" s="461"/>
      <x:c r="C419" s="461"/>
      <x:c r="D419" s="461"/>
      <x:c r="E419" s="495"/>
      <x:c r="F419" s="473"/>
      <x:c r="G419" s="461"/>
      <x:c r="H419" s="473"/>
      <x:c r="I419" s="461"/>
      <x:c r="J419" s="461"/>
      <x:c r="K419" s="461"/>
      <x:c r="L419" s="461"/>
      <x:c r="M419" s="593"/>
      <x:c r="N419" s="593"/>
      <x:c r="O419" s="593"/>
    </x:row>
    <x:row r="420" ht="38" customHeight="1">
      <x:c r="A420" s="461"/>
      <x:c r="B420" s="461"/>
      <x:c r="C420" s="461"/>
      <x:c r="D420" s="461"/>
      <x:c r="E420" s="495"/>
      <x:c r="F420" s="473"/>
      <x:c r="G420" s="461"/>
      <x:c r="H420" s="473"/>
      <x:c r="I420" s="461"/>
      <x:c r="J420" s="461"/>
      <x:c r="K420" s="461"/>
      <x:c r="L420" s="461"/>
      <x:c r="M420" s="593"/>
      <x:c r="N420" s="593"/>
      <x:c r="O420" s="593"/>
    </x:row>
    <x:row r="421" ht="38" customHeight="1">
      <x:c r="A421" s="461"/>
      <x:c r="B421" s="461"/>
      <x:c r="C421" s="461"/>
      <x:c r="D421" s="461"/>
      <x:c r="E421" s="495"/>
      <x:c r="F421" s="473"/>
      <x:c r="G421" s="461"/>
      <x:c r="H421" s="473"/>
      <x:c r="I421" s="461"/>
      <x:c r="J421" s="461"/>
      <x:c r="K421" s="461"/>
      <x:c r="L421" s="461"/>
      <x:c r="M421" s="593"/>
      <x:c r="N421" s="593"/>
      <x:c r="O421" s="593"/>
    </x:row>
    <x:row r="422" ht="38" customHeight="1">
      <x:c r="A422" s="461"/>
      <x:c r="B422" s="461"/>
      <x:c r="C422" s="461"/>
      <x:c r="D422" s="461"/>
      <x:c r="E422" s="495"/>
      <x:c r="F422" s="473"/>
      <x:c r="G422" s="461"/>
      <x:c r="H422" s="473"/>
      <x:c r="I422" s="461"/>
      <x:c r="J422" s="461"/>
      <x:c r="K422" s="461"/>
      <x:c r="L422" s="461"/>
      <x:c r="M422" s="593"/>
      <x:c r="N422" s="593"/>
      <x:c r="O422" s="593"/>
    </x:row>
    <x:row r="423" ht="38" customHeight="1">
      <x:c r="A423" s="461"/>
      <x:c r="B423" s="461"/>
      <x:c r="C423" s="461"/>
      <x:c r="D423" s="461"/>
      <x:c r="E423" s="495"/>
      <x:c r="F423" s="473"/>
      <x:c r="G423" s="461"/>
      <x:c r="H423" s="473"/>
      <x:c r="I423" s="461"/>
      <x:c r="J423" s="461"/>
      <x:c r="K423" s="461"/>
      <x:c r="L423" s="461"/>
      <x:c r="M423" s="593"/>
      <x:c r="N423" s="593"/>
      <x:c r="O423" s="593"/>
    </x:row>
    <x:row r="424" ht="38" customHeight="1">
      <x:c r="A424" s="461"/>
      <x:c r="B424" s="461"/>
      <x:c r="C424" s="461"/>
      <x:c r="D424" s="461"/>
      <x:c r="E424" s="495"/>
      <x:c r="F424" s="473"/>
      <x:c r="G424" s="461"/>
      <x:c r="H424" s="473"/>
      <x:c r="I424" s="461"/>
      <x:c r="J424" s="461"/>
      <x:c r="K424" s="461"/>
      <x:c r="L424" s="461"/>
      <x:c r="M424" s="593"/>
      <x:c r="N424" s="593"/>
      <x:c r="O424" s="593"/>
    </x:row>
    <x:row r="425" ht="38" customHeight="1">
      <x:c r="A425" s="461"/>
      <x:c r="B425" s="461"/>
      <x:c r="C425" s="461"/>
      <x:c r="D425" s="461"/>
      <x:c r="E425" s="495"/>
      <x:c r="F425" s="473"/>
      <x:c r="G425" s="461"/>
      <x:c r="H425" s="473"/>
      <x:c r="I425" s="461"/>
      <x:c r="J425" s="461"/>
      <x:c r="K425" s="461"/>
      <x:c r="L425" s="461"/>
      <x:c r="M425" s="593"/>
      <x:c r="N425" s="593"/>
      <x:c r="O425" s="593"/>
    </x:row>
    <x:row r="426" ht="38" customHeight="1">
      <x:c r="A426" s="461"/>
      <x:c r="B426" s="461"/>
      <x:c r="C426" s="461"/>
      <x:c r="D426" s="461"/>
      <x:c r="E426" s="495"/>
      <x:c r="F426" s="473"/>
      <x:c r="G426" s="461"/>
      <x:c r="H426" s="473"/>
      <x:c r="I426" s="461"/>
      <x:c r="J426" s="461"/>
      <x:c r="K426" s="461"/>
      <x:c r="L426" s="461"/>
      <x:c r="M426" s="593"/>
      <x:c r="N426" s="593"/>
      <x:c r="O426" s="593"/>
    </x:row>
    <x:row r="427" ht="38" customHeight="1">
      <x:c r="A427" s="461"/>
      <x:c r="B427" s="461"/>
      <x:c r="C427" s="461"/>
      <x:c r="D427" s="461"/>
      <x:c r="E427" s="495"/>
      <x:c r="F427" s="473"/>
      <x:c r="G427" s="461"/>
      <x:c r="H427" s="473"/>
      <x:c r="I427" s="461"/>
      <x:c r="J427" s="461"/>
      <x:c r="K427" s="461"/>
      <x:c r="L427" s="461"/>
      <x:c r="M427" s="593"/>
      <x:c r="N427" s="593"/>
      <x:c r="O427" s="593"/>
    </x:row>
    <x:row r="428" ht="38" customHeight="1">
      <x:c r="A428" s="461"/>
      <x:c r="B428" s="461"/>
      <x:c r="C428" s="461"/>
      <x:c r="D428" s="461"/>
      <x:c r="E428" s="495"/>
      <x:c r="F428" s="473"/>
      <x:c r="G428" s="461"/>
      <x:c r="H428" s="473"/>
      <x:c r="I428" s="461"/>
      <x:c r="J428" s="461"/>
      <x:c r="K428" s="461"/>
      <x:c r="L428" s="461"/>
      <x:c r="M428" s="593"/>
      <x:c r="N428" s="593"/>
      <x:c r="O428" s="593"/>
    </x:row>
    <x:row r="429" ht="38" customHeight="1">
      <x:c r="A429" s="461"/>
      <x:c r="B429" s="461"/>
      <x:c r="C429" s="461"/>
      <x:c r="D429" s="461"/>
      <x:c r="E429" s="495"/>
      <x:c r="F429" s="473"/>
      <x:c r="G429" s="461"/>
      <x:c r="H429" s="473"/>
      <x:c r="I429" s="461"/>
      <x:c r="J429" s="461"/>
      <x:c r="K429" s="461"/>
      <x:c r="L429" s="461"/>
      <x:c r="M429" s="593"/>
      <x:c r="N429" s="593"/>
      <x:c r="O429" s="593"/>
    </x:row>
    <x:row r="430" ht="38" customHeight="1">
      <x:c r="A430" s="461"/>
      <x:c r="B430" s="461"/>
      <x:c r="C430" s="461"/>
      <x:c r="D430" s="461"/>
      <x:c r="E430" s="495"/>
      <x:c r="F430" s="473"/>
      <x:c r="G430" s="461"/>
      <x:c r="H430" s="473"/>
      <x:c r="I430" s="461"/>
      <x:c r="J430" s="461"/>
      <x:c r="K430" s="461"/>
      <x:c r="L430" s="461"/>
      <x:c r="M430" s="593"/>
      <x:c r="N430" s="593"/>
      <x:c r="O430" s="593"/>
    </x:row>
    <x:row r="431" ht="38" customHeight="1">
      <x:c r="A431" s="461"/>
      <x:c r="B431" s="461"/>
      <x:c r="C431" s="461"/>
      <x:c r="D431" s="461"/>
      <x:c r="E431" s="495"/>
      <x:c r="F431" s="473"/>
      <x:c r="G431" s="461"/>
      <x:c r="H431" s="473"/>
      <x:c r="I431" s="461"/>
      <x:c r="J431" s="461"/>
      <x:c r="K431" s="461"/>
      <x:c r="L431" s="461"/>
      <x:c r="M431" s="593"/>
      <x:c r="N431" s="593"/>
      <x:c r="O431" s="593"/>
    </x:row>
    <x:row r="432" ht="38" customHeight="1">
      <x:c r="A432" s="461"/>
      <x:c r="B432" s="461"/>
      <x:c r="C432" s="461"/>
      <x:c r="D432" s="461"/>
      <x:c r="E432" s="495"/>
      <x:c r="F432" s="473"/>
      <x:c r="G432" s="461"/>
      <x:c r="H432" s="473"/>
      <x:c r="I432" s="461"/>
      <x:c r="J432" s="461"/>
      <x:c r="K432" s="461"/>
      <x:c r="L432" s="461"/>
      <x:c r="M432" s="593"/>
      <x:c r="N432" s="593"/>
      <x:c r="O432" s="593"/>
    </x:row>
    <x:row r="433" ht="38" customHeight="1">
      <x:c r="A433" s="461"/>
      <x:c r="B433" s="461"/>
      <x:c r="C433" s="461"/>
      <x:c r="D433" s="461"/>
      <x:c r="E433" s="495"/>
      <x:c r="F433" s="473"/>
      <x:c r="G433" s="461"/>
      <x:c r="H433" s="473"/>
      <x:c r="I433" s="461"/>
      <x:c r="J433" s="461"/>
      <x:c r="K433" s="461"/>
      <x:c r="L433" s="461"/>
      <x:c r="M433" s="593"/>
      <x:c r="N433" s="593"/>
      <x:c r="O433" s="593"/>
    </x:row>
    <x:row r="434" ht="38" customHeight="1">
      <x:c r="A434" s="461"/>
      <x:c r="B434" s="461"/>
      <x:c r="C434" s="461"/>
      <x:c r="D434" s="461"/>
      <x:c r="E434" s="495"/>
      <x:c r="F434" s="473"/>
      <x:c r="G434" s="461"/>
      <x:c r="H434" s="473"/>
      <x:c r="I434" s="461"/>
      <x:c r="J434" s="461"/>
      <x:c r="K434" s="461"/>
      <x:c r="L434" s="461"/>
      <x:c r="M434" s="593"/>
      <x:c r="N434" s="593"/>
      <x:c r="O434" s="593"/>
    </x:row>
    <x:row r="435" ht="38" customHeight="1">
      <x:c r="A435" s="461"/>
      <x:c r="B435" s="461"/>
      <x:c r="C435" s="461"/>
      <x:c r="D435" s="461"/>
      <x:c r="E435" s="495"/>
      <x:c r="F435" s="473"/>
      <x:c r="G435" s="461"/>
      <x:c r="H435" s="473"/>
      <x:c r="I435" s="461"/>
      <x:c r="J435" s="461"/>
      <x:c r="K435" s="461"/>
      <x:c r="L435" s="461"/>
      <x:c r="M435" s="593"/>
      <x:c r="N435" s="593"/>
      <x:c r="O435" s="593"/>
    </x:row>
    <x:row r="436" ht="38" customHeight="1">
      <x:c r="A436" s="461"/>
      <x:c r="B436" s="461"/>
      <x:c r="C436" s="461"/>
      <x:c r="D436" s="461"/>
      <x:c r="E436" s="495"/>
      <x:c r="F436" s="473"/>
      <x:c r="G436" s="461"/>
      <x:c r="H436" s="473"/>
      <x:c r="I436" s="461"/>
      <x:c r="J436" s="461"/>
      <x:c r="K436" s="461"/>
      <x:c r="L436" s="461"/>
      <x:c r="M436" s="593"/>
      <x:c r="N436" s="593"/>
      <x:c r="O436" s="593"/>
    </x:row>
    <x:row r="437" ht="38" customHeight="1">
      <x:c r="A437" s="461"/>
      <x:c r="B437" s="461"/>
      <x:c r="C437" s="461"/>
      <x:c r="D437" s="461"/>
      <x:c r="E437" s="495"/>
      <x:c r="F437" s="473"/>
      <x:c r="G437" s="461"/>
      <x:c r="H437" s="473"/>
      <x:c r="I437" s="461"/>
      <x:c r="J437" s="461"/>
      <x:c r="K437" s="461"/>
      <x:c r="L437" s="461"/>
      <x:c r="M437" s="593"/>
      <x:c r="N437" s="593"/>
      <x:c r="O437" s="593"/>
    </x:row>
    <x:row r="438" ht="38" customHeight="1">
      <x:c r="A438" s="461"/>
      <x:c r="B438" s="461"/>
      <x:c r="C438" s="461"/>
      <x:c r="D438" s="461"/>
      <x:c r="E438" s="495"/>
      <x:c r="F438" s="473"/>
      <x:c r="G438" s="461"/>
      <x:c r="H438" s="473"/>
      <x:c r="I438" s="461"/>
      <x:c r="J438" s="461"/>
      <x:c r="K438" s="461"/>
      <x:c r="L438" s="461"/>
      <x:c r="M438" s="593"/>
      <x:c r="N438" s="593"/>
      <x:c r="O438" s="593"/>
    </x:row>
    <x:row r="439" ht="38" customHeight="1">
      <x:c r="A439" s="461"/>
      <x:c r="B439" s="461"/>
      <x:c r="C439" s="461"/>
      <x:c r="D439" s="461"/>
      <x:c r="E439" s="495"/>
      <x:c r="F439" s="473"/>
      <x:c r="G439" s="461"/>
      <x:c r="H439" s="473"/>
      <x:c r="I439" s="461"/>
      <x:c r="J439" s="461"/>
      <x:c r="K439" s="461"/>
      <x:c r="L439" s="461"/>
      <x:c r="M439" s="593"/>
      <x:c r="N439" s="593"/>
      <x:c r="O439" s="593"/>
    </x:row>
    <x:row r="440" ht="38" customHeight="1">
      <x:c r="A440" s="461"/>
      <x:c r="B440" s="461"/>
      <x:c r="C440" s="461"/>
      <x:c r="D440" s="461"/>
      <x:c r="E440" s="495"/>
      <x:c r="F440" s="473"/>
      <x:c r="G440" s="461"/>
      <x:c r="H440" s="473"/>
      <x:c r="I440" s="461"/>
      <x:c r="J440" s="461"/>
      <x:c r="K440" s="461"/>
      <x:c r="L440" s="461"/>
      <x:c r="M440" s="593"/>
      <x:c r="N440" s="593"/>
      <x:c r="O440" s="593"/>
    </x:row>
    <x:row r="441" ht="38" customHeight="1">
      <x:c r="A441" s="461"/>
      <x:c r="B441" s="461"/>
      <x:c r="C441" s="461"/>
      <x:c r="D441" s="461"/>
      <x:c r="E441" s="495"/>
      <x:c r="F441" s="473"/>
      <x:c r="G441" s="461"/>
      <x:c r="H441" s="473"/>
      <x:c r="I441" s="461"/>
      <x:c r="J441" s="461"/>
      <x:c r="K441" s="461"/>
      <x:c r="L441" s="461"/>
      <x:c r="M441" s="593"/>
      <x:c r="N441" s="593"/>
      <x:c r="O441" s="593"/>
    </x:row>
    <x:row r="442" ht="38" customHeight="1">
      <x:c r="A442" s="461"/>
      <x:c r="B442" s="461"/>
      <x:c r="C442" s="461"/>
      <x:c r="D442" s="461"/>
      <x:c r="E442" s="495"/>
      <x:c r="F442" s="473"/>
      <x:c r="G442" s="461"/>
      <x:c r="H442" s="473"/>
      <x:c r="I442" s="461"/>
      <x:c r="J442" s="461"/>
      <x:c r="K442" s="461"/>
      <x:c r="L442" s="461"/>
      <x:c r="M442" s="593"/>
      <x:c r="N442" s="593"/>
      <x:c r="O442" s="593"/>
    </x:row>
    <x:row r="443" ht="38" customHeight="1">
      <x:c r="A443" s="461"/>
      <x:c r="B443" s="461"/>
      <x:c r="C443" s="461"/>
      <x:c r="D443" s="461"/>
      <x:c r="E443" s="495"/>
      <x:c r="F443" s="473"/>
      <x:c r="G443" s="461"/>
      <x:c r="H443" s="473"/>
      <x:c r="I443" s="461"/>
      <x:c r="J443" s="461"/>
      <x:c r="K443" s="461"/>
      <x:c r="L443" s="461"/>
      <x:c r="M443" s="593"/>
      <x:c r="N443" s="593"/>
      <x:c r="O443" s="593"/>
    </x:row>
    <x:row r="444" ht="38" customHeight="1">
      <x:c r="A444" s="461"/>
      <x:c r="B444" s="461"/>
      <x:c r="C444" s="461"/>
      <x:c r="D444" s="461"/>
      <x:c r="E444" s="495"/>
      <x:c r="F444" s="473"/>
      <x:c r="G444" s="461"/>
      <x:c r="H444" s="473"/>
      <x:c r="I444" s="461"/>
      <x:c r="J444" s="461"/>
      <x:c r="K444" s="461"/>
      <x:c r="L444" s="461"/>
      <x:c r="M444" s="593"/>
      <x:c r="N444" s="593"/>
      <x:c r="O444" s="593"/>
    </x:row>
    <x:row r="445" ht="38" customHeight="1">
      <x:c r="A445" s="461"/>
      <x:c r="B445" s="461"/>
      <x:c r="C445" s="461"/>
      <x:c r="D445" s="461"/>
      <x:c r="E445" s="495"/>
      <x:c r="F445" s="473"/>
      <x:c r="G445" s="461"/>
      <x:c r="H445" s="473"/>
      <x:c r="I445" s="461"/>
      <x:c r="J445" s="461"/>
      <x:c r="K445" s="461"/>
      <x:c r="L445" s="461"/>
      <x:c r="M445" s="593"/>
      <x:c r="N445" s="593"/>
      <x:c r="O445" s="593"/>
    </x:row>
    <x:row r="446" ht="38" customHeight="1">
      <x:c r="A446" s="461"/>
      <x:c r="B446" s="461"/>
      <x:c r="C446" s="461"/>
      <x:c r="D446" s="461"/>
      <x:c r="E446" s="495"/>
      <x:c r="F446" s="473"/>
      <x:c r="G446" s="461"/>
      <x:c r="H446" s="473"/>
      <x:c r="I446" s="461"/>
      <x:c r="J446" s="461"/>
      <x:c r="K446" s="461"/>
      <x:c r="L446" s="461"/>
      <x:c r="M446" s="593"/>
      <x:c r="N446" s="593"/>
      <x:c r="O446" s="593"/>
    </x:row>
    <x:row r="447" ht="38" customHeight="1">
      <x:c r="A447" s="461"/>
      <x:c r="B447" s="461"/>
      <x:c r="C447" s="461"/>
      <x:c r="D447" s="461"/>
      <x:c r="E447" s="495"/>
      <x:c r="F447" s="473"/>
      <x:c r="G447" s="461"/>
      <x:c r="H447" s="473"/>
      <x:c r="I447" s="461"/>
      <x:c r="J447" s="461"/>
      <x:c r="K447" s="461"/>
      <x:c r="L447" s="461"/>
      <x:c r="M447" s="593"/>
      <x:c r="N447" s="593"/>
      <x:c r="O447" s="593"/>
    </x:row>
    <x:row r="448" ht="38" customHeight="1">
      <x:c r="A448" s="461"/>
      <x:c r="B448" s="461"/>
      <x:c r="C448" s="461"/>
      <x:c r="D448" s="461"/>
      <x:c r="E448" s="495"/>
      <x:c r="F448" s="473"/>
      <x:c r="G448" s="461"/>
      <x:c r="H448" s="473"/>
      <x:c r="I448" s="461"/>
      <x:c r="J448" s="461"/>
      <x:c r="K448" s="461"/>
      <x:c r="L448" s="461"/>
      <x:c r="M448" s="593"/>
      <x:c r="N448" s="593"/>
      <x:c r="O448" s="593"/>
    </x:row>
    <x:row r="449" ht="38" customHeight="1">
      <x:c r="A449" s="461"/>
      <x:c r="B449" s="461"/>
      <x:c r="C449" s="461"/>
      <x:c r="D449" s="461"/>
      <x:c r="E449" s="495"/>
      <x:c r="F449" s="473"/>
      <x:c r="G449" s="461"/>
      <x:c r="H449" s="473"/>
      <x:c r="I449" s="461"/>
      <x:c r="J449" s="461"/>
      <x:c r="K449" s="461"/>
      <x:c r="L449" s="461"/>
      <x:c r="M449" s="593"/>
      <x:c r="N449" s="593"/>
      <x:c r="O449" s="593"/>
    </x:row>
    <x:row r="450" ht="38" customHeight="1">
      <x:c r="A450" s="461"/>
      <x:c r="B450" s="461"/>
      <x:c r="C450" s="461"/>
      <x:c r="D450" s="461"/>
      <x:c r="E450" s="495"/>
      <x:c r="F450" s="473"/>
      <x:c r="G450" s="461"/>
      <x:c r="H450" s="473"/>
      <x:c r="I450" s="461"/>
      <x:c r="J450" s="461"/>
      <x:c r="K450" s="461"/>
      <x:c r="L450" s="461"/>
      <x:c r="M450" s="593"/>
      <x:c r="N450" s="593"/>
      <x:c r="O450" s="593"/>
    </x:row>
    <x:row r="451" ht="38" customHeight="1">
      <x:c r="A451" s="461"/>
      <x:c r="B451" s="461"/>
      <x:c r="C451" s="461"/>
      <x:c r="D451" s="461"/>
      <x:c r="E451" s="495"/>
      <x:c r="F451" s="473"/>
      <x:c r="G451" s="461"/>
      <x:c r="H451" s="473"/>
      <x:c r="I451" s="461"/>
      <x:c r="J451" s="461"/>
      <x:c r="K451" s="461"/>
      <x:c r="L451" s="461"/>
      <x:c r="M451" s="593"/>
      <x:c r="N451" s="593"/>
      <x:c r="O451" s="593"/>
    </x:row>
    <x:row r="452" ht="38" customHeight="1">
      <x:c r="A452" s="461"/>
      <x:c r="B452" s="461"/>
      <x:c r="C452" s="461"/>
      <x:c r="D452" s="461"/>
      <x:c r="E452" s="495"/>
      <x:c r="F452" s="473"/>
      <x:c r="G452" s="461"/>
      <x:c r="H452" s="473"/>
      <x:c r="I452" s="461"/>
      <x:c r="J452" s="461"/>
      <x:c r="K452" s="461"/>
      <x:c r="L452" s="461"/>
      <x:c r="M452" s="593"/>
      <x:c r="N452" s="593"/>
      <x:c r="O452" s="593"/>
    </x:row>
    <x:row r="453" ht="38" customHeight="1">
      <x:c r="A453" s="461"/>
      <x:c r="B453" s="461"/>
      <x:c r="C453" s="461"/>
      <x:c r="D453" s="461"/>
      <x:c r="E453" s="495"/>
      <x:c r="F453" s="473"/>
      <x:c r="G453" s="461"/>
      <x:c r="H453" s="473"/>
      <x:c r="I453" s="461"/>
      <x:c r="J453" s="461"/>
      <x:c r="K453" s="461"/>
      <x:c r="L453" s="461"/>
      <x:c r="M453" s="593"/>
      <x:c r="N453" s="593"/>
      <x:c r="O453" s="593"/>
    </x:row>
    <x:row r="454" ht="38" customHeight="1">
      <x:c r="A454" s="461"/>
      <x:c r="B454" s="461"/>
      <x:c r="C454" s="461"/>
      <x:c r="D454" s="461"/>
      <x:c r="E454" s="495"/>
      <x:c r="F454" s="473"/>
      <x:c r="G454" s="461"/>
      <x:c r="H454" s="473"/>
      <x:c r="I454" s="461"/>
      <x:c r="J454" s="461"/>
      <x:c r="K454" s="461"/>
      <x:c r="L454" s="461"/>
      <x:c r="M454" s="593"/>
      <x:c r="N454" s="593"/>
      <x:c r="O454" s="593"/>
    </x:row>
    <x:row r="455" ht="38" customHeight="1">
      <x:c r="A455" s="461"/>
      <x:c r="B455" s="461"/>
      <x:c r="C455" s="461"/>
      <x:c r="D455" s="461"/>
      <x:c r="E455" s="495"/>
      <x:c r="F455" s="473"/>
      <x:c r="G455" s="461"/>
      <x:c r="H455" s="473"/>
      <x:c r="I455" s="461"/>
      <x:c r="J455" s="461"/>
      <x:c r="K455" s="461"/>
      <x:c r="L455" s="461"/>
      <x:c r="M455" s="593"/>
      <x:c r="N455" s="593"/>
      <x:c r="O455" s="593"/>
    </x:row>
    <x:row r="456" ht="38" customHeight="1">
      <x:c r="A456" s="461"/>
      <x:c r="B456" s="461"/>
      <x:c r="C456" s="461"/>
      <x:c r="D456" s="461"/>
      <x:c r="E456" s="495"/>
      <x:c r="F456" s="473"/>
      <x:c r="G456" s="461"/>
      <x:c r="H456" s="473"/>
      <x:c r="I456" s="461"/>
      <x:c r="J456" s="461"/>
      <x:c r="K456" s="461"/>
      <x:c r="L456" s="461"/>
      <x:c r="M456" s="593"/>
      <x:c r="N456" s="593"/>
      <x:c r="O456" s="593"/>
    </x:row>
    <x:row r="457" ht="38" customHeight="1">
      <x:c r="A457" s="461"/>
      <x:c r="B457" s="461"/>
      <x:c r="C457" s="461"/>
      <x:c r="D457" s="461"/>
      <x:c r="E457" s="495"/>
      <x:c r="F457" s="473"/>
      <x:c r="G457" s="461"/>
      <x:c r="H457" s="473"/>
      <x:c r="I457" s="461"/>
      <x:c r="J457" s="461"/>
      <x:c r="K457" s="461"/>
      <x:c r="L457" s="461"/>
      <x:c r="M457" s="593"/>
      <x:c r="N457" s="593"/>
      <x:c r="O457" s="593"/>
    </x:row>
    <x:row r="458" ht="38" customHeight="1">
      <x:c r="A458" s="461"/>
      <x:c r="B458" s="461"/>
      <x:c r="C458" s="461"/>
      <x:c r="D458" s="461"/>
      <x:c r="E458" s="495"/>
      <x:c r="F458" s="473"/>
      <x:c r="G458" s="461"/>
      <x:c r="H458" s="473"/>
      <x:c r="I458" s="461"/>
      <x:c r="J458" s="461"/>
      <x:c r="K458" s="461"/>
      <x:c r="L458" s="461"/>
      <x:c r="M458" s="593"/>
      <x:c r="N458" s="593"/>
      <x:c r="O458" s="593"/>
    </x:row>
    <x:row r="459" ht="38" customHeight="1">
      <x:c r="A459" s="461"/>
      <x:c r="B459" s="461"/>
      <x:c r="C459" s="461"/>
      <x:c r="D459" s="461"/>
      <x:c r="E459" s="495"/>
      <x:c r="F459" s="473"/>
      <x:c r="G459" s="461"/>
      <x:c r="H459" s="473"/>
      <x:c r="I459" s="461"/>
      <x:c r="J459" s="461"/>
      <x:c r="K459" s="461"/>
      <x:c r="L459" s="461"/>
      <x:c r="M459" s="593"/>
      <x:c r="N459" s="593"/>
      <x:c r="O459" s="593"/>
    </x:row>
    <x:row r="460" ht="38" customHeight="1">
      <x:c r="A460" s="461"/>
      <x:c r="B460" s="461"/>
      <x:c r="C460" s="461"/>
      <x:c r="D460" s="461"/>
      <x:c r="E460" s="495"/>
      <x:c r="F460" s="473"/>
      <x:c r="G460" s="461"/>
      <x:c r="H460" s="473"/>
      <x:c r="I460" s="461"/>
      <x:c r="J460" s="461"/>
      <x:c r="K460" s="461"/>
      <x:c r="L460" s="461"/>
      <x:c r="M460" s="593"/>
      <x:c r="N460" s="593"/>
      <x:c r="O460" s="593"/>
    </x:row>
    <x:row r="461" ht="38" customHeight="1">
      <x:c r="A461" s="461"/>
      <x:c r="B461" s="461"/>
      <x:c r="C461" s="461"/>
      <x:c r="D461" s="461"/>
      <x:c r="E461" s="495"/>
      <x:c r="F461" s="473"/>
      <x:c r="G461" s="461"/>
      <x:c r="H461" s="473"/>
      <x:c r="I461" s="461"/>
      <x:c r="J461" s="461"/>
      <x:c r="K461" s="461"/>
      <x:c r="L461" s="461"/>
      <x:c r="M461" s="593"/>
      <x:c r="N461" s="593"/>
      <x:c r="O461" s="593"/>
    </x:row>
    <x:row r="462" ht="38" customHeight="1">
      <x:c r="A462" s="461"/>
      <x:c r="B462" s="461"/>
      <x:c r="C462" s="461"/>
      <x:c r="D462" s="461"/>
      <x:c r="E462" s="495"/>
      <x:c r="F462" s="473"/>
      <x:c r="G462" s="461"/>
      <x:c r="H462" s="473"/>
      <x:c r="I462" s="461"/>
      <x:c r="J462" s="461"/>
      <x:c r="K462" s="461"/>
      <x:c r="L462" s="461"/>
      <x:c r="M462" s="593"/>
      <x:c r="N462" s="593"/>
      <x:c r="O462" s="593"/>
    </x:row>
    <x:row r="463" ht="38" customHeight="1">
      <x:c r="A463" s="461"/>
      <x:c r="B463" s="461"/>
      <x:c r="C463" s="461"/>
      <x:c r="D463" s="461"/>
      <x:c r="E463" s="495"/>
      <x:c r="F463" s="473"/>
      <x:c r="G463" s="461"/>
      <x:c r="H463" s="473"/>
      <x:c r="I463" s="461"/>
      <x:c r="J463" s="461"/>
      <x:c r="K463" s="461"/>
      <x:c r="L463" s="461"/>
      <x:c r="M463" s="593"/>
      <x:c r="N463" s="593"/>
      <x:c r="O463" s="593"/>
    </x:row>
    <x:row r="464" ht="38" customHeight="1">
      <x:c r="A464" s="461"/>
      <x:c r="B464" s="461"/>
      <x:c r="C464" s="461"/>
      <x:c r="D464" s="461"/>
      <x:c r="E464" s="495"/>
      <x:c r="F464" s="473"/>
      <x:c r="G464" s="461"/>
      <x:c r="H464" s="473"/>
      <x:c r="I464" s="461"/>
      <x:c r="J464" s="461"/>
      <x:c r="K464" s="461"/>
      <x:c r="L464" s="461"/>
      <x:c r="M464" s="593"/>
      <x:c r="N464" s="593"/>
      <x:c r="O464" s="593"/>
    </x:row>
    <x:row r="465" ht="38" customHeight="1">
      <x:c r="A465" s="461"/>
      <x:c r="B465" s="461"/>
      <x:c r="C465" s="461"/>
      <x:c r="D465" s="461"/>
      <x:c r="E465" s="495"/>
      <x:c r="F465" s="473"/>
      <x:c r="G465" s="461"/>
      <x:c r="H465" s="473"/>
      <x:c r="I465" s="461"/>
      <x:c r="J465" s="461"/>
      <x:c r="K465" s="461"/>
      <x:c r="L465" s="461"/>
      <x:c r="M465" s="593"/>
      <x:c r="N465" s="593"/>
      <x:c r="O465" s="593"/>
    </x:row>
    <x:row r="466" ht="38" customHeight="1">
      <x:c r="A466" s="461"/>
      <x:c r="B466" s="461"/>
      <x:c r="C466" s="461"/>
      <x:c r="D466" s="461"/>
      <x:c r="E466" s="495"/>
      <x:c r="F466" s="473"/>
      <x:c r="G466" s="461"/>
      <x:c r="H466" s="473"/>
      <x:c r="I466" s="461"/>
      <x:c r="J466" s="461"/>
      <x:c r="K466" s="461"/>
      <x:c r="L466" s="461"/>
      <x:c r="M466" s="593"/>
      <x:c r="N466" s="593"/>
      <x:c r="O466" s="593"/>
    </x:row>
    <x:row r="467" ht="38" customHeight="1">
      <x:c r="A467" s="461"/>
      <x:c r="B467" s="461"/>
      <x:c r="C467" s="461"/>
      <x:c r="D467" s="461"/>
      <x:c r="E467" s="495"/>
      <x:c r="F467" s="473"/>
      <x:c r="G467" s="461"/>
      <x:c r="H467" s="473"/>
      <x:c r="I467" s="461"/>
      <x:c r="J467" s="461"/>
      <x:c r="K467" s="461"/>
      <x:c r="L467" s="461"/>
      <x:c r="M467" s="593"/>
      <x:c r="N467" s="593"/>
      <x:c r="O467" s="593"/>
    </x:row>
    <x:row r="468" ht="38" customHeight="1">
      <x:c r="A468" s="461"/>
      <x:c r="B468" s="461"/>
      <x:c r="C468" s="461"/>
      <x:c r="D468" s="461"/>
      <x:c r="E468" s="495"/>
      <x:c r="F468" s="473"/>
      <x:c r="G468" s="461"/>
      <x:c r="H468" s="473"/>
      <x:c r="I468" s="461"/>
      <x:c r="J468" s="461"/>
      <x:c r="K468" s="461"/>
      <x:c r="L468" s="461"/>
      <x:c r="M468" s="593"/>
      <x:c r="N468" s="593"/>
      <x:c r="O468" s="593"/>
    </x:row>
    <x:row r="469" ht="38" customHeight="1">
      <x:c r="A469" s="461"/>
      <x:c r="B469" s="461"/>
      <x:c r="C469" s="461"/>
      <x:c r="D469" s="461"/>
      <x:c r="E469" s="495"/>
      <x:c r="F469" s="473"/>
      <x:c r="G469" s="461"/>
      <x:c r="H469" s="473"/>
      <x:c r="I469" s="461"/>
      <x:c r="J469" s="461"/>
      <x:c r="K469" s="461"/>
      <x:c r="L469" s="461"/>
      <x:c r="M469" s="593"/>
      <x:c r="N469" s="593"/>
      <x:c r="O469" s="593"/>
    </x:row>
    <x:row r="470" ht="38" customHeight="1">
      <x:c r="A470" s="461"/>
      <x:c r="B470" s="461"/>
      <x:c r="C470" s="461"/>
      <x:c r="D470" s="461"/>
      <x:c r="E470" s="495"/>
      <x:c r="F470" s="473"/>
      <x:c r="G470" s="461"/>
      <x:c r="H470" s="473"/>
      <x:c r="I470" s="461"/>
      <x:c r="J470" s="461"/>
      <x:c r="K470" s="461"/>
      <x:c r="L470" s="461"/>
      <x:c r="M470" s="593"/>
      <x:c r="N470" s="593"/>
      <x:c r="O470" s="593"/>
    </x:row>
    <x:row r="471" ht="38" customHeight="1">
      <x:c r="A471" s="461"/>
      <x:c r="B471" s="461"/>
      <x:c r="C471" s="461"/>
      <x:c r="D471" s="461"/>
      <x:c r="E471" s="495"/>
      <x:c r="F471" s="473"/>
      <x:c r="G471" s="461"/>
      <x:c r="H471" s="473"/>
      <x:c r="I471" s="461"/>
      <x:c r="J471" s="461"/>
      <x:c r="K471" s="461"/>
      <x:c r="L471" s="461"/>
      <x:c r="M471" s="593"/>
      <x:c r="N471" s="593"/>
      <x:c r="O471" s="593"/>
    </x:row>
    <x:row r="472" ht="38" customHeight="1">
      <x:c r="A472" s="461"/>
      <x:c r="B472" s="461"/>
      <x:c r="C472" s="461"/>
      <x:c r="D472" s="461"/>
      <x:c r="E472" s="495"/>
      <x:c r="F472" s="473"/>
      <x:c r="G472" s="461"/>
      <x:c r="H472" s="473"/>
      <x:c r="I472" s="461"/>
      <x:c r="J472" s="461"/>
      <x:c r="K472" s="461"/>
      <x:c r="L472" s="461"/>
      <x:c r="M472" s="593"/>
      <x:c r="N472" s="593"/>
      <x:c r="O472" s="593"/>
    </x:row>
    <x:row r="473" ht="38" customHeight="1">
      <x:c r="A473" s="461"/>
      <x:c r="B473" s="461"/>
      <x:c r="C473" s="461"/>
      <x:c r="D473" s="461"/>
      <x:c r="E473" s="495"/>
      <x:c r="F473" s="473"/>
      <x:c r="G473" s="461"/>
      <x:c r="H473" s="473"/>
      <x:c r="I473" s="461"/>
      <x:c r="J473" s="461"/>
      <x:c r="K473" s="461"/>
      <x:c r="L473" s="461"/>
      <x:c r="M473" s="593"/>
      <x:c r="N473" s="593"/>
      <x:c r="O473" s="593"/>
    </x:row>
    <x:row r="474" ht="38" customHeight="1">
      <x:c r="A474" s="461"/>
      <x:c r="B474" s="461"/>
      <x:c r="C474" s="461"/>
      <x:c r="D474" s="461"/>
      <x:c r="E474" s="495"/>
      <x:c r="F474" s="473"/>
      <x:c r="G474" s="461"/>
      <x:c r="H474" s="473"/>
      <x:c r="I474" s="461"/>
      <x:c r="J474" s="461"/>
      <x:c r="K474" s="461"/>
      <x:c r="L474" s="461"/>
      <x:c r="M474" s="593"/>
      <x:c r="N474" s="593"/>
      <x:c r="O474" s="593"/>
    </x:row>
    <x:row r="475" ht="38" customHeight="1">
      <x:c r="A475" s="461"/>
      <x:c r="B475" s="461"/>
      <x:c r="C475" s="461"/>
      <x:c r="D475" s="461"/>
      <x:c r="E475" s="495"/>
      <x:c r="F475" s="473"/>
      <x:c r="G475" s="461"/>
      <x:c r="H475" s="473"/>
      <x:c r="I475" s="461"/>
      <x:c r="J475" s="461"/>
      <x:c r="K475" s="461"/>
      <x:c r="L475" s="461"/>
      <x:c r="M475" s="593"/>
      <x:c r="N475" s="593"/>
      <x:c r="O475" s="593"/>
    </x:row>
    <x:row r="476" ht="38" customHeight="1">
      <x:c r="A476" s="461"/>
      <x:c r="B476" s="461"/>
      <x:c r="C476" s="461"/>
      <x:c r="D476" s="461"/>
      <x:c r="E476" s="495"/>
      <x:c r="F476" s="473"/>
      <x:c r="G476" s="461"/>
      <x:c r="H476" s="473"/>
      <x:c r="I476" s="461"/>
      <x:c r="J476" s="461"/>
      <x:c r="K476" s="461"/>
      <x:c r="L476" s="461"/>
      <x:c r="M476" s="593"/>
      <x:c r="N476" s="593"/>
      <x:c r="O476" s="593"/>
    </x:row>
    <x:row r="477" ht="38" customHeight="1">
      <x:c r="A477" s="461"/>
      <x:c r="B477" s="461"/>
      <x:c r="C477" s="461"/>
      <x:c r="D477" s="461"/>
      <x:c r="E477" s="495"/>
      <x:c r="F477" s="473"/>
      <x:c r="G477" s="461"/>
      <x:c r="H477" s="473"/>
      <x:c r="I477" s="461"/>
      <x:c r="J477" s="461"/>
      <x:c r="K477" s="461"/>
      <x:c r="L477" s="461"/>
      <x:c r="M477" s="593"/>
      <x:c r="N477" s="593"/>
      <x:c r="O477" s="593"/>
    </x:row>
    <x:row r="478" ht="38" customHeight="1">
      <x:c r="A478" s="461"/>
      <x:c r="B478" s="461"/>
      <x:c r="C478" s="461"/>
      <x:c r="D478" s="461"/>
      <x:c r="E478" s="495"/>
      <x:c r="F478" s="473"/>
      <x:c r="G478" s="461"/>
      <x:c r="H478" s="473"/>
      <x:c r="I478" s="461"/>
      <x:c r="J478" s="461"/>
      <x:c r="K478" s="461"/>
      <x:c r="L478" s="461"/>
      <x:c r="M478" s="593"/>
      <x:c r="N478" s="593"/>
      <x:c r="O478" s="593"/>
    </x:row>
    <x:row r="479" ht="38" customHeight="1">
      <x:c r="A479" s="461"/>
      <x:c r="B479" s="461"/>
      <x:c r="C479" s="461"/>
      <x:c r="D479" s="461"/>
      <x:c r="E479" s="495"/>
      <x:c r="F479" s="473"/>
      <x:c r="G479" s="461"/>
      <x:c r="H479" s="473"/>
      <x:c r="I479" s="461"/>
      <x:c r="J479" s="461"/>
      <x:c r="K479" s="461"/>
      <x:c r="L479" s="461"/>
      <x:c r="M479" s="593"/>
      <x:c r="N479" s="593"/>
      <x:c r="O479" s="593"/>
    </x:row>
    <x:row r="480" ht="38" customHeight="1">
      <x:c r="A480" s="461"/>
      <x:c r="B480" s="461"/>
      <x:c r="C480" s="461"/>
      <x:c r="D480" s="461"/>
      <x:c r="E480" s="495"/>
      <x:c r="F480" s="473"/>
      <x:c r="G480" s="461"/>
      <x:c r="H480" s="473"/>
      <x:c r="I480" s="461"/>
      <x:c r="J480" s="461"/>
      <x:c r="K480" s="461"/>
      <x:c r="L480" s="461"/>
      <x:c r="M480" s="593"/>
      <x:c r="N480" s="593"/>
      <x:c r="O480" s="593"/>
    </x:row>
    <x:row r="481" ht="38" customHeight="1">
      <x:c r="A481" s="461"/>
      <x:c r="B481" s="461"/>
      <x:c r="C481" s="461"/>
      <x:c r="D481" s="461"/>
      <x:c r="E481" s="495"/>
      <x:c r="F481" s="473"/>
      <x:c r="G481" s="461"/>
      <x:c r="H481" s="473"/>
      <x:c r="I481" s="461"/>
      <x:c r="J481" s="461"/>
      <x:c r="K481" s="461"/>
      <x:c r="L481" s="461"/>
      <x:c r="M481" s="593"/>
      <x:c r="N481" s="593"/>
      <x:c r="O481" s="593"/>
    </x:row>
    <x:row r="482" ht="38" customHeight="1">
      <x:c r="A482" s="461"/>
      <x:c r="B482" s="461"/>
      <x:c r="C482" s="461"/>
      <x:c r="D482" s="461"/>
      <x:c r="E482" s="495"/>
      <x:c r="F482" s="473"/>
      <x:c r="G482" s="461"/>
      <x:c r="H482" s="473"/>
      <x:c r="I482" s="461"/>
      <x:c r="J482" s="461"/>
      <x:c r="K482" s="461"/>
      <x:c r="L482" s="461"/>
      <x:c r="M482" s="593"/>
      <x:c r="N482" s="593"/>
      <x:c r="O482" s="593"/>
    </x:row>
    <x:row r="483" ht="38" customHeight="1">
      <x:c r="A483" s="461"/>
      <x:c r="B483" s="461"/>
      <x:c r="C483" s="461"/>
      <x:c r="D483" s="461"/>
      <x:c r="E483" s="495"/>
      <x:c r="F483" s="473"/>
      <x:c r="G483" s="461"/>
      <x:c r="H483" s="473"/>
      <x:c r="I483" s="461"/>
      <x:c r="J483" s="461"/>
      <x:c r="K483" s="461"/>
      <x:c r="L483" s="461"/>
      <x:c r="M483" s="593"/>
      <x:c r="N483" s="593"/>
      <x:c r="O483" s="593"/>
    </x:row>
    <x:row r="484" ht="38" customHeight="1">
      <x:c r="A484" s="461"/>
      <x:c r="B484" s="461"/>
      <x:c r="C484" s="461"/>
      <x:c r="D484" s="461"/>
      <x:c r="E484" s="495"/>
      <x:c r="F484" s="473"/>
      <x:c r="G484" s="461"/>
      <x:c r="H484" s="473"/>
      <x:c r="I484" s="461"/>
      <x:c r="J484" s="461"/>
      <x:c r="K484" s="461"/>
      <x:c r="L484" s="461"/>
      <x:c r="M484" s="593"/>
      <x:c r="N484" s="593"/>
      <x:c r="O484" s="593"/>
    </x:row>
    <x:row r="485" ht="38" customHeight="1">
      <x:c r="A485" s="461"/>
      <x:c r="B485" s="461"/>
      <x:c r="C485" s="461"/>
      <x:c r="D485" s="461"/>
      <x:c r="E485" s="495"/>
      <x:c r="F485" s="473"/>
      <x:c r="G485" s="461"/>
      <x:c r="H485" s="473"/>
      <x:c r="I485" s="461"/>
      <x:c r="J485" s="461"/>
      <x:c r="K485" s="461"/>
      <x:c r="L485" s="461"/>
      <x:c r="M485" s="593"/>
      <x:c r="N485" s="593"/>
      <x:c r="O485" s="593"/>
    </x:row>
    <x:row r="486" ht="38" customHeight="1">
      <x:c r="A486" s="461"/>
      <x:c r="B486" s="461"/>
      <x:c r="C486" s="461"/>
      <x:c r="D486" s="461"/>
      <x:c r="E486" s="495"/>
      <x:c r="F486" s="473"/>
      <x:c r="G486" s="461"/>
      <x:c r="H486" s="473"/>
      <x:c r="I486" s="461"/>
      <x:c r="J486" s="461"/>
      <x:c r="K486" s="461"/>
      <x:c r="L486" s="461"/>
      <x:c r="M486" s="593"/>
      <x:c r="N486" s="593"/>
      <x:c r="O486" s="593"/>
    </x:row>
    <x:row r="487" ht="38" customHeight="1">
      <x:c r="A487" s="461"/>
      <x:c r="B487" s="461"/>
      <x:c r="C487" s="461"/>
      <x:c r="D487" s="461"/>
      <x:c r="E487" s="495"/>
      <x:c r="F487" s="473"/>
      <x:c r="G487" s="461"/>
      <x:c r="H487" s="473"/>
      <x:c r="I487" s="461"/>
      <x:c r="J487" s="461"/>
      <x:c r="K487" s="461"/>
      <x:c r="L487" s="461"/>
      <x:c r="M487" s="593"/>
      <x:c r="N487" s="593"/>
      <x:c r="O487" s="593"/>
    </x:row>
    <x:row r="488" ht="38" customHeight="1">
      <x:c r="A488" s="461"/>
      <x:c r="B488" s="461"/>
      <x:c r="C488" s="461"/>
      <x:c r="D488" s="461"/>
      <x:c r="E488" s="495"/>
      <x:c r="F488" s="473"/>
      <x:c r="G488" s="461"/>
      <x:c r="H488" s="473"/>
      <x:c r="I488" s="461"/>
      <x:c r="J488" s="461"/>
      <x:c r="K488" s="461"/>
      <x:c r="L488" s="461"/>
      <x:c r="M488" s="593"/>
      <x:c r="N488" s="593"/>
      <x:c r="O488" s="593"/>
    </x:row>
    <x:row r="489" ht="38" customHeight="1">
      <x:c r="A489" s="461"/>
      <x:c r="B489" s="461"/>
      <x:c r="C489" s="461"/>
      <x:c r="D489" s="461"/>
      <x:c r="E489" s="495"/>
      <x:c r="F489" s="473"/>
      <x:c r="G489" s="461"/>
      <x:c r="H489" s="473"/>
      <x:c r="I489" s="461"/>
      <x:c r="J489" s="461"/>
      <x:c r="K489" s="461"/>
      <x:c r="L489" s="461"/>
      <x:c r="M489" s="593"/>
      <x:c r="N489" s="593"/>
      <x:c r="O489" s="593"/>
    </x:row>
    <x:row r="490" ht="38" customHeight="1">
      <x:c r="A490" s="461"/>
      <x:c r="B490" s="461"/>
      <x:c r="C490" s="461"/>
      <x:c r="D490" s="461"/>
      <x:c r="E490" s="495"/>
      <x:c r="F490" s="473"/>
      <x:c r="G490" s="461"/>
      <x:c r="H490" s="473"/>
      <x:c r="I490" s="461"/>
      <x:c r="J490" s="461"/>
      <x:c r="K490" s="461"/>
      <x:c r="L490" s="461"/>
      <x:c r="M490" s="593"/>
      <x:c r="N490" s="593"/>
      <x:c r="O490" s="593"/>
    </x:row>
    <x:row r="491" ht="38" customHeight="1">
      <x:c r="A491" s="461"/>
      <x:c r="B491" s="461"/>
      <x:c r="C491" s="461"/>
      <x:c r="D491" s="461"/>
      <x:c r="E491" s="495"/>
      <x:c r="F491" s="473"/>
      <x:c r="G491" s="461"/>
      <x:c r="H491" s="473"/>
      <x:c r="I491" s="461"/>
      <x:c r="J491" s="461"/>
      <x:c r="K491" s="461"/>
      <x:c r="L491" s="461"/>
      <x:c r="M491" s="593"/>
      <x:c r="N491" s="593"/>
      <x:c r="O491" s="593"/>
    </x:row>
    <x:row r="492" ht="38" customHeight="1">
      <x:c r="A492" s="461"/>
      <x:c r="B492" s="461"/>
      <x:c r="C492" s="461"/>
      <x:c r="D492" s="461"/>
      <x:c r="E492" s="495"/>
      <x:c r="F492" s="473"/>
      <x:c r="G492" s="461"/>
      <x:c r="H492" s="473"/>
      <x:c r="I492" s="461"/>
      <x:c r="J492" s="461"/>
      <x:c r="K492" s="461"/>
      <x:c r="L492" s="461"/>
      <x:c r="M492" s="593"/>
      <x:c r="N492" s="593"/>
      <x:c r="O492" s="593"/>
    </x:row>
    <x:row r="493" ht="38" customHeight="1">
      <x:c r="A493" s="461"/>
      <x:c r="B493" s="461"/>
      <x:c r="C493" s="461"/>
      <x:c r="D493" s="461"/>
      <x:c r="E493" s="495"/>
      <x:c r="F493" s="473"/>
      <x:c r="G493" s="461"/>
      <x:c r="H493" s="473"/>
      <x:c r="I493" s="461"/>
      <x:c r="J493" s="461"/>
      <x:c r="K493" s="461"/>
      <x:c r="L493" s="461"/>
      <x:c r="M493" s="593"/>
      <x:c r="N493" s="593"/>
      <x:c r="O493" s="593"/>
    </x:row>
    <x:row r="494" ht="38" customHeight="1">
      <x:c r="A494" s="461"/>
      <x:c r="B494" s="461"/>
      <x:c r="C494" s="461"/>
      <x:c r="D494" s="461"/>
      <x:c r="E494" s="495"/>
      <x:c r="F494" s="473"/>
      <x:c r="G494" s="461"/>
      <x:c r="H494" s="473"/>
      <x:c r="I494" s="461"/>
      <x:c r="J494" s="461"/>
      <x:c r="K494" s="461"/>
      <x:c r="L494" s="461"/>
      <x:c r="M494" s="593"/>
      <x:c r="N494" s="593"/>
      <x:c r="O494" s="593"/>
    </x:row>
    <x:row r="495" ht="38" customHeight="1">
      <x:c r="A495" s="461"/>
      <x:c r="B495" s="461"/>
      <x:c r="C495" s="461"/>
      <x:c r="D495" s="461"/>
      <x:c r="E495" s="495"/>
      <x:c r="F495" s="473"/>
      <x:c r="G495" s="461"/>
      <x:c r="H495" s="473"/>
      <x:c r="I495" s="461"/>
      <x:c r="J495" s="461"/>
      <x:c r="K495" s="461"/>
      <x:c r="L495" s="461"/>
      <x:c r="M495" s="593"/>
      <x:c r="N495" s="593"/>
      <x:c r="O495" s="593"/>
    </x:row>
    <x:row r="496" ht="38" customHeight="1">
      <x:c r="A496" s="461"/>
      <x:c r="B496" s="461"/>
      <x:c r="C496" s="461"/>
      <x:c r="D496" s="461"/>
      <x:c r="E496" s="495"/>
      <x:c r="F496" s="473"/>
      <x:c r="G496" s="461"/>
      <x:c r="H496" s="473"/>
      <x:c r="I496" s="461"/>
      <x:c r="J496" s="461"/>
      <x:c r="K496" s="461"/>
      <x:c r="L496" s="461"/>
      <x:c r="M496" s="593"/>
      <x:c r="N496" s="593"/>
      <x:c r="O496" s="593"/>
    </x:row>
    <x:row r="497" ht="38" customHeight="1">
      <x:c r="A497" s="461"/>
      <x:c r="B497" s="461"/>
      <x:c r="C497" s="461"/>
      <x:c r="D497" s="461"/>
      <x:c r="E497" s="495"/>
      <x:c r="F497" s="473"/>
      <x:c r="G497" s="461"/>
      <x:c r="H497" s="473"/>
      <x:c r="I497" s="461"/>
      <x:c r="J497" s="461"/>
      <x:c r="K497" s="461"/>
      <x:c r="L497" s="461"/>
      <x:c r="M497" s="593"/>
      <x:c r="N497" s="593"/>
      <x:c r="O497" s="593"/>
    </x:row>
    <x:row r="498" ht="38" customHeight="1">
      <x:c r="A498" s="461"/>
      <x:c r="B498" s="461"/>
      <x:c r="C498" s="461"/>
      <x:c r="D498" s="461"/>
      <x:c r="E498" s="495"/>
      <x:c r="F498" s="473"/>
      <x:c r="G498" s="461"/>
      <x:c r="H498" s="473"/>
      <x:c r="I498" s="461"/>
      <x:c r="J498" s="461"/>
      <x:c r="K498" s="461"/>
      <x:c r="L498" s="461"/>
      <x:c r="M498" s="593"/>
      <x:c r="N498" s="593"/>
      <x:c r="O498" s="593"/>
    </x:row>
    <x:row r="499" ht="38" customHeight="1">
      <x:c r="A499" s="461"/>
      <x:c r="B499" s="461"/>
      <x:c r="C499" s="461"/>
      <x:c r="D499" s="461"/>
      <x:c r="E499" s="495"/>
      <x:c r="F499" s="473"/>
      <x:c r="G499" s="461"/>
      <x:c r="H499" s="473"/>
      <x:c r="I499" s="461"/>
      <x:c r="J499" s="461"/>
      <x:c r="K499" s="461"/>
      <x:c r="L499" s="461"/>
      <x:c r="M499" s="593"/>
      <x:c r="N499" s="593"/>
      <x:c r="O499" s="593"/>
    </x:row>
    <x:row r="500" ht="38" customHeight="1">
      <x:c r="A500" s="461"/>
      <x:c r="B500" s="461"/>
      <x:c r="C500" s="461"/>
      <x:c r="D500" s="461"/>
      <x:c r="E500" s="495"/>
      <x:c r="F500" s="473"/>
      <x:c r="G500" s="461"/>
      <x:c r="H500" s="473"/>
      <x:c r="I500" s="461"/>
      <x:c r="J500" s="461"/>
      <x:c r="K500" s="461"/>
      <x:c r="L500" s="461"/>
      <x:c r="M500" s="593"/>
      <x:c r="N500" s="593"/>
      <x:c r="O500" s="593"/>
    </x:row>
    <x:row r="501" ht="38" customHeight="1">
      <x:c r="A501" s="461"/>
      <x:c r="B501" s="461"/>
      <x:c r="C501" s="461"/>
      <x:c r="D501" s="461"/>
      <x:c r="E501" s="495"/>
      <x:c r="F501" s="473"/>
      <x:c r="G501" s="461"/>
      <x:c r="H501" s="473"/>
      <x:c r="I501" s="461"/>
      <x:c r="J501" s="461"/>
      <x:c r="K501" s="461"/>
      <x:c r="L501" s="461"/>
      <x:c r="M501" s="593"/>
      <x:c r="N501" s="593"/>
      <x:c r="O501" s="593"/>
    </x:row>
    <x:row r="502" ht="38" customHeight="1">
      <x:c r="A502" s="461"/>
      <x:c r="B502" s="461"/>
      <x:c r="C502" s="461"/>
      <x:c r="D502" s="461"/>
      <x:c r="E502" s="495"/>
      <x:c r="F502" s="473"/>
      <x:c r="G502" s="461"/>
      <x:c r="H502" s="473"/>
      <x:c r="I502" s="461"/>
      <x:c r="J502" s="461"/>
      <x:c r="K502" s="461"/>
      <x:c r="L502" s="461"/>
      <x:c r="M502" s="593"/>
      <x:c r="N502" s="593"/>
      <x:c r="O502" s="593"/>
    </x:row>
    <x:row r="503" ht="38" customHeight="1">
      <x:c r="A503" s="461"/>
      <x:c r="B503" s="461"/>
      <x:c r="C503" s="461"/>
      <x:c r="D503" s="461"/>
      <x:c r="E503" s="495"/>
      <x:c r="F503" s="473"/>
      <x:c r="G503" s="461"/>
      <x:c r="H503" s="473"/>
      <x:c r="I503" s="461"/>
      <x:c r="J503" s="461"/>
      <x:c r="K503" s="461"/>
      <x:c r="L503" s="461"/>
      <x:c r="M503" s="593"/>
      <x:c r="N503" s="593"/>
      <x:c r="O503" s="593"/>
    </x:row>
    <x:row r="504" ht="38" customHeight="1">
      <x:c r="A504" s="461"/>
      <x:c r="B504" s="461"/>
      <x:c r="C504" s="461"/>
      <x:c r="D504" s="461"/>
      <x:c r="E504" s="495"/>
      <x:c r="F504" s="473"/>
      <x:c r="G504" s="461"/>
      <x:c r="H504" s="473"/>
      <x:c r="I504" s="461"/>
      <x:c r="J504" s="461"/>
      <x:c r="K504" s="461"/>
      <x:c r="L504" s="461"/>
      <x:c r="M504" s="593"/>
      <x:c r="N504" s="593"/>
      <x:c r="O504" s="593"/>
    </x:row>
  </x:sheetData>
  <x:mergeCells>
    <x:mergeCell ref="A1:O1"/>
    <x:mergeCell ref="A2:O2"/>
  </x:mergeCells>
  <x:dataValidations count="5">
    <x:dataValidation type="list" sqref="B5:B504">
      <x:formula1>INDIRECT("'03-SOW主表'!$A$5:$A$104")</x:formula1>
    </x:dataValidation>
    <x:dataValidation type="list" sqref="D5:D504">
      <x:formula1>INDIRECT("'92-基础人天'!$C$5:$C$41")</x:formula1>
    </x:dataValidation>
    <x:dataValidation type="list" sqref="F5:F504">
      <x:formula1>"新建,调整,接入复用"</x:formula1>
    </x:dataValidation>
    <x:dataValidation type="list" sqref="H5:H504">
      <x:formula1>"S,M,L"</x:formula1>
    </x:dataValidation>
    <x:dataValidation type="list" sqref="J5:J504">
      <x:formula1>INDIRECT("'06-集成点'!$A$5:$A$104")</x:formula1>
    </x:dataValidation>
  </x:dataValidations>
  <x:pageMargins left="0.7" right="0.7" top="0.75" bottom="0.75" header="0.3" footer="0.3"/>
  <x:tableParts count="1">
    <x:tablePart xmlns:r="http://schemas.openxmlformats.org/officeDocument/2006/relationships" r:id="Rcaa60815847a488b"/>
  </x:tableParts>
</x:worksheet>
</file>

<file path=xl/worksheets/sheet7.xml><?xml version="1.0" encoding="utf-8"?>
<x:worksheet xmlns:x="http://schemas.openxmlformats.org/spreadsheetml/2006/main">
  <x:sheetViews>
    <x:sheetView showGridLines="0" workbookViewId="0"/>
  </x:sheetViews>
  <x:sheetFormatPr baseColWidth="8" defaultColWidth="9" defaultRowHeight="16.799999237060547"/>
  <x:cols>
    <x:col min="1" max="1" width="24" hidden="0" customWidth="1"/>
    <x:col min="2" max="2" width="20" hidden="0" customWidth="1"/>
    <x:col min="3" max="3" width="30" hidden="0" customWidth="1"/>
    <x:col min="4" max="4" width="30" hidden="0" customWidth="1"/>
    <x:col min="5" max="5" width="36" hidden="0" customWidth="1"/>
    <x:col min="6" max="6" width="15" hidden="0" customWidth="1"/>
    <x:col min="7" max="7" width="34" hidden="0" customWidth="1"/>
    <x:col min="8" max="8" width="16" hidden="0" customWidth="1"/>
    <x:col min="9" max="9" width="22" hidden="0" customWidth="1"/>
    <x:col min="10" max="10" width="15" hidden="0" customWidth="1"/>
    <x:col min="11" max="11" width="13" hidden="0" customWidth="1"/>
    <x:col min="12" max="12" width="14" hidden="0" customWidth="1"/>
    <x:col min="13" max="13" width="14" hidden="0" customWidth="1"/>
  </x:cols>
  <x:sheetData>
    <x:row r="1" ht="31" customHeight="1">
      <x:c r="A1" s="390" t="str">
        <x:v>集成点</x:v>
      </x:c>
      <x:c r="B1" s="390" t="str">
        <x:v>集成点</x:v>
      </x:c>
      <x:c r="C1" s="390" t="str">
        <x:v>集成点</x:v>
      </x:c>
      <x:c r="D1" s="390" t="str">
        <x:v>集成点</x:v>
      </x:c>
      <x:c r="E1" s="390" t="str">
        <x:v>集成点</x:v>
      </x:c>
      <x:c r="F1" s="390" t="str">
        <x:v>集成点</x:v>
      </x:c>
      <x:c r="G1" s="390" t="str">
        <x:v>集成点</x:v>
      </x:c>
      <x:c r="H1" s="390" t="str">
        <x:v>集成点</x:v>
      </x:c>
      <x:c r="I1" s="390" t="str">
        <x:v>集成点</x:v>
      </x:c>
      <x:c r="J1" s="390" t="str">
        <x:v>集成点</x:v>
      </x:c>
      <x:c r="K1" s="390" t="str">
        <x:v>集成点</x:v>
      </x:c>
      <x:c r="L1" s="390" t="str">
        <x:v>集成点</x:v>
      </x:c>
      <x:c r="M1" s="390" t="str">
        <x:v>集成点</x:v>
      </x:c>
    </x:row>
    <x:row r="2" ht="34" customHeight="1">
      <x:c r="A2" s="400" t="str">
        <x:v>一行对应一个顶层 Integration；Integration 独立于 Story 类型；只有引用该 Integration 的内部/外部系统对接 Task 才触发 SIT。</x:v>
      </x:c>
      <x:c r="B2" s="400" t="str">
        <x:v>一行对应一个顶层 Integration；Integration 独立于 Story 类型；只有引用该 Integration 的内部/外部系统对接 Task 才触发 SIT。</x:v>
      </x:c>
      <x:c r="C2" s="400" t="str">
        <x:v>一行对应一个顶层 Integration；Integration 独立于 Story 类型；只有引用该 Integration 的内部/外部系统对接 Task 才触发 SIT。</x:v>
      </x:c>
      <x:c r="D2" s="400" t="str">
        <x:v>一行对应一个顶层 Integration；Integration 独立于 Story 类型；只有引用该 Integration 的内部/外部系统对接 Task 才触发 SIT。</x:v>
      </x:c>
      <x:c r="E2" s="400" t="str">
        <x:v>一行对应一个顶层 Integration；Integration 独立于 Story 类型；只有引用该 Integration 的内部/外部系统对接 Task 才触发 SIT。</x:v>
      </x:c>
      <x:c r="F2" s="400" t="str">
        <x:v>一行对应一个顶层 Integration；Integration 独立于 Story 类型；只有引用该 Integration 的内部/外部系统对接 Task 才触发 SIT。</x:v>
      </x:c>
      <x:c r="G2" s="400" t="str">
        <x:v>一行对应一个顶层 Integration；Integration 独立于 Story 类型；只有引用该 Integration 的内部/外部系统对接 Task 才触发 SIT。</x:v>
      </x:c>
      <x:c r="H2" s="400" t="str">
        <x:v>一行对应一个顶层 Integration；Integration 独立于 Story 类型；只有引用该 Integration 的内部/外部系统对接 Task 才触发 SIT。</x:v>
      </x:c>
      <x:c r="I2" s="400" t="str">
        <x:v>一行对应一个顶层 Integration；Integration 独立于 Story 类型；只有引用该 Integration 的内部/外部系统对接 Task 才触发 SIT。</x:v>
      </x:c>
      <x:c r="J2" s="400" t="str">
        <x:v>一行对应一个顶层 Integration；Integration 独立于 Story 类型；只有引用该 Integration 的内部/外部系统对接 Task 才触发 SIT。</x:v>
      </x:c>
      <x:c r="K2" s="400" t="str">
        <x:v>一行对应一个顶层 Integration；Integration 独立于 Story 类型；只有引用该 Integration 的内部/外部系统对接 Task 才触发 SIT。</x:v>
      </x:c>
      <x:c r="L2" s="400" t="str">
        <x:v>一行对应一个顶层 Integration；Integration 独立于 Story 类型；只有引用该 Integration 的内部/外部系统对接 Task 才触发 SIT。</x:v>
      </x:c>
      <x:c r="M2" s="400" t="str">
        <x:v>一行对应一个顶层 Integration；Integration 独立于 Story 类型；只有引用该 Integration 的内部/外部系统对接 Task 才触发 SIT。</x:v>
      </x:c>
    </x:row>
    <x:row r="3" ht="9" customHeight="1"/>
    <x:row r="4" ht="38" customHeight="1">
      <x:c r="A4" s="453" t="str">
        <x:v>Integration ID</x:v>
      </x:c>
      <x:c r="B4" s="453" t="str">
        <x:v>Story ID</x:v>
      </x:c>
      <x:c r="C4" s="453" t="str">
        <x:v>来源</x:v>
      </x:c>
      <x:c r="D4" s="453" t="str">
        <x:v>目标</x:v>
      </x:c>
      <x:c r="E4" s="453" t="str">
        <x:v>触发条件</x:v>
      </x:c>
      <x:c r="F4" s="453" t="str">
        <x:v>方向</x:v>
      </x:c>
      <x:c r="G4" s="453" t="str">
        <x:v>业务目的</x:v>
      </x:c>
      <x:c r="H4" s="453" t="str">
        <x:v>责任边界</x:v>
      </x:c>
      <x:c r="I4" s="453" t="str">
        <x:v>集成Task ID</x:v>
      </x:c>
      <x:c r="J4" s="453" t="str">
        <x:v>工作模式</x:v>
      </x:c>
      <x:c r="K4" s="453" t="str">
        <x:v>复杂度</x:v>
      </x:c>
      <x:c r="L4" s="453" t="str">
        <x:v>支持单价</x:v>
      </x:c>
      <x:c r="M4" s="453" t="str">
        <x:v>SIT人天</x:v>
      </x:c>
    </x:row>
    <x:row r="5" ht="38" customHeight="1">
      <x:c r="A5" s="461"/>
      <x:c r="B5" s="461"/>
      <x:c r="C5" s="461"/>
      <x:c r="D5" s="461"/>
      <x:c r="E5" s="461"/>
      <x:c r="F5" s="473"/>
      <x:c r="G5" s="461"/>
      <x:c r="H5" s="473"/>
      <x:c r="I5" s="493" t="str">
        <x:f>IF(A5="","",IFERROR(INDEX(TaskTable[Task ID],MATCH(A5,TaskTable[Integration ID],0)),""))</x:f>
      </x:c>
      <x:c r="J5" s="496" t="str">
        <x:f>IF(I5="","",IFERROR(INDEX(TaskTable[工作模式],MATCH(I5,TaskTable[Task ID],0)),""))</x:f>
      </x:c>
      <x:c r="K5" s="496" t="str">
        <x:f>IF(I5="","",IFERROR(INDEX(TaskTable[复杂度],MATCH(I5,TaskTable[Task ID],0)),""))</x:f>
      </x:c>
      <x:c r="L5" s="593" t="str">
        <x:f>IF(I5="","",IF(H5="内部",INDEX(ProjectParameterTable[值],MATCH("SIT_INT_SUPPORT",ProjectParameterTable[参数代码],0)),IF(H5="外部",INDEX(ProjectParameterTable[值],MATCH("SIT_EXT_SUPPORT",ProjectParameterTable[参数代码],0)),"")))</x:f>
      </x:c>
      <x:c r="M5" s="593" t="str">
        <x:f>IF(OR(I5="",L5=""),"",ROUND(L5*IFERROR(INDEX(TaskTable[复杂度倍率],MATCH(I5,TaskTable[Task ID],0)),0),1))</x:f>
      </x:c>
    </x:row>
    <x:row r="6" ht="38" customHeight="1">
      <x:c r="A6" s="461"/>
      <x:c r="B6" s="461"/>
      <x:c r="C6" s="461"/>
      <x:c r="D6" s="461"/>
      <x:c r="E6" s="461"/>
      <x:c r="F6" s="473"/>
      <x:c r="G6" s="461"/>
      <x:c r="H6" s="473"/>
      <x:c r="I6" s="493"/>
      <x:c r="J6" s="496"/>
      <x:c r="K6" s="496"/>
      <x:c r="L6" s="593"/>
      <x:c r="M6" s="593"/>
    </x:row>
    <x:row r="7" ht="38" customHeight="1">
      <x:c r="A7" s="461"/>
      <x:c r="B7" s="461"/>
      <x:c r="C7" s="461"/>
      <x:c r="D7" s="461"/>
      <x:c r="E7" s="461"/>
      <x:c r="F7" s="473"/>
      <x:c r="G7" s="461"/>
      <x:c r="H7" s="473"/>
      <x:c r="I7" s="493"/>
      <x:c r="J7" s="496"/>
      <x:c r="K7" s="496"/>
      <x:c r="L7" s="593"/>
      <x:c r="M7" s="593"/>
    </x:row>
    <x:row r="8" ht="38" customHeight="1">
      <x:c r="A8" s="461"/>
      <x:c r="B8" s="461"/>
      <x:c r="C8" s="461"/>
      <x:c r="D8" s="461"/>
      <x:c r="E8" s="461"/>
      <x:c r="F8" s="473"/>
      <x:c r="G8" s="461"/>
      <x:c r="H8" s="473"/>
      <x:c r="I8" s="493"/>
      <x:c r="J8" s="496"/>
      <x:c r="K8" s="496"/>
      <x:c r="L8" s="593"/>
      <x:c r="M8" s="593"/>
    </x:row>
    <x:row r="9" ht="38" customHeight="1">
      <x:c r="A9" s="461"/>
      <x:c r="B9" s="461"/>
      <x:c r="C9" s="461"/>
      <x:c r="D9" s="461"/>
      <x:c r="E9" s="461"/>
      <x:c r="F9" s="473"/>
      <x:c r="G9" s="461"/>
      <x:c r="H9" s="473"/>
      <x:c r="I9" s="493"/>
      <x:c r="J9" s="496"/>
      <x:c r="K9" s="496"/>
      <x:c r="L9" s="593"/>
      <x:c r="M9" s="593"/>
    </x:row>
    <x:row r="10" ht="38" customHeight="1">
      <x:c r="A10" s="461"/>
      <x:c r="B10" s="461"/>
      <x:c r="C10" s="461"/>
      <x:c r="D10" s="461"/>
      <x:c r="E10" s="461"/>
      <x:c r="F10" s="473"/>
      <x:c r="G10" s="461"/>
      <x:c r="H10" s="473"/>
      <x:c r="I10" s="493"/>
      <x:c r="J10" s="496"/>
      <x:c r="K10" s="496"/>
      <x:c r="L10" s="593"/>
      <x:c r="M10" s="593"/>
    </x:row>
    <x:row r="11" ht="38" customHeight="1">
      <x:c r="A11" s="461"/>
      <x:c r="B11" s="461"/>
      <x:c r="C11" s="461"/>
      <x:c r="D11" s="461"/>
      <x:c r="E11" s="461"/>
      <x:c r="F11" s="473"/>
      <x:c r="G11" s="461"/>
      <x:c r="H11" s="473"/>
      <x:c r="I11" s="493"/>
      <x:c r="J11" s="496"/>
      <x:c r="K11" s="496"/>
      <x:c r="L11" s="593"/>
      <x:c r="M11" s="593"/>
    </x:row>
    <x:row r="12" ht="38" customHeight="1">
      <x:c r="A12" s="461"/>
      <x:c r="B12" s="461"/>
      <x:c r="C12" s="461"/>
      <x:c r="D12" s="461"/>
      <x:c r="E12" s="461"/>
      <x:c r="F12" s="473"/>
      <x:c r="G12" s="461"/>
      <x:c r="H12" s="473"/>
      <x:c r="I12" s="493"/>
      <x:c r="J12" s="496"/>
      <x:c r="K12" s="496"/>
      <x:c r="L12" s="593"/>
      <x:c r="M12" s="593"/>
    </x:row>
    <x:row r="13" ht="38" customHeight="1">
      <x:c r="A13" s="461"/>
      <x:c r="B13" s="461"/>
      <x:c r="C13" s="461"/>
      <x:c r="D13" s="461"/>
      <x:c r="E13" s="461"/>
      <x:c r="F13" s="473"/>
      <x:c r="G13" s="461"/>
      <x:c r="H13" s="473"/>
      <x:c r="I13" s="493"/>
      <x:c r="J13" s="496"/>
      <x:c r="K13" s="496"/>
      <x:c r="L13" s="593"/>
      <x:c r="M13" s="593"/>
    </x:row>
    <x:row r="14" ht="38" customHeight="1">
      <x:c r="A14" s="461"/>
      <x:c r="B14" s="461"/>
      <x:c r="C14" s="461"/>
      <x:c r="D14" s="461"/>
      <x:c r="E14" s="461"/>
      <x:c r="F14" s="473"/>
      <x:c r="G14" s="461"/>
      <x:c r="H14" s="473"/>
      <x:c r="I14" s="493"/>
      <x:c r="J14" s="496"/>
      <x:c r="K14" s="496"/>
      <x:c r="L14" s="593"/>
      <x:c r="M14" s="593"/>
    </x:row>
    <x:row r="15" ht="38" customHeight="1">
      <x:c r="A15" s="461"/>
      <x:c r="B15" s="461"/>
      <x:c r="C15" s="461"/>
      <x:c r="D15" s="461"/>
      <x:c r="E15" s="461"/>
      <x:c r="F15" s="473"/>
      <x:c r="G15" s="461"/>
      <x:c r="H15" s="473"/>
      <x:c r="I15" s="493"/>
      <x:c r="J15" s="496"/>
      <x:c r="K15" s="496"/>
      <x:c r="L15" s="593"/>
      <x:c r="M15" s="593"/>
    </x:row>
    <x:row r="16" ht="38" customHeight="1">
      <x:c r="A16" s="461"/>
      <x:c r="B16" s="461"/>
      <x:c r="C16" s="461"/>
      <x:c r="D16" s="461"/>
      <x:c r="E16" s="461"/>
      <x:c r="F16" s="473"/>
      <x:c r="G16" s="461"/>
      <x:c r="H16" s="473"/>
      <x:c r="I16" s="493"/>
      <x:c r="J16" s="496"/>
      <x:c r="K16" s="496"/>
      <x:c r="L16" s="593"/>
      <x:c r="M16" s="593"/>
    </x:row>
    <x:row r="17" ht="38" customHeight="1">
      <x:c r="A17" s="461"/>
      <x:c r="B17" s="461"/>
      <x:c r="C17" s="461"/>
      <x:c r="D17" s="461"/>
      <x:c r="E17" s="461"/>
      <x:c r="F17" s="473"/>
      <x:c r="G17" s="461"/>
      <x:c r="H17" s="473"/>
      <x:c r="I17" s="493"/>
      <x:c r="J17" s="496"/>
      <x:c r="K17" s="496"/>
      <x:c r="L17" s="593"/>
      <x:c r="M17" s="593"/>
    </x:row>
    <x:row r="18" ht="38" customHeight="1">
      <x:c r="A18" s="461"/>
      <x:c r="B18" s="461"/>
      <x:c r="C18" s="461"/>
      <x:c r="D18" s="461"/>
      <x:c r="E18" s="461"/>
      <x:c r="F18" s="473"/>
      <x:c r="G18" s="461"/>
      <x:c r="H18" s="473"/>
      <x:c r="I18" s="493"/>
      <x:c r="J18" s="496"/>
      <x:c r="K18" s="496"/>
      <x:c r="L18" s="593"/>
      <x:c r="M18" s="593"/>
    </x:row>
    <x:row r="19" ht="38" customHeight="1">
      <x:c r="A19" s="461"/>
      <x:c r="B19" s="461"/>
      <x:c r="C19" s="461"/>
      <x:c r="D19" s="461"/>
      <x:c r="E19" s="461"/>
      <x:c r="F19" s="473"/>
      <x:c r="G19" s="461"/>
      <x:c r="H19" s="473"/>
      <x:c r="I19" s="493"/>
      <x:c r="J19" s="496"/>
      <x:c r="K19" s="496"/>
      <x:c r="L19" s="593"/>
      <x:c r="M19" s="593"/>
    </x:row>
    <x:row r="20" ht="38" customHeight="1">
      <x:c r="A20" s="461"/>
      <x:c r="B20" s="461"/>
      <x:c r="C20" s="461"/>
      <x:c r="D20" s="461"/>
      <x:c r="E20" s="461"/>
      <x:c r="F20" s="473"/>
      <x:c r="G20" s="461"/>
      <x:c r="H20" s="473"/>
      <x:c r="I20" s="493"/>
      <x:c r="J20" s="496"/>
      <x:c r="K20" s="496"/>
      <x:c r="L20" s="593"/>
      <x:c r="M20" s="593"/>
    </x:row>
    <x:row r="21" ht="38" customHeight="1">
      <x:c r="A21" s="461"/>
      <x:c r="B21" s="461"/>
      <x:c r="C21" s="461"/>
      <x:c r="D21" s="461"/>
      <x:c r="E21" s="461"/>
      <x:c r="F21" s="473"/>
      <x:c r="G21" s="461"/>
      <x:c r="H21" s="473"/>
      <x:c r="I21" s="493"/>
      <x:c r="J21" s="496"/>
      <x:c r="K21" s="496"/>
      <x:c r="L21" s="593"/>
      <x:c r="M21" s="593"/>
    </x:row>
    <x:row r="22" ht="38" customHeight="1">
      <x:c r="A22" s="461"/>
      <x:c r="B22" s="461"/>
      <x:c r="C22" s="461"/>
      <x:c r="D22" s="461"/>
      <x:c r="E22" s="461"/>
      <x:c r="F22" s="473"/>
      <x:c r="G22" s="461"/>
      <x:c r="H22" s="473"/>
      <x:c r="I22" s="493"/>
      <x:c r="J22" s="496"/>
      <x:c r="K22" s="496"/>
      <x:c r="L22" s="593"/>
      <x:c r="M22" s="593"/>
    </x:row>
    <x:row r="23" ht="38" customHeight="1">
      <x:c r="A23" s="461"/>
      <x:c r="B23" s="461"/>
      <x:c r="C23" s="461"/>
      <x:c r="D23" s="461"/>
      <x:c r="E23" s="461"/>
      <x:c r="F23" s="473"/>
      <x:c r="G23" s="461"/>
      <x:c r="H23" s="473"/>
      <x:c r="I23" s="493"/>
      <x:c r="J23" s="496"/>
      <x:c r="K23" s="496"/>
      <x:c r="L23" s="593"/>
      <x:c r="M23" s="593"/>
    </x:row>
    <x:row r="24" ht="38" customHeight="1">
      <x:c r="A24" s="461"/>
      <x:c r="B24" s="461"/>
      <x:c r="C24" s="461"/>
      <x:c r="D24" s="461"/>
      <x:c r="E24" s="461"/>
      <x:c r="F24" s="473"/>
      <x:c r="G24" s="461"/>
      <x:c r="H24" s="473"/>
      <x:c r="I24" s="493"/>
      <x:c r="J24" s="496"/>
      <x:c r="K24" s="496"/>
      <x:c r="L24" s="593"/>
      <x:c r="M24" s="593"/>
    </x:row>
    <x:row r="25" ht="38" customHeight="1">
      <x:c r="A25" s="461"/>
      <x:c r="B25" s="461"/>
      <x:c r="C25" s="461"/>
      <x:c r="D25" s="461"/>
      <x:c r="E25" s="461"/>
      <x:c r="F25" s="473"/>
      <x:c r="G25" s="461"/>
      <x:c r="H25" s="473"/>
      <x:c r="I25" s="493"/>
      <x:c r="J25" s="496"/>
      <x:c r="K25" s="496"/>
      <x:c r="L25" s="593"/>
      <x:c r="M25" s="593"/>
    </x:row>
    <x:row r="26" ht="38" customHeight="1">
      <x:c r="A26" s="461"/>
      <x:c r="B26" s="461"/>
      <x:c r="C26" s="461"/>
      <x:c r="D26" s="461"/>
      <x:c r="E26" s="461"/>
      <x:c r="F26" s="473"/>
      <x:c r="G26" s="461"/>
      <x:c r="H26" s="473"/>
      <x:c r="I26" s="493"/>
      <x:c r="J26" s="496"/>
      <x:c r="K26" s="496"/>
      <x:c r="L26" s="593"/>
      <x:c r="M26" s="593"/>
    </x:row>
    <x:row r="27" ht="38" customHeight="1">
      <x:c r="A27" s="461"/>
      <x:c r="B27" s="461"/>
      <x:c r="C27" s="461"/>
      <x:c r="D27" s="461"/>
      <x:c r="E27" s="461"/>
      <x:c r="F27" s="473"/>
      <x:c r="G27" s="461"/>
      <x:c r="H27" s="473"/>
      <x:c r="I27" s="493"/>
      <x:c r="J27" s="496"/>
      <x:c r="K27" s="496"/>
      <x:c r="L27" s="593"/>
      <x:c r="M27" s="593"/>
    </x:row>
    <x:row r="28" ht="38" customHeight="1">
      <x:c r="A28" s="461"/>
      <x:c r="B28" s="461"/>
      <x:c r="C28" s="461"/>
      <x:c r="D28" s="461"/>
      <x:c r="E28" s="461"/>
      <x:c r="F28" s="473"/>
      <x:c r="G28" s="461"/>
      <x:c r="H28" s="473"/>
      <x:c r="I28" s="493"/>
      <x:c r="J28" s="496"/>
      <x:c r="K28" s="496"/>
      <x:c r="L28" s="593"/>
      <x:c r="M28" s="593"/>
    </x:row>
    <x:row r="29" ht="38" customHeight="1">
      <x:c r="A29" s="461"/>
      <x:c r="B29" s="461"/>
      <x:c r="C29" s="461"/>
      <x:c r="D29" s="461"/>
      <x:c r="E29" s="461"/>
      <x:c r="F29" s="473"/>
      <x:c r="G29" s="461"/>
      <x:c r="H29" s="473"/>
      <x:c r="I29" s="493"/>
      <x:c r="J29" s="496"/>
      <x:c r="K29" s="496"/>
      <x:c r="L29" s="593"/>
      <x:c r="M29" s="593"/>
    </x:row>
    <x:row r="30" ht="38" customHeight="1">
      <x:c r="A30" s="461"/>
      <x:c r="B30" s="461"/>
      <x:c r="C30" s="461"/>
      <x:c r="D30" s="461"/>
      <x:c r="E30" s="461"/>
      <x:c r="F30" s="473"/>
      <x:c r="G30" s="461"/>
      <x:c r="H30" s="473"/>
      <x:c r="I30" s="493"/>
      <x:c r="J30" s="496"/>
      <x:c r="K30" s="496"/>
      <x:c r="L30" s="593"/>
      <x:c r="M30" s="593"/>
    </x:row>
    <x:row r="31" ht="38" customHeight="1">
      <x:c r="A31" s="461"/>
      <x:c r="B31" s="461"/>
      <x:c r="C31" s="461"/>
      <x:c r="D31" s="461"/>
      <x:c r="E31" s="461"/>
      <x:c r="F31" s="473"/>
      <x:c r="G31" s="461"/>
      <x:c r="H31" s="473"/>
      <x:c r="I31" s="493"/>
      <x:c r="J31" s="496"/>
      <x:c r="K31" s="496"/>
      <x:c r="L31" s="593"/>
      <x:c r="M31" s="593"/>
    </x:row>
    <x:row r="32" ht="38" customHeight="1">
      <x:c r="A32" s="461"/>
      <x:c r="B32" s="461"/>
      <x:c r="C32" s="461"/>
      <x:c r="D32" s="461"/>
      <x:c r="E32" s="461"/>
      <x:c r="F32" s="473"/>
      <x:c r="G32" s="461"/>
      <x:c r="H32" s="473"/>
      <x:c r="I32" s="493"/>
      <x:c r="J32" s="496"/>
      <x:c r="K32" s="496"/>
      <x:c r="L32" s="593"/>
      <x:c r="M32" s="593"/>
    </x:row>
    <x:row r="33" ht="38" customHeight="1">
      <x:c r="A33" s="461"/>
      <x:c r="B33" s="461"/>
      <x:c r="C33" s="461"/>
      <x:c r="D33" s="461"/>
      <x:c r="E33" s="461"/>
      <x:c r="F33" s="473"/>
      <x:c r="G33" s="461"/>
      <x:c r="H33" s="473"/>
      <x:c r="I33" s="493"/>
      <x:c r="J33" s="496"/>
      <x:c r="K33" s="496"/>
      <x:c r="L33" s="593"/>
      <x:c r="M33" s="593"/>
    </x:row>
    <x:row r="34" ht="38" customHeight="1">
      <x:c r="A34" s="461"/>
      <x:c r="B34" s="461"/>
      <x:c r="C34" s="461"/>
      <x:c r="D34" s="461"/>
      <x:c r="E34" s="461"/>
      <x:c r="F34" s="473"/>
      <x:c r="G34" s="461"/>
      <x:c r="H34" s="473"/>
      <x:c r="I34" s="493"/>
      <x:c r="J34" s="496"/>
      <x:c r="K34" s="496"/>
      <x:c r="L34" s="593"/>
      <x:c r="M34" s="593"/>
    </x:row>
    <x:row r="35" ht="38" customHeight="1">
      <x:c r="A35" s="461"/>
      <x:c r="B35" s="461"/>
      <x:c r="C35" s="461"/>
      <x:c r="D35" s="461"/>
      <x:c r="E35" s="461"/>
      <x:c r="F35" s="473"/>
      <x:c r="G35" s="461"/>
      <x:c r="H35" s="473"/>
      <x:c r="I35" s="493"/>
      <x:c r="J35" s="496"/>
      <x:c r="K35" s="496"/>
      <x:c r="L35" s="593"/>
      <x:c r="M35" s="593"/>
    </x:row>
    <x:row r="36" ht="38" customHeight="1">
      <x:c r="A36" s="461"/>
      <x:c r="B36" s="461"/>
      <x:c r="C36" s="461"/>
      <x:c r="D36" s="461"/>
      <x:c r="E36" s="461"/>
      <x:c r="F36" s="473"/>
      <x:c r="G36" s="461"/>
      <x:c r="H36" s="473"/>
      <x:c r="I36" s="493"/>
      <x:c r="J36" s="496"/>
      <x:c r="K36" s="496"/>
      <x:c r="L36" s="593"/>
      <x:c r="M36" s="593"/>
    </x:row>
    <x:row r="37" ht="38" customHeight="1">
      <x:c r="A37" s="461"/>
      <x:c r="B37" s="461"/>
      <x:c r="C37" s="461"/>
      <x:c r="D37" s="461"/>
      <x:c r="E37" s="461"/>
      <x:c r="F37" s="473"/>
      <x:c r="G37" s="461"/>
      <x:c r="H37" s="473"/>
      <x:c r="I37" s="493"/>
      <x:c r="J37" s="496"/>
      <x:c r="K37" s="496"/>
      <x:c r="L37" s="593"/>
      <x:c r="M37" s="593"/>
    </x:row>
    <x:row r="38" ht="38" customHeight="1">
      <x:c r="A38" s="461"/>
      <x:c r="B38" s="461"/>
      <x:c r="C38" s="461"/>
      <x:c r="D38" s="461"/>
      <x:c r="E38" s="461"/>
      <x:c r="F38" s="473"/>
      <x:c r="G38" s="461"/>
      <x:c r="H38" s="473"/>
      <x:c r="I38" s="493"/>
      <x:c r="J38" s="496"/>
      <x:c r="K38" s="496"/>
      <x:c r="L38" s="593"/>
      <x:c r="M38" s="593"/>
    </x:row>
    <x:row r="39" ht="38" customHeight="1">
      <x:c r="A39" s="461"/>
      <x:c r="B39" s="461"/>
      <x:c r="C39" s="461"/>
      <x:c r="D39" s="461"/>
      <x:c r="E39" s="461"/>
      <x:c r="F39" s="473"/>
      <x:c r="G39" s="461"/>
      <x:c r="H39" s="473"/>
      <x:c r="I39" s="493"/>
      <x:c r="J39" s="496"/>
      <x:c r="K39" s="496"/>
      <x:c r="L39" s="593"/>
      <x:c r="M39" s="593"/>
    </x:row>
    <x:row r="40" ht="38" customHeight="1">
      <x:c r="A40" s="461"/>
      <x:c r="B40" s="461"/>
      <x:c r="C40" s="461"/>
      <x:c r="D40" s="461"/>
      <x:c r="E40" s="461"/>
      <x:c r="F40" s="473"/>
      <x:c r="G40" s="461"/>
      <x:c r="H40" s="473"/>
      <x:c r="I40" s="493"/>
      <x:c r="J40" s="496"/>
      <x:c r="K40" s="496"/>
      <x:c r="L40" s="593"/>
      <x:c r="M40" s="593"/>
    </x:row>
    <x:row r="41" ht="38" customHeight="1">
      <x:c r="A41" s="461"/>
      <x:c r="B41" s="461"/>
      <x:c r="C41" s="461"/>
      <x:c r="D41" s="461"/>
      <x:c r="E41" s="461"/>
      <x:c r="F41" s="473"/>
      <x:c r="G41" s="461"/>
      <x:c r="H41" s="473"/>
      <x:c r="I41" s="493"/>
      <x:c r="J41" s="496"/>
      <x:c r="K41" s="496"/>
      <x:c r="L41" s="593"/>
      <x:c r="M41" s="593"/>
    </x:row>
    <x:row r="42" ht="38" customHeight="1">
      <x:c r="A42" s="461"/>
      <x:c r="B42" s="461"/>
      <x:c r="C42" s="461"/>
      <x:c r="D42" s="461"/>
      <x:c r="E42" s="461"/>
      <x:c r="F42" s="473"/>
      <x:c r="G42" s="461"/>
      <x:c r="H42" s="473"/>
      <x:c r="I42" s="493"/>
      <x:c r="J42" s="496"/>
      <x:c r="K42" s="496"/>
      <x:c r="L42" s="593"/>
      <x:c r="M42" s="593"/>
    </x:row>
    <x:row r="43" ht="38" customHeight="1">
      <x:c r="A43" s="461"/>
      <x:c r="B43" s="461"/>
      <x:c r="C43" s="461"/>
      <x:c r="D43" s="461"/>
      <x:c r="E43" s="461"/>
      <x:c r="F43" s="473"/>
      <x:c r="G43" s="461"/>
      <x:c r="H43" s="473"/>
      <x:c r="I43" s="493"/>
      <x:c r="J43" s="496"/>
      <x:c r="K43" s="496"/>
      <x:c r="L43" s="593"/>
      <x:c r="M43" s="593"/>
    </x:row>
    <x:row r="44" ht="38" customHeight="1">
      <x:c r="A44" s="461"/>
      <x:c r="B44" s="461"/>
      <x:c r="C44" s="461"/>
      <x:c r="D44" s="461"/>
      <x:c r="E44" s="461"/>
      <x:c r="F44" s="473"/>
      <x:c r="G44" s="461"/>
      <x:c r="H44" s="473"/>
      <x:c r="I44" s="493"/>
      <x:c r="J44" s="496"/>
      <x:c r="K44" s="496"/>
      <x:c r="L44" s="593"/>
      <x:c r="M44" s="593"/>
    </x:row>
    <x:row r="45" ht="38" customHeight="1">
      <x:c r="A45" s="461"/>
      <x:c r="B45" s="461"/>
      <x:c r="C45" s="461"/>
      <x:c r="D45" s="461"/>
      <x:c r="E45" s="461"/>
      <x:c r="F45" s="473"/>
      <x:c r="G45" s="461"/>
      <x:c r="H45" s="473"/>
      <x:c r="I45" s="493"/>
      <x:c r="J45" s="496"/>
      <x:c r="K45" s="496"/>
      <x:c r="L45" s="593"/>
      <x:c r="M45" s="593"/>
    </x:row>
    <x:row r="46" ht="38" customHeight="1">
      <x:c r="A46" s="461"/>
      <x:c r="B46" s="461"/>
      <x:c r="C46" s="461"/>
      <x:c r="D46" s="461"/>
      <x:c r="E46" s="461"/>
      <x:c r="F46" s="473"/>
      <x:c r="G46" s="461"/>
      <x:c r="H46" s="473"/>
      <x:c r="I46" s="493"/>
      <x:c r="J46" s="496"/>
      <x:c r="K46" s="496"/>
      <x:c r="L46" s="593"/>
      <x:c r="M46" s="593"/>
    </x:row>
    <x:row r="47" ht="38" customHeight="1">
      <x:c r="A47" s="461"/>
      <x:c r="B47" s="461"/>
      <x:c r="C47" s="461"/>
      <x:c r="D47" s="461"/>
      <x:c r="E47" s="461"/>
      <x:c r="F47" s="473"/>
      <x:c r="G47" s="461"/>
      <x:c r="H47" s="473"/>
      <x:c r="I47" s="493"/>
      <x:c r="J47" s="496"/>
      <x:c r="K47" s="496"/>
      <x:c r="L47" s="593"/>
      <x:c r="M47" s="593"/>
    </x:row>
    <x:row r="48" ht="38" customHeight="1">
      <x:c r="A48" s="461"/>
      <x:c r="B48" s="461"/>
      <x:c r="C48" s="461"/>
      <x:c r="D48" s="461"/>
      <x:c r="E48" s="461"/>
      <x:c r="F48" s="473"/>
      <x:c r="G48" s="461"/>
      <x:c r="H48" s="473"/>
      <x:c r="I48" s="493"/>
      <x:c r="J48" s="496"/>
      <x:c r="K48" s="496"/>
      <x:c r="L48" s="593"/>
      <x:c r="M48" s="593"/>
    </x:row>
    <x:row r="49" ht="38" customHeight="1">
      <x:c r="A49" s="461"/>
      <x:c r="B49" s="461"/>
      <x:c r="C49" s="461"/>
      <x:c r="D49" s="461"/>
      <x:c r="E49" s="461"/>
      <x:c r="F49" s="473"/>
      <x:c r="G49" s="461"/>
      <x:c r="H49" s="473"/>
      <x:c r="I49" s="493"/>
      <x:c r="J49" s="496"/>
      <x:c r="K49" s="496"/>
      <x:c r="L49" s="593"/>
      <x:c r="M49" s="593"/>
    </x:row>
    <x:row r="50" ht="38" customHeight="1">
      <x:c r="A50" s="461"/>
      <x:c r="B50" s="461"/>
      <x:c r="C50" s="461"/>
      <x:c r="D50" s="461"/>
      <x:c r="E50" s="461"/>
      <x:c r="F50" s="473"/>
      <x:c r="G50" s="461"/>
      <x:c r="H50" s="473"/>
      <x:c r="I50" s="493"/>
      <x:c r="J50" s="496"/>
      <x:c r="K50" s="496"/>
      <x:c r="L50" s="593"/>
      <x:c r="M50" s="593"/>
    </x:row>
    <x:row r="51" ht="38" customHeight="1">
      <x:c r="A51" s="461"/>
      <x:c r="B51" s="461"/>
      <x:c r="C51" s="461"/>
      <x:c r="D51" s="461"/>
      <x:c r="E51" s="461"/>
      <x:c r="F51" s="473"/>
      <x:c r="G51" s="461"/>
      <x:c r="H51" s="473"/>
      <x:c r="I51" s="493"/>
      <x:c r="J51" s="496"/>
      <x:c r="K51" s="496"/>
      <x:c r="L51" s="593"/>
      <x:c r="M51" s="593"/>
    </x:row>
    <x:row r="52" ht="38" customHeight="1">
      <x:c r="A52" s="461"/>
      <x:c r="B52" s="461"/>
      <x:c r="C52" s="461"/>
      <x:c r="D52" s="461"/>
      <x:c r="E52" s="461"/>
      <x:c r="F52" s="473"/>
      <x:c r="G52" s="461"/>
      <x:c r="H52" s="473"/>
      <x:c r="I52" s="493"/>
      <x:c r="J52" s="496"/>
      <x:c r="K52" s="496"/>
      <x:c r="L52" s="593"/>
      <x:c r="M52" s="593"/>
    </x:row>
    <x:row r="53" ht="38" customHeight="1">
      <x:c r="A53" s="461"/>
      <x:c r="B53" s="461"/>
      <x:c r="C53" s="461"/>
      <x:c r="D53" s="461"/>
      <x:c r="E53" s="461"/>
      <x:c r="F53" s="473"/>
      <x:c r="G53" s="461"/>
      <x:c r="H53" s="473"/>
      <x:c r="I53" s="493"/>
      <x:c r="J53" s="496"/>
      <x:c r="K53" s="496"/>
      <x:c r="L53" s="593"/>
      <x:c r="M53" s="593"/>
    </x:row>
    <x:row r="54" ht="38" customHeight="1">
      <x:c r="A54" s="461"/>
      <x:c r="B54" s="461"/>
      <x:c r="C54" s="461"/>
      <x:c r="D54" s="461"/>
      <x:c r="E54" s="461"/>
      <x:c r="F54" s="473"/>
      <x:c r="G54" s="461"/>
      <x:c r="H54" s="473"/>
      <x:c r="I54" s="493"/>
      <x:c r="J54" s="496"/>
      <x:c r="K54" s="496"/>
      <x:c r="L54" s="593"/>
      <x:c r="M54" s="593"/>
    </x:row>
    <x:row r="55" ht="38" customHeight="1">
      <x:c r="A55" s="461"/>
      <x:c r="B55" s="461"/>
      <x:c r="C55" s="461"/>
      <x:c r="D55" s="461"/>
      <x:c r="E55" s="461"/>
      <x:c r="F55" s="473"/>
      <x:c r="G55" s="461"/>
      <x:c r="H55" s="473"/>
      <x:c r="I55" s="493"/>
      <x:c r="J55" s="496"/>
      <x:c r="K55" s="496"/>
      <x:c r="L55" s="593"/>
      <x:c r="M55" s="593"/>
    </x:row>
    <x:row r="56" ht="38" customHeight="1">
      <x:c r="A56" s="461"/>
      <x:c r="B56" s="461"/>
      <x:c r="C56" s="461"/>
      <x:c r="D56" s="461"/>
      <x:c r="E56" s="461"/>
      <x:c r="F56" s="473"/>
      <x:c r="G56" s="461"/>
      <x:c r="H56" s="473"/>
      <x:c r="I56" s="493"/>
      <x:c r="J56" s="496"/>
      <x:c r="K56" s="496"/>
      <x:c r="L56" s="593"/>
      <x:c r="M56" s="593"/>
    </x:row>
    <x:row r="57" ht="38" customHeight="1">
      <x:c r="A57" s="461"/>
      <x:c r="B57" s="461"/>
      <x:c r="C57" s="461"/>
      <x:c r="D57" s="461"/>
      <x:c r="E57" s="461"/>
      <x:c r="F57" s="473"/>
      <x:c r="G57" s="461"/>
      <x:c r="H57" s="473"/>
      <x:c r="I57" s="493"/>
      <x:c r="J57" s="496"/>
      <x:c r="K57" s="496"/>
      <x:c r="L57" s="593"/>
      <x:c r="M57" s="593"/>
    </x:row>
    <x:row r="58" ht="38" customHeight="1">
      <x:c r="A58" s="461"/>
      <x:c r="B58" s="461"/>
      <x:c r="C58" s="461"/>
      <x:c r="D58" s="461"/>
      <x:c r="E58" s="461"/>
      <x:c r="F58" s="473"/>
      <x:c r="G58" s="461"/>
      <x:c r="H58" s="473"/>
      <x:c r="I58" s="493"/>
      <x:c r="J58" s="496"/>
      <x:c r="K58" s="496"/>
      <x:c r="L58" s="593"/>
      <x:c r="M58" s="593"/>
    </x:row>
    <x:row r="59" ht="38" customHeight="1">
      <x:c r="A59" s="461"/>
      <x:c r="B59" s="461"/>
      <x:c r="C59" s="461"/>
      <x:c r="D59" s="461"/>
      <x:c r="E59" s="461"/>
      <x:c r="F59" s="473"/>
      <x:c r="G59" s="461"/>
      <x:c r="H59" s="473"/>
      <x:c r="I59" s="493"/>
      <x:c r="J59" s="496"/>
      <x:c r="K59" s="496"/>
      <x:c r="L59" s="593"/>
      <x:c r="M59" s="593"/>
    </x:row>
    <x:row r="60" ht="38" customHeight="1">
      <x:c r="A60" s="461"/>
      <x:c r="B60" s="461"/>
      <x:c r="C60" s="461"/>
      <x:c r="D60" s="461"/>
      <x:c r="E60" s="461"/>
      <x:c r="F60" s="473"/>
      <x:c r="G60" s="461"/>
      <x:c r="H60" s="473"/>
      <x:c r="I60" s="493"/>
      <x:c r="J60" s="496"/>
      <x:c r="K60" s="496"/>
      <x:c r="L60" s="593"/>
      <x:c r="M60" s="593"/>
    </x:row>
    <x:row r="61" ht="38" customHeight="1">
      <x:c r="A61" s="461"/>
      <x:c r="B61" s="461"/>
      <x:c r="C61" s="461"/>
      <x:c r="D61" s="461"/>
      <x:c r="E61" s="461"/>
      <x:c r="F61" s="473"/>
      <x:c r="G61" s="461"/>
      <x:c r="H61" s="473"/>
      <x:c r="I61" s="493"/>
      <x:c r="J61" s="496"/>
      <x:c r="K61" s="496"/>
      <x:c r="L61" s="593"/>
      <x:c r="M61" s="593"/>
    </x:row>
    <x:row r="62" ht="38" customHeight="1">
      <x:c r="A62" s="461"/>
      <x:c r="B62" s="461"/>
      <x:c r="C62" s="461"/>
      <x:c r="D62" s="461"/>
      <x:c r="E62" s="461"/>
      <x:c r="F62" s="473"/>
      <x:c r="G62" s="461"/>
      <x:c r="H62" s="473"/>
      <x:c r="I62" s="493"/>
      <x:c r="J62" s="496"/>
      <x:c r="K62" s="496"/>
      <x:c r="L62" s="593"/>
      <x:c r="M62" s="593"/>
    </x:row>
    <x:row r="63" ht="38" customHeight="1">
      <x:c r="A63" s="461"/>
      <x:c r="B63" s="461"/>
      <x:c r="C63" s="461"/>
      <x:c r="D63" s="461"/>
      <x:c r="E63" s="461"/>
      <x:c r="F63" s="473"/>
      <x:c r="G63" s="461"/>
      <x:c r="H63" s="473"/>
      <x:c r="I63" s="493"/>
      <x:c r="J63" s="496"/>
      <x:c r="K63" s="496"/>
      <x:c r="L63" s="593"/>
      <x:c r="M63" s="593"/>
    </x:row>
    <x:row r="64" ht="38" customHeight="1">
      <x:c r="A64" s="461"/>
      <x:c r="B64" s="461"/>
      <x:c r="C64" s="461"/>
      <x:c r="D64" s="461"/>
      <x:c r="E64" s="461"/>
      <x:c r="F64" s="473"/>
      <x:c r="G64" s="461"/>
      <x:c r="H64" s="473"/>
      <x:c r="I64" s="493"/>
      <x:c r="J64" s="496"/>
      <x:c r="K64" s="496"/>
      <x:c r="L64" s="593"/>
      <x:c r="M64" s="593"/>
    </x:row>
    <x:row r="65" ht="38" customHeight="1">
      <x:c r="A65" s="461"/>
      <x:c r="B65" s="461"/>
      <x:c r="C65" s="461"/>
      <x:c r="D65" s="461"/>
      <x:c r="E65" s="461"/>
      <x:c r="F65" s="473"/>
      <x:c r="G65" s="461"/>
      <x:c r="H65" s="473"/>
      <x:c r="I65" s="493"/>
      <x:c r="J65" s="496"/>
      <x:c r="K65" s="496"/>
      <x:c r="L65" s="593"/>
      <x:c r="M65" s="593"/>
    </x:row>
    <x:row r="66" ht="38" customHeight="1">
      <x:c r="A66" s="461"/>
      <x:c r="B66" s="461"/>
      <x:c r="C66" s="461"/>
      <x:c r="D66" s="461"/>
      <x:c r="E66" s="461"/>
      <x:c r="F66" s="473"/>
      <x:c r="G66" s="461"/>
      <x:c r="H66" s="473"/>
      <x:c r="I66" s="493"/>
      <x:c r="J66" s="496"/>
      <x:c r="K66" s="496"/>
      <x:c r="L66" s="593"/>
      <x:c r="M66" s="593"/>
    </x:row>
    <x:row r="67" ht="38" customHeight="1">
      <x:c r="A67" s="461"/>
      <x:c r="B67" s="461"/>
      <x:c r="C67" s="461"/>
      <x:c r="D67" s="461"/>
      <x:c r="E67" s="461"/>
      <x:c r="F67" s="473"/>
      <x:c r="G67" s="461"/>
      <x:c r="H67" s="473"/>
      <x:c r="I67" s="493"/>
      <x:c r="J67" s="496"/>
      <x:c r="K67" s="496"/>
      <x:c r="L67" s="593"/>
      <x:c r="M67" s="593"/>
    </x:row>
    <x:row r="68" ht="38" customHeight="1">
      <x:c r="A68" s="461"/>
      <x:c r="B68" s="461"/>
      <x:c r="C68" s="461"/>
      <x:c r="D68" s="461"/>
      <x:c r="E68" s="461"/>
      <x:c r="F68" s="473"/>
      <x:c r="G68" s="461"/>
      <x:c r="H68" s="473"/>
      <x:c r="I68" s="493"/>
      <x:c r="J68" s="496"/>
      <x:c r="K68" s="496"/>
      <x:c r="L68" s="593"/>
      <x:c r="M68" s="593"/>
    </x:row>
    <x:row r="69" ht="38" customHeight="1">
      <x:c r="A69" s="461"/>
      <x:c r="B69" s="461"/>
      <x:c r="C69" s="461"/>
      <x:c r="D69" s="461"/>
      <x:c r="E69" s="461"/>
      <x:c r="F69" s="473"/>
      <x:c r="G69" s="461"/>
      <x:c r="H69" s="473"/>
      <x:c r="I69" s="493"/>
      <x:c r="J69" s="496"/>
      <x:c r="K69" s="496"/>
      <x:c r="L69" s="593"/>
      <x:c r="M69" s="593"/>
    </x:row>
    <x:row r="70" ht="38" customHeight="1">
      <x:c r="A70" s="461"/>
      <x:c r="B70" s="461"/>
      <x:c r="C70" s="461"/>
      <x:c r="D70" s="461"/>
      <x:c r="E70" s="461"/>
      <x:c r="F70" s="473"/>
      <x:c r="G70" s="461"/>
      <x:c r="H70" s="473"/>
      <x:c r="I70" s="493"/>
      <x:c r="J70" s="496"/>
      <x:c r="K70" s="496"/>
      <x:c r="L70" s="593"/>
      <x:c r="M70" s="593"/>
    </x:row>
    <x:row r="71" ht="38" customHeight="1">
      <x:c r="A71" s="461"/>
      <x:c r="B71" s="461"/>
      <x:c r="C71" s="461"/>
      <x:c r="D71" s="461"/>
      <x:c r="E71" s="461"/>
      <x:c r="F71" s="473"/>
      <x:c r="G71" s="461"/>
      <x:c r="H71" s="473"/>
      <x:c r="I71" s="493"/>
      <x:c r="J71" s="496"/>
      <x:c r="K71" s="496"/>
      <x:c r="L71" s="593"/>
      <x:c r="M71" s="593"/>
    </x:row>
    <x:row r="72" ht="38" customHeight="1">
      <x:c r="A72" s="461"/>
      <x:c r="B72" s="461"/>
      <x:c r="C72" s="461"/>
      <x:c r="D72" s="461"/>
      <x:c r="E72" s="461"/>
      <x:c r="F72" s="473"/>
      <x:c r="G72" s="461"/>
      <x:c r="H72" s="473"/>
      <x:c r="I72" s="493"/>
      <x:c r="J72" s="496"/>
      <x:c r="K72" s="496"/>
      <x:c r="L72" s="593"/>
      <x:c r="M72" s="593"/>
    </x:row>
    <x:row r="73" ht="38" customHeight="1">
      <x:c r="A73" s="461"/>
      <x:c r="B73" s="461"/>
      <x:c r="C73" s="461"/>
      <x:c r="D73" s="461"/>
      <x:c r="E73" s="461"/>
      <x:c r="F73" s="473"/>
      <x:c r="G73" s="461"/>
      <x:c r="H73" s="473"/>
      <x:c r="I73" s="493"/>
      <x:c r="J73" s="496"/>
      <x:c r="K73" s="496"/>
      <x:c r="L73" s="593"/>
      <x:c r="M73" s="593"/>
    </x:row>
    <x:row r="74" ht="38" customHeight="1">
      <x:c r="A74" s="461"/>
      <x:c r="B74" s="461"/>
      <x:c r="C74" s="461"/>
      <x:c r="D74" s="461"/>
      <x:c r="E74" s="461"/>
      <x:c r="F74" s="473"/>
      <x:c r="G74" s="461"/>
      <x:c r="H74" s="473"/>
      <x:c r="I74" s="493"/>
      <x:c r="J74" s="496"/>
      <x:c r="K74" s="496"/>
      <x:c r="L74" s="593"/>
      <x:c r="M74" s="593"/>
    </x:row>
    <x:row r="75" ht="38" customHeight="1">
      <x:c r="A75" s="461"/>
      <x:c r="B75" s="461"/>
      <x:c r="C75" s="461"/>
      <x:c r="D75" s="461"/>
      <x:c r="E75" s="461"/>
      <x:c r="F75" s="473"/>
      <x:c r="G75" s="461"/>
      <x:c r="H75" s="473"/>
      <x:c r="I75" s="493"/>
      <x:c r="J75" s="496"/>
      <x:c r="K75" s="496"/>
      <x:c r="L75" s="593"/>
      <x:c r="M75" s="593"/>
    </x:row>
    <x:row r="76" ht="38" customHeight="1">
      <x:c r="A76" s="461"/>
      <x:c r="B76" s="461"/>
      <x:c r="C76" s="461"/>
      <x:c r="D76" s="461"/>
      <x:c r="E76" s="461"/>
      <x:c r="F76" s="473"/>
      <x:c r="G76" s="461"/>
      <x:c r="H76" s="473"/>
      <x:c r="I76" s="493"/>
      <x:c r="J76" s="496"/>
      <x:c r="K76" s="496"/>
      <x:c r="L76" s="593"/>
      <x:c r="M76" s="593"/>
    </x:row>
    <x:row r="77" ht="38" customHeight="1">
      <x:c r="A77" s="461"/>
      <x:c r="B77" s="461"/>
      <x:c r="C77" s="461"/>
      <x:c r="D77" s="461"/>
      <x:c r="E77" s="461"/>
      <x:c r="F77" s="473"/>
      <x:c r="G77" s="461"/>
      <x:c r="H77" s="473"/>
      <x:c r="I77" s="493"/>
      <x:c r="J77" s="496"/>
      <x:c r="K77" s="496"/>
      <x:c r="L77" s="593"/>
      <x:c r="M77" s="593"/>
    </x:row>
    <x:row r="78" ht="38" customHeight="1">
      <x:c r="A78" s="461"/>
      <x:c r="B78" s="461"/>
      <x:c r="C78" s="461"/>
      <x:c r="D78" s="461"/>
      <x:c r="E78" s="461"/>
      <x:c r="F78" s="473"/>
      <x:c r="G78" s="461"/>
      <x:c r="H78" s="473"/>
      <x:c r="I78" s="493"/>
      <x:c r="J78" s="496"/>
      <x:c r="K78" s="496"/>
      <x:c r="L78" s="593"/>
      <x:c r="M78" s="593"/>
    </x:row>
    <x:row r="79" ht="38" customHeight="1">
      <x:c r="A79" s="461"/>
      <x:c r="B79" s="461"/>
      <x:c r="C79" s="461"/>
      <x:c r="D79" s="461"/>
      <x:c r="E79" s="461"/>
      <x:c r="F79" s="473"/>
      <x:c r="G79" s="461"/>
      <x:c r="H79" s="473"/>
      <x:c r="I79" s="493"/>
      <x:c r="J79" s="496"/>
      <x:c r="K79" s="496"/>
      <x:c r="L79" s="593"/>
      <x:c r="M79" s="593"/>
    </x:row>
    <x:row r="80" ht="38" customHeight="1">
      <x:c r="A80" s="461"/>
      <x:c r="B80" s="461"/>
      <x:c r="C80" s="461"/>
      <x:c r="D80" s="461"/>
      <x:c r="E80" s="461"/>
      <x:c r="F80" s="473"/>
      <x:c r="G80" s="461"/>
      <x:c r="H80" s="473"/>
      <x:c r="I80" s="493"/>
      <x:c r="J80" s="496"/>
      <x:c r="K80" s="496"/>
      <x:c r="L80" s="593"/>
      <x:c r="M80" s="593"/>
    </x:row>
    <x:row r="81" ht="38" customHeight="1">
      <x:c r="A81" s="461"/>
      <x:c r="B81" s="461"/>
      <x:c r="C81" s="461"/>
      <x:c r="D81" s="461"/>
      <x:c r="E81" s="461"/>
      <x:c r="F81" s="473"/>
      <x:c r="G81" s="461"/>
      <x:c r="H81" s="473"/>
      <x:c r="I81" s="493"/>
      <x:c r="J81" s="496"/>
      <x:c r="K81" s="496"/>
      <x:c r="L81" s="593"/>
      <x:c r="M81" s="593"/>
    </x:row>
    <x:row r="82" ht="38" customHeight="1">
      <x:c r="A82" s="461"/>
      <x:c r="B82" s="461"/>
      <x:c r="C82" s="461"/>
      <x:c r="D82" s="461"/>
      <x:c r="E82" s="461"/>
      <x:c r="F82" s="473"/>
      <x:c r="G82" s="461"/>
      <x:c r="H82" s="473"/>
      <x:c r="I82" s="493"/>
      <x:c r="J82" s="496"/>
      <x:c r="K82" s="496"/>
      <x:c r="L82" s="593"/>
      <x:c r="M82" s="593"/>
    </x:row>
    <x:row r="83" ht="38" customHeight="1">
      <x:c r="A83" s="461"/>
      <x:c r="B83" s="461"/>
      <x:c r="C83" s="461"/>
      <x:c r="D83" s="461"/>
      <x:c r="E83" s="461"/>
      <x:c r="F83" s="473"/>
      <x:c r="G83" s="461"/>
      <x:c r="H83" s="473"/>
      <x:c r="I83" s="493"/>
      <x:c r="J83" s="496"/>
      <x:c r="K83" s="496"/>
      <x:c r="L83" s="593"/>
      <x:c r="M83" s="593"/>
    </x:row>
    <x:row r="84" ht="38" customHeight="1">
      <x:c r="A84" s="461"/>
      <x:c r="B84" s="461"/>
      <x:c r="C84" s="461"/>
      <x:c r="D84" s="461"/>
      <x:c r="E84" s="461"/>
      <x:c r="F84" s="473"/>
      <x:c r="G84" s="461"/>
      <x:c r="H84" s="473"/>
      <x:c r="I84" s="493"/>
      <x:c r="J84" s="496"/>
      <x:c r="K84" s="496"/>
      <x:c r="L84" s="593"/>
      <x:c r="M84" s="593"/>
    </x:row>
    <x:row r="85" ht="38" customHeight="1">
      <x:c r="A85" s="461"/>
      <x:c r="B85" s="461"/>
      <x:c r="C85" s="461"/>
      <x:c r="D85" s="461"/>
      <x:c r="E85" s="461"/>
      <x:c r="F85" s="473"/>
      <x:c r="G85" s="461"/>
      <x:c r="H85" s="473"/>
      <x:c r="I85" s="493"/>
      <x:c r="J85" s="496"/>
      <x:c r="K85" s="496"/>
      <x:c r="L85" s="593"/>
      <x:c r="M85" s="593"/>
    </x:row>
    <x:row r="86" ht="38" customHeight="1">
      <x:c r="A86" s="461"/>
      <x:c r="B86" s="461"/>
      <x:c r="C86" s="461"/>
      <x:c r="D86" s="461"/>
      <x:c r="E86" s="461"/>
      <x:c r="F86" s="473"/>
      <x:c r="G86" s="461"/>
      <x:c r="H86" s="473"/>
      <x:c r="I86" s="493"/>
      <x:c r="J86" s="496"/>
      <x:c r="K86" s="496"/>
      <x:c r="L86" s="593"/>
      <x:c r="M86" s="593"/>
    </x:row>
    <x:row r="87" ht="38" customHeight="1">
      <x:c r="A87" s="461"/>
      <x:c r="B87" s="461"/>
      <x:c r="C87" s="461"/>
      <x:c r="D87" s="461"/>
      <x:c r="E87" s="461"/>
      <x:c r="F87" s="473"/>
      <x:c r="G87" s="461"/>
      <x:c r="H87" s="473"/>
      <x:c r="I87" s="493"/>
      <x:c r="J87" s="496"/>
      <x:c r="K87" s="496"/>
      <x:c r="L87" s="593"/>
      <x:c r="M87" s="593"/>
    </x:row>
    <x:row r="88" ht="38" customHeight="1">
      <x:c r="A88" s="461"/>
      <x:c r="B88" s="461"/>
      <x:c r="C88" s="461"/>
      <x:c r="D88" s="461"/>
      <x:c r="E88" s="461"/>
      <x:c r="F88" s="473"/>
      <x:c r="G88" s="461"/>
      <x:c r="H88" s="473"/>
      <x:c r="I88" s="493"/>
      <x:c r="J88" s="496"/>
      <x:c r="K88" s="496"/>
      <x:c r="L88" s="593"/>
      <x:c r="M88" s="593"/>
    </x:row>
    <x:row r="89" ht="38" customHeight="1">
      <x:c r="A89" s="461"/>
      <x:c r="B89" s="461"/>
      <x:c r="C89" s="461"/>
      <x:c r="D89" s="461"/>
      <x:c r="E89" s="461"/>
      <x:c r="F89" s="473"/>
      <x:c r="G89" s="461"/>
      <x:c r="H89" s="473"/>
      <x:c r="I89" s="493"/>
      <x:c r="J89" s="496"/>
      <x:c r="K89" s="496"/>
      <x:c r="L89" s="593"/>
      <x:c r="M89" s="593"/>
    </x:row>
    <x:row r="90" ht="38" customHeight="1">
      <x:c r="A90" s="461"/>
      <x:c r="B90" s="461"/>
      <x:c r="C90" s="461"/>
      <x:c r="D90" s="461"/>
      <x:c r="E90" s="461"/>
      <x:c r="F90" s="473"/>
      <x:c r="G90" s="461"/>
      <x:c r="H90" s="473"/>
      <x:c r="I90" s="493"/>
      <x:c r="J90" s="496"/>
      <x:c r="K90" s="496"/>
      <x:c r="L90" s="593"/>
      <x:c r="M90" s="593"/>
    </x:row>
    <x:row r="91" ht="38" customHeight="1">
      <x:c r="A91" s="461"/>
      <x:c r="B91" s="461"/>
      <x:c r="C91" s="461"/>
      <x:c r="D91" s="461"/>
      <x:c r="E91" s="461"/>
      <x:c r="F91" s="473"/>
      <x:c r="G91" s="461"/>
      <x:c r="H91" s="473"/>
      <x:c r="I91" s="493"/>
      <x:c r="J91" s="496"/>
      <x:c r="K91" s="496"/>
      <x:c r="L91" s="593"/>
      <x:c r="M91" s="593"/>
    </x:row>
    <x:row r="92" ht="38" customHeight="1">
      <x:c r="A92" s="461"/>
      <x:c r="B92" s="461"/>
      <x:c r="C92" s="461"/>
      <x:c r="D92" s="461"/>
      <x:c r="E92" s="461"/>
      <x:c r="F92" s="473"/>
      <x:c r="G92" s="461"/>
      <x:c r="H92" s="473"/>
      <x:c r="I92" s="493"/>
      <x:c r="J92" s="496"/>
      <x:c r="K92" s="496"/>
      <x:c r="L92" s="593"/>
      <x:c r="M92" s="593"/>
    </x:row>
    <x:row r="93" ht="38" customHeight="1">
      <x:c r="A93" s="461"/>
      <x:c r="B93" s="461"/>
      <x:c r="C93" s="461"/>
      <x:c r="D93" s="461"/>
      <x:c r="E93" s="461"/>
      <x:c r="F93" s="473"/>
      <x:c r="G93" s="461"/>
      <x:c r="H93" s="473"/>
      <x:c r="I93" s="493"/>
      <x:c r="J93" s="496"/>
      <x:c r="K93" s="496"/>
      <x:c r="L93" s="593"/>
      <x:c r="M93" s="593"/>
    </x:row>
    <x:row r="94" ht="38" customHeight="1">
      <x:c r="A94" s="461"/>
      <x:c r="B94" s="461"/>
      <x:c r="C94" s="461"/>
      <x:c r="D94" s="461"/>
      <x:c r="E94" s="461"/>
      <x:c r="F94" s="473"/>
      <x:c r="G94" s="461"/>
      <x:c r="H94" s="473"/>
      <x:c r="I94" s="493"/>
      <x:c r="J94" s="496"/>
      <x:c r="K94" s="496"/>
      <x:c r="L94" s="593"/>
      <x:c r="M94" s="593"/>
    </x:row>
    <x:row r="95" ht="38" customHeight="1">
      <x:c r="A95" s="461"/>
      <x:c r="B95" s="461"/>
      <x:c r="C95" s="461"/>
      <x:c r="D95" s="461"/>
      <x:c r="E95" s="461"/>
      <x:c r="F95" s="473"/>
      <x:c r="G95" s="461"/>
      <x:c r="H95" s="473"/>
      <x:c r="I95" s="493"/>
      <x:c r="J95" s="496"/>
      <x:c r="K95" s="496"/>
      <x:c r="L95" s="593"/>
      <x:c r="M95" s="593"/>
    </x:row>
    <x:row r="96" ht="38" customHeight="1">
      <x:c r="A96" s="461"/>
      <x:c r="B96" s="461"/>
      <x:c r="C96" s="461"/>
      <x:c r="D96" s="461"/>
      <x:c r="E96" s="461"/>
      <x:c r="F96" s="473"/>
      <x:c r="G96" s="461"/>
      <x:c r="H96" s="473"/>
      <x:c r="I96" s="493"/>
      <x:c r="J96" s="496"/>
      <x:c r="K96" s="496"/>
      <x:c r="L96" s="593"/>
      <x:c r="M96" s="593"/>
    </x:row>
    <x:row r="97" ht="38" customHeight="1">
      <x:c r="A97" s="461"/>
      <x:c r="B97" s="461"/>
      <x:c r="C97" s="461"/>
      <x:c r="D97" s="461"/>
      <x:c r="E97" s="461"/>
      <x:c r="F97" s="473"/>
      <x:c r="G97" s="461"/>
      <x:c r="H97" s="473"/>
      <x:c r="I97" s="493"/>
      <x:c r="J97" s="496"/>
      <x:c r="K97" s="496"/>
      <x:c r="L97" s="593"/>
      <x:c r="M97" s="593"/>
    </x:row>
    <x:row r="98" ht="38" customHeight="1">
      <x:c r="A98" s="461"/>
      <x:c r="B98" s="461"/>
      <x:c r="C98" s="461"/>
      <x:c r="D98" s="461"/>
      <x:c r="E98" s="461"/>
      <x:c r="F98" s="473"/>
      <x:c r="G98" s="461"/>
      <x:c r="H98" s="473"/>
      <x:c r="I98" s="493"/>
      <x:c r="J98" s="496"/>
      <x:c r="K98" s="496"/>
      <x:c r="L98" s="593"/>
      <x:c r="M98" s="593"/>
    </x:row>
    <x:row r="99" ht="38" customHeight="1">
      <x:c r="A99" s="461"/>
      <x:c r="B99" s="461"/>
      <x:c r="C99" s="461"/>
      <x:c r="D99" s="461"/>
      <x:c r="E99" s="461"/>
      <x:c r="F99" s="473"/>
      <x:c r="G99" s="461"/>
      <x:c r="H99" s="473"/>
      <x:c r="I99" s="493"/>
      <x:c r="J99" s="496"/>
      <x:c r="K99" s="496"/>
      <x:c r="L99" s="593"/>
      <x:c r="M99" s="593"/>
    </x:row>
    <x:row r="100" ht="38" customHeight="1">
      <x:c r="A100" s="461"/>
      <x:c r="B100" s="461"/>
      <x:c r="C100" s="461"/>
      <x:c r="D100" s="461"/>
      <x:c r="E100" s="461"/>
      <x:c r="F100" s="473"/>
      <x:c r="G100" s="461"/>
      <x:c r="H100" s="473"/>
      <x:c r="I100" s="493"/>
      <x:c r="J100" s="496"/>
      <x:c r="K100" s="496"/>
      <x:c r="L100" s="593"/>
      <x:c r="M100" s="593"/>
    </x:row>
    <x:row r="101" ht="38" customHeight="1">
      <x:c r="A101" s="461"/>
      <x:c r="B101" s="461"/>
      <x:c r="C101" s="461"/>
      <x:c r="D101" s="461"/>
      <x:c r="E101" s="461"/>
      <x:c r="F101" s="473"/>
      <x:c r="G101" s="461"/>
      <x:c r="H101" s="473"/>
      <x:c r="I101" s="493"/>
      <x:c r="J101" s="496"/>
      <x:c r="K101" s="496"/>
      <x:c r="L101" s="593"/>
      <x:c r="M101" s="593"/>
    </x:row>
    <x:row r="102" ht="38" customHeight="1">
      <x:c r="A102" s="461"/>
      <x:c r="B102" s="461"/>
      <x:c r="C102" s="461"/>
      <x:c r="D102" s="461"/>
      <x:c r="E102" s="461"/>
      <x:c r="F102" s="473"/>
      <x:c r="G102" s="461"/>
      <x:c r="H102" s="473"/>
      <x:c r="I102" s="493"/>
      <x:c r="J102" s="496"/>
      <x:c r="K102" s="496"/>
      <x:c r="L102" s="593"/>
      <x:c r="M102" s="593"/>
    </x:row>
    <x:row r="103" ht="38" customHeight="1">
      <x:c r="A103" s="461"/>
      <x:c r="B103" s="461"/>
      <x:c r="C103" s="461"/>
      <x:c r="D103" s="461"/>
      <x:c r="E103" s="461"/>
      <x:c r="F103" s="473"/>
      <x:c r="G103" s="461"/>
      <x:c r="H103" s="473"/>
      <x:c r="I103" s="493"/>
      <x:c r="J103" s="496"/>
      <x:c r="K103" s="496"/>
      <x:c r="L103" s="593"/>
      <x:c r="M103" s="593"/>
    </x:row>
    <x:row r="104" ht="38" customHeight="1">
      <x:c r="A104" s="461"/>
      <x:c r="B104" s="461"/>
      <x:c r="C104" s="461"/>
      <x:c r="D104" s="461"/>
      <x:c r="E104" s="461"/>
      <x:c r="F104" s="473"/>
      <x:c r="G104" s="461"/>
      <x:c r="H104" s="473"/>
      <x:c r="I104" s="493"/>
      <x:c r="J104" s="496"/>
      <x:c r="K104" s="496"/>
      <x:c r="L104" s="593"/>
      <x:c r="M104" s="593"/>
    </x:row>
  </x:sheetData>
  <x:mergeCells>
    <x:mergeCell ref="A1:M1"/>
    <x:mergeCell ref="A2:M2"/>
  </x:mergeCells>
  <x:dataValidations count="3">
    <x:dataValidation type="list" sqref="B5:B104">
      <x:formula1>INDIRECT("'03-SOW主表'!$A$5:$A$104")</x:formula1>
    </x:dataValidation>
    <x:dataValidation type="list" sqref="F5:F104">
      <x:formula1>"INBOUND,OUTBOUND"</x:formula1>
    </x:dataValidation>
    <x:dataValidation type="list" sqref="H5:H104">
      <x:formula1>"内部,外部"</x:formula1>
    </x:dataValidation>
  </x:dataValidations>
  <x:pageMargins left="0.7" right="0.7" top="0.75" bottom="0.75" header="0.3" footer="0.3"/>
  <x:tableParts count="1">
    <x:tablePart xmlns:r="http://schemas.openxmlformats.org/officeDocument/2006/relationships" r:id="R7d019e6470fb4ff1"/>
  </x:tableParts>
</x:worksheet>
</file>

<file path=xl/worksheets/sheet8.xml><?xml version="1.0" encoding="utf-8"?>
<x:worksheet xmlns:x="http://schemas.openxmlformats.org/spreadsheetml/2006/main">
  <x:sheetViews>
    <x:sheetView showGridLines="0" workbookViewId="0"/>
  </x:sheetViews>
  <x:sheetFormatPr baseColWidth="8" defaultColWidth="9" defaultRowHeight="16.799999237060547"/>
  <x:cols>
    <x:col min="1" max="1" width="19" hidden="0" customWidth="1"/>
    <x:col min="2" max="2" width="13" hidden="0" customWidth="1"/>
    <x:col min="3" max="3" width="28" hidden="0" customWidth="1"/>
    <x:col min="4" max="4" width="40" hidden="0" customWidth="1"/>
    <x:col min="5" max="5" width="30" hidden="0" customWidth="1"/>
    <x:col min="6" max="6" width="26" hidden="0" customWidth="1"/>
    <x:col min="7" max="7" width="14" hidden="0" customWidth="1"/>
    <x:col min="8" max="8" width="36" hidden="0" customWidth="1"/>
    <x:col min="9" max="9" width="18" hidden="0" customWidth="1"/>
  </x:cols>
  <x:sheetData>
    <x:row r="1" ht="31" customHeight="1">
      <x:c r="A1" s="390" t="inlineStr">
        <x:is>
          <x:t xml:space="preserve">假设与风险清单</x:t>
        </x:is>
      </x:c>
      <x:c r="B1" s="390"/>
      <x:c r="C1" s="390"/>
      <x:c r="D1" s="390"/>
      <x:c r="E1" s="390"/>
      <x:c r="F1" s="390"/>
      <x:c r="G1" s="390"/>
      <x:c r="H1" s="390"/>
      <x:c r="I1" s="390"/>
    </x:row>
    <x:row r="2" ht="34" customHeight="1">
      <x:c r="A2" s="400" t="str">
        <x:v>每个假设或风险一行；关联的 Story ID 按输入顺序去重并以顿号连接；待确认项计入风险人天</x:v>
      </x:c>
      <x:c r="B2" s="400"/>
      <x:c r="C2" s="400"/>
      <x:c r="D2" s="400"/>
      <x:c r="E2" s="400"/>
      <x:c r="F2" s="400"/>
      <x:c r="G2" s="400"/>
      <x:c r="H2" s="400"/>
      <x:c r="I2" s="400"/>
    </x:row>
    <x:row r="3" ht="9" customHeight="1"/>
    <x:row r="4" ht="38" customHeight="1">
      <x:c r="A4" s="453" t="inlineStr">
        <x:is>
          <x:t xml:space="preserve">假设ID</x:t>
        </x:is>
      </x:c>
      <x:c r="B4" s="453" t="inlineStr">
        <x:is>
          <x:t xml:space="preserve">类型</x:t>
        </x:is>
      </x:c>
      <x:c r="C4" s="453" t="inlineStr">
        <x:is>
          <x:t xml:space="preserve">名称</x:t>
        </x:is>
      </x:c>
      <x:c r="D4" s="453" t="inlineStr">
        <x:is>
          <x:t xml:space="preserve">触发条件</x:t>
        </x:is>
      </x:c>
      <x:c r="E4" s="453" t="inlineStr">
        <x:is>
          <x:t xml:space="preserve">关联 Story ID</x:t>
        </x:is>
      </x:c>
      <x:c r="F4" s="453" t="inlineStr">
        <x:is>
          <x:t xml:space="preserve">责任边界</x:t>
        </x:is>
      </x:c>
      <x:c r="G4" s="453" t="inlineStr">
        <x:is>
          <x:t xml:space="preserve">状态</x:t>
        </x:is>
      </x:c>
      <x:c r="H4" s="453" t="inlineStr">
        <x:is>
          <x:t xml:space="preserve">处理方式</x:t>
        </x:is>
      </x:c>
      <x:c r="I4" s="453" t="inlineStr">
        <x:is>
          <x:t xml:space="preserve">关联 Story 人天</x:t>
        </x:is>
      </x:c>
    </x:row>
    <x:row r="5" ht="38" customHeight="1">
      <x:c r="A5" s="461" t="n"/>
      <x:c r="B5" s="473" t="n"/>
      <x:c r="C5" s="461" t="n"/>
      <x:c r="D5" s="461" t="n"/>
      <x:c r="E5" s="461" t="n"/>
      <x:c r="F5" s="461" t="n"/>
      <x:c r="G5" s="473" t="n"/>
      <x:c r="H5" s="461" t="n"/>
      <x:c r="I5" s="593" t="n">
        <x:f>IF(OR(E5="",G5&lt;&gt;"待确认"),0,SUMPRODUCT(SOWStoryTable[人天]*--ISNUMBER(SEARCH("、"&amp;SOWStoryTable[Story ID]&amp;"、","、"&amp;SUBSTITUTE(E5," ","")&amp;"、"))))</x:f>
        <x:v>0</x:v>
      </x:c>
    </x:row>
    <x:row r="6" ht="38" customHeight="1">
      <x:c r="A6" s="461"/>
      <x:c r="B6" s="473"/>
      <x:c r="C6" s="461"/>
      <x:c r="D6" s="461"/>
      <x:c r="E6" s="461"/>
      <x:c r="F6" s="461"/>
      <x:c r="G6" s="473"/>
      <x:c r="H6" s="461"/>
      <x:c r="I6" s="593" t="n"/>
    </x:row>
    <x:row r="7" ht="38" customHeight="1">
      <x:c r="A7" s="461"/>
      <x:c r="B7" s="473"/>
      <x:c r="C7" s="461"/>
      <x:c r="D7" s="461"/>
      <x:c r="E7" s="461"/>
      <x:c r="F7" s="461"/>
      <x:c r="G7" s="473"/>
      <x:c r="H7" s="461"/>
      <x:c r="I7" s="593" t="n"/>
    </x:row>
    <x:row r="8" ht="38" customHeight="1">
      <x:c r="A8" s="461"/>
      <x:c r="B8" s="473"/>
      <x:c r="C8" s="461"/>
      <x:c r="D8" s="461"/>
      <x:c r="E8" s="461"/>
      <x:c r="F8" s="461"/>
      <x:c r="G8" s="473"/>
      <x:c r="H8" s="461"/>
      <x:c r="I8" s="593" t="n"/>
    </x:row>
    <x:row r="9" ht="38" customHeight="1">
      <x:c r="A9" s="461"/>
      <x:c r="B9" s="473"/>
      <x:c r="C9" s="461"/>
      <x:c r="D9" s="461"/>
      <x:c r="E9" s="461"/>
      <x:c r="F9" s="461"/>
      <x:c r="G9" s="473"/>
      <x:c r="H9" s="461"/>
      <x:c r="I9" s="593" t="n"/>
    </x:row>
    <x:row r="10" ht="38" customHeight="1">
      <x:c r="A10" s="461"/>
      <x:c r="B10" s="473"/>
      <x:c r="C10" s="461"/>
      <x:c r="D10" s="461"/>
      <x:c r="E10" s="461"/>
      <x:c r="F10" s="461"/>
      <x:c r="G10" s="473"/>
      <x:c r="H10" s="461"/>
      <x:c r="I10" s="593" t="n"/>
    </x:row>
    <x:row r="11" ht="38" customHeight="1">
      <x:c r="A11" s="461"/>
      <x:c r="B11" s="473"/>
      <x:c r="C11" s="461"/>
      <x:c r="D11" s="461"/>
      <x:c r="E11" s="461"/>
      <x:c r="F11" s="461"/>
      <x:c r="G11" s="473"/>
      <x:c r="H11" s="461"/>
      <x:c r="I11" s="593" t="n"/>
    </x:row>
    <x:row r="12" ht="38" customHeight="1">
      <x:c r="A12" s="461"/>
      <x:c r="B12" s="473"/>
      <x:c r="C12" s="461"/>
      <x:c r="D12" s="461"/>
      <x:c r="E12" s="461"/>
      <x:c r="F12" s="461"/>
      <x:c r="G12" s="473"/>
      <x:c r="H12" s="461"/>
      <x:c r="I12" s="593" t="n"/>
    </x:row>
    <x:row r="13" ht="38" customHeight="1">
      <x:c r="A13" s="461"/>
      <x:c r="B13" s="473"/>
      <x:c r="C13" s="461"/>
      <x:c r="D13" s="461"/>
      <x:c r="E13" s="461"/>
      <x:c r="F13" s="461"/>
      <x:c r="G13" s="473"/>
      <x:c r="H13" s="461"/>
      <x:c r="I13" s="593" t="n"/>
    </x:row>
    <x:row r="14" ht="38" customHeight="1">
      <x:c r="A14" s="461"/>
      <x:c r="B14" s="473"/>
      <x:c r="C14" s="461"/>
      <x:c r="D14" s="461"/>
      <x:c r="E14" s="461"/>
      <x:c r="F14" s="461"/>
      <x:c r="G14" s="473"/>
      <x:c r="H14" s="461"/>
      <x:c r="I14" s="593" t="n"/>
    </x:row>
    <x:row r="15" ht="38" customHeight="1">
      <x:c r="A15" s="461"/>
      <x:c r="B15" s="473"/>
      <x:c r="C15" s="461"/>
      <x:c r="D15" s="461"/>
      <x:c r="E15" s="461"/>
      <x:c r="F15" s="461"/>
      <x:c r="G15" s="473"/>
      <x:c r="H15" s="461"/>
      <x:c r="I15" s="593" t="n"/>
    </x:row>
    <x:row r="16" ht="38" customHeight="1">
      <x:c r="A16" s="461"/>
      <x:c r="B16" s="473"/>
      <x:c r="C16" s="461"/>
      <x:c r="D16" s="461"/>
      <x:c r="E16" s="461"/>
      <x:c r="F16" s="461"/>
      <x:c r="G16" s="473"/>
      <x:c r="H16" s="461"/>
      <x:c r="I16" s="593" t="n"/>
    </x:row>
    <x:row r="17" ht="38" customHeight="1">
      <x:c r="A17" s="461"/>
      <x:c r="B17" s="473"/>
      <x:c r="C17" s="461"/>
      <x:c r="D17" s="461"/>
      <x:c r="E17" s="461"/>
      <x:c r="F17" s="461"/>
      <x:c r="G17" s="473"/>
      <x:c r="H17" s="461"/>
      <x:c r="I17" s="593" t="n"/>
    </x:row>
    <x:row r="18" ht="38" customHeight="1">
      <x:c r="A18" s="461"/>
      <x:c r="B18" s="473"/>
      <x:c r="C18" s="461"/>
      <x:c r="D18" s="461"/>
      <x:c r="E18" s="461"/>
      <x:c r="F18" s="461"/>
      <x:c r="G18" s="473"/>
      <x:c r="H18" s="461"/>
      <x:c r="I18" s="593" t="n"/>
    </x:row>
    <x:row r="19" ht="38" customHeight="1">
      <x:c r="A19" s="461"/>
      <x:c r="B19" s="473"/>
      <x:c r="C19" s="461"/>
      <x:c r="D19" s="461"/>
      <x:c r="E19" s="461"/>
      <x:c r="F19" s="461"/>
      <x:c r="G19" s="473"/>
      <x:c r="H19" s="461"/>
      <x:c r="I19" s="593" t="n"/>
    </x:row>
    <x:row r="20" ht="38" customHeight="1">
      <x:c r="A20" s="461"/>
      <x:c r="B20" s="473"/>
      <x:c r="C20" s="461"/>
      <x:c r="D20" s="461"/>
      <x:c r="E20" s="461"/>
      <x:c r="F20" s="461"/>
      <x:c r="G20" s="473"/>
      <x:c r="H20" s="461"/>
      <x:c r="I20" s="593" t="n"/>
    </x:row>
    <x:row r="21" ht="38" customHeight="1">
      <x:c r="A21" s="461"/>
      <x:c r="B21" s="473"/>
      <x:c r="C21" s="461"/>
      <x:c r="D21" s="461"/>
      <x:c r="E21" s="461"/>
      <x:c r="F21" s="461"/>
      <x:c r="G21" s="473"/>
      <x:c r="H21" s="461"/>
      <x:c r="I21" s="593" t="n"/>
    </x:row>
    <x:row r="22" ht="38" customHeight="1">
      <x:c r="A22" s="461"/>
      <x:c r="B22" s="473"/>
      <x:c r="C22" s="461"/>
      <x:c r="D22" s="461"/>
      <x:c r="E22" s="461"/>
      <x:c r="F22" s="461"/>
      <x:c r="G22" s="473"/>
      <x:c r="H22" s="461"/>
      <x:c r="I22" s="593" t="n"/>
    </x:row>
    <x:row r="23" ht="38" customHeight="1">
      <x:c r="A23" s="461"/>
      <x:c r="B23" s="473"/>
      <x:c r="C23" s="461"/>
      <x:c r="D23" s="461"/>
      <x:c r="E23" s="461"/>
      <x:c r="F23" s="461"/>
      <x:c r="G23" s="473"/>
      <x:c r="H23" s="461"/>
      <x:c r="I23" s="593" t="n"/>
    </x:row>
    <x:row r="24" ht="38" customHeight="1">
      <x:c r="A24" s="461"/>
      <x:c r="B24" s="473"/>
      <x:c r="C24" s="461"/>
      <x:c r="D24" s="461"/>
      <x:c r="E24" s="461"/>
      <x:c r="F24" s="461"/>
      <x:c r="G24" s="473"/>
      <x:c r="H24" s="461"/>
      <x:c r="I24" s="593" t="n"/>
    </x:row>
    <x:row r="25" ht="38" customHeight="1">
      <x:c r="A25" s="461"/>
      <x:c r="B25" s="473"/>
      <x:c r="C25" s="461"/>
      <x:c r="D25" s="461"/>
      <x:c r="E25" s="461"/>
      <x:c r="F25" s="461"/>
      <x:c r="G25" s="473"/>
      <x:c r="H25" s="461"/>
      <x:c r="I25" s="593" t="n"/>
    </x:row>
    <x:row r="26" ht="38" customHeight="1">
      <x:c r="A26" s="461"/>
      <x:c r="B26" s="473"/>
      <x:c r="C26" s="461"/>
      <x:c r="D26" s="461"/>
      <x:c r="E26" s="461"/>
      <x:c r="F26" s="461"/>
      <x:c r="G26" s="473"/>
      <x:c r="H26" s="461"/>
      <x:c r="I26" s="593" t="n"/>
    </x:row>
    <x:row r="27" ht="38" customHeight="1">
      <x:c r="A27" s="461"/>
      <x:c r="B27" s="473"/>
      <x:c r="C27" s="461"/>
      <x:c r="D27" s="461"/>
      <x:c r="E27" s="461"/>
      <x:c r="F27" s="461"/>
      <x:c r="G27" s="473"/>
      <x:c r="H27" s="461"/>
      <x:c r="I27" s="593" t="n"/>
    </x:row>
    <x:row r="28" ht="38" customHeight="1">
      <x:c r="A28" s="461"/>
      <x:c r="B28" s="473"/>
      <x:c r="C28" s="461"/>
      <x:c r="D28" s="461"/>
      <x:c r="E28" s="461"/>
      <x:c r="F28" s="461"/>
      <x:c r="G28" s="473"/>
      <x:c r="H28" s="461"/>
      <x:c r="I28" s="593" t="n"/>
    </x:row>
    <x:row r="29" ht="38" customHeight="1">
      <x:c r="A29" s="461"/>
      <x:c r="B29" s="473"/>
      <x:c r="C29" s="461"/>
      <x:c r="D29" s="461"/>
      <x:c r="E29" s="461"/>
      <x:c r="F29" s="461"/>
      <x:c r="G29" s="473"/>
      <x:c r="H29" s="461"/>
      <x:c r="I29" s="593" t="n"/>
    </x:row>
    <x:row r="30" ht="38" customHeight="1">
      <x:c r="A30" s="461"/>
      <x:c r="B30" s="473"/>
      <x:c r="C30" s="461"/>
      <x:c r="D30" s="461"/>
      <x:c r="E30" s="461"/>
      <x:c r="F30" s="461"/>
      <x:c r="G30" s="473"/>
      <x:c r="H30" s="461"/>
      <x:c r="I30" s="593" t="n"/>
    </x:row>
    <x:row r="31" ht="38" customHeight="1">
      <x:c r="A31" s="461"/>
      <x:c r="B31" s="473"/>
      <x:c r="C31" s="461"/>
      <x:c r="D31" s="461"/>
      <x:c r="E31" s="461"/>
      <x:c r="F31" s="461"/>
      <x:c r="G31" s="473"/>
      <x:c r="H31" s="461"/>
      <x:c r="I31" s="593" t="n"/>
    </x:row>
    <x:row r="32" ht="38" customHeight="1">
      <x:c r="A32" s="461"/>
      <x:c r="B32" s="473"/>
      <x:c r="C32" s="461"/>
      <x:c r="D32" s="461"/>
      <x:c r="E32" s="461"/>
      <x:c r="F32" s="461"/>
      <x:c r="G32" s="473"/>
      <x:c r="H32" s="461"/>
      <x:c r="I32" s="593" t="n"/>
    </x:row>
    <x:row r="33" ht="38" customHeight="1">
      <x:c r="A33" s="461"/>
      <x:c r="B33" s="473"/>
      <x:c r="C33" s="461"/>
      <x:c r="D33" s="461"/>
      <x:c r="E33" s="461"/>
      <x:c r="F33" s="461"/>
      <x:c r="G33" s="473"/>
      <x:c r="H33" s="461"/>
      <x:c r="I33" s="593" t="n"/>
    </x:row>
    <x:row r="34" ht="38" customHeight="1">
      <x:c r="A34" s="461"/>
      <x:c r="B34" s="473"/>
      <x:c r="C34" s="461"/>
      <x:c r="D34" s="461"/>
      <x:c r="E34" s="461"/>
      <x:c r="F34" s="461"/>
      <x:c r="G34" s="473"/>
      <x:c r="H34" s="461"/>
      <x:c r="I34" s="593" t="n"/>
    </x:row>
    <x:row r="35" ht="38" customHeight="1">
      <x:c r="A35" s="461"/>
      <x:c r="B35" s="473"/>
      <x:c r="C35" s="461"/>
      <x:c r="D35" s="461"/>
      <x:c r="E35" s="461"/>
      <x:c r="F35" s="461"/>
      <x:c r="G35" s="473"/>
      <x:c r="H35" s="461"/>
      <x:c r="I35" s="593" t="n"/>
    </x:row>
    <x:row r="36" ht="38" customHeight="1">
      <x:c r="A36" s="461"/>
      <x:c r="B36" s="473"/>
      <x:c r="C36" s="461"/>
      <x:c r="D36" s="461"/>
      <x:c r="E36" s="461"/>
      <x:c r="F36" s="461"/>
      <x:c r="G36" s="473"/>
      <x:c r="H36" s="461"/>
      <x:c r="I36" s="593" t="n"/>
    </x:row>
    <x:row r="37" ht="38" customHeight="1">
      <x:c r="A37" s="461"/>
      <x:c r="B37" s="473"/>
      <x:c r="C37" s="461"/>
      <x:c r="D37" s="461"/>
      <x:c r="E37" s="461"/>
      <x:c r="F37" s="461"/>
      <x:c r="G37" s="473"/>
      <x:c r="H37" s="461"/>
      <x:c r="I37" s="593" t="n"/>
    </x:row>
    <x:row r="38" ht="38" customHeight="1">
      <x:c r="A38" s="461"/>
      <x:c r="B38" s="473"/>
      <x:c r="C38" s="461"/>
      <x:c r="D38" s="461"/>
      <x:c r="E38" s="461"/>
      <x:c r="F38" s="461"/>
      <x:c r="G38" s="473"/>
      <x:c r="H38" s="461"/>
      <x:c r="I38" s="593" t="n"/>
    </x:row>
    <x:row r="39" ht="38" customHeight="1">
      <x:c r="A39" s="461"/>
      <x:c r="B39" s="473"/>
      <x:c r="C39" s="461"/>
      <x:c r="D39" s="461"/>
      <x:c r="E39" s="461"/>
      <x:c r="F39" s="461"/>
      <x:c r="G39" s="473"/>
      <x:c r="H39" s="461"/>
      <x:c r="I39" s="593" t="n"/>
    </x:row>
    <x:row r="40" ht="38" customHeight="1">
      <x:c r="A40" s="461"/>
      <x:c r="B40" s="473"/>
      <x:c r="C40" s="461"/>
      <x:c r="D40" s="461"/>
      <x:c r="E40" s="461"/>
      <x:c r="F40" s="461"/>
      <x:c r="G40" s="473"/>
      <x:c r="H40" s="461"/>
      <x:c r="I40" s="593" t="n"/>
    </x:row>
    <x:row r="41" ht="38" customHeight="1">
      <x:c r="A41" s="461"/>
      <x:c r="B41" s="473"/>
      <x:c r="C41" s="461"/>
      <x:c r="D41" s="461"/>
      <x:c r="E41" s="461"/>
      <x:c r="F41" s="461"/>
      <x:c r="G41" s="473"/>
      <x:c r="H41" s="461"/>
      <x:c r="I41" s="593" t="n"/>
    </x:row>
    <x:row r="42" ht="38" customHeight="1">
      <x:c r="A42" s="461"/>
      <x:c r="B42" s="473"/>
      <x:c r="C42" s="461"/>
      <x:c r="D42" s="461"/>
      <x:c r="E42" s="461"/>
      <x:c r="F42" s="461"/>
      <x:c r="G42" s="473"/>
      <x:c r="H42" s="461"/>
      <x:c r="I42" s="593" t="n"/>
    </x:row>
    <x:row r="43" ht="38" customHeight="1">
      <x:c r="A43" s="461"/>
      <x:c r="B43" s="473"/>
      <x:c r="C43" s="461"/>
      <x:c r="D43" s="461"/>
      <x:c r="E43" s="461"/>
      <x:c r="F43" s="461"/>
      <x:c r="G43" s="473"/>
      <x:c r="H43" s="461"/>
      <x:c r="I43" s="593" t="n"/>
    </x:row>
    <x:row r="44" ht="38" customHeight="1">
      <x:c r="A44" s="461"/>
      <x:c r="B44" s="473"/>
      <x:c r="C44" s="461"/>
      <x:c r="D44" s="461"/>
      <x:c r="E44" s="461"/>
      <x:c r="F44" s="461"/>
      <x:c r="G44" s="473"/>
      <x:c r="H44" s="461"/>
      <x:c r="I44" s="593" t="n"/>
    </x:row>
    <x:row r="45" ht="38" customHeight="1">
      <x:c r="A45" s="461"/>
      <x:c r="B45" s="473"/>
      <x:c r="C45" s="461"/>
      <x:c r="D45" s="461"/>
      <x:c r="E45" s="461"/>
      <x:c r="F45" s="461"/>
      <x:c r="G45" s="473"/>
      <x:c r="H45" s="461"/>
      <x:c r="I45" s="593" t="n"/>
    </x:row>
    <x:row r="46" ht="38" customHeight="1">
      <x:c r="A46" s="461"/>
      <x:c r="B46" s="473"/>
      <x:c r="C46" s="461"/>
      <x:c r="D46" s="461"/>
      <x:c r="E46" s="461"/>
      <x:c r="F46" s="461"/>
      <x:c r="G46" s="473"/>
      <x:c r="H46" s="461"/>
      <x:c r="I46" s="593" t="n"/>
    </x:row>
    <x:row r="47" ht="38" customHeight="1">
      <x:c r="A47" s="461"/>
      <x:c r="B47" s="473"/>
      <x:c r="C47" s="461"/>
      <x:c r="D47" s="461"/>
      <x:c r="E47" s="461"/>
      <x:c r="F47" s="461"/>
      <x:c r="G47" s="473"/>
      <x:c r="H47" s="461"/>
      <x:c r="I47" s="593" t="n"/>
    </x:row>
    <x:row r="48" ht="38" customHeight="1">
      <x:c r="A48" s="461"/>
      <x:c r="B48" s="473"/>
      <x:c r="C48" s="461"/>
      <x:c r="D48" s="461"/>
      <x:c r="E48" s="461"/>
      <x:c r="F48" s="461"/>
      <x:c r="G48" s="473"/>
      <x:c r="H48" s="461"/>
      <x:c r="I48" s="593" t="n"/>
    </x:row>
    <x:row r="49" ht="38" customHeight="1">
      <x:c r="A49" s="461"/>
      <x:c r="B49" s="473"/>
      <x:c r="C49" s="461"/>
      <x:c r="D49" s="461"/>
      <x:c r="E49" s="461"/>
      <x:c r="F49" s="461"/>
      <x:c r="G49" s="473"/>
      <x:c r="H49" s="461"/>
      <x:c r="I49" s="593" t="n"/>
    </x:row>
    <x:row r="50" ht="38" customHeight="1">
      <x:c r="A50" s="461"/>
      <x:c r="B50" s="473"/>
      <x:c r="C50" s="461"/>
      <x:c r="D50" s="461"/>
      <x:c r="E50" s="461"/>
      <x:c r="F50" s="461"/>
      <x:c r="G50" s="473"/>
      <x:c r="H50" s="461"/>
      <x:c r="I50" s="593" t="n"/>
    </x:row>
    <x:row r="51" ht="38" customHeight="1">
      <x:c r="A51" s="461"/>
      <x:c r="B51" s="473"/>
      <x:c r="C51" s="461"/>
      <x:c r="D51" s="461"/>
      <x:c r="E51" s="461"/>
      <x:c r="F51" s="461"/>
      <x:c r="G51" s="473"/>
      <x:c r="H51" s="461"/>
      <x:c r="I51" s="593" t="n"/>
    </x:row>
    <x:row r="52" ht="38" customHeight="1">
      <x:c r="A52" s="461"/>
      <x:c r="B52" s="473"/>
      <x:c r="C52" s="461"/>
      <x:c r="D52" s="461"/>
      <x:c r="E52" s="461"/>
      <x:c r="F52" s="461"/>
      <x:c r="G52" s="473"/>
      <x:c r="H52" s="461"/>
      <x:c r="I52" s="593" t="n"/>
    </x:row>
    <x:row r="53" ht="38" customHeight="1">
      <x:c r="A53" s="461"/>
      <x:c r="B53" s="473"/>
      <x:c r="C53" s="461"/>
      <x:c r="D53" s="461"/>
      <x:c r="E53" s="461"/>
      <x:c r="F53" s="461"/>
      <x:c r="G53" s="473"/>
      <x:c r="H53" s="461"/>
      <x:c r="I53" s="593" t="n"/>
    </x:row>
    <x:row r="54" ht="38" customHeight="1">
      <x:c r="A54" s="461"/>
      <x:c r="B54" s="473"/>
      <x:c r="C54" s="461"/>
      <x:c r="D54" s="461"/>
      <x:c r="E54" s="461"/>
      <x:c r="F54" s="461"/>
      <x:c r="G54" s="473"/>
      <x:c r="H54" s="461"/>
      <x:c r="I54" s="593" t="n"/>
    </x:row>
    <x:row r="55" ht="38" customHeight="1">
      <x:c r="A55" s="461"/>
      <x:c r="B55" s="473"/>
      <x:c r="C55" s="461"/>
      <x:c r="D55" s="461"/>
      <x:c r="E55" s="461"/>
      <x:c r="F55" s="461"/>
      <x:c r="G55" s="473"/>
      <x:c r="H55" s="461"/>
      <x:c r="I55" s="593" t="n"/>
    </x:row>
    <x:row r="56" ht="38" customHeight="1">
      <x:c r="A56" s="461"/>
      <x:c r="B56" s="473"/>
      <x:c r="C56" s="461"/>
      <x:c r="D56" s="461"/>
      <x:c r="E56" s="461"/>
      <x:c r="F56" s="461"/>
      <x:c r="G56" s="473"/>
      <x:c r="H56" s="461"/>
      <x:c r="I56" s="593" t="n"/>
    </x:row>
    <x:row r="57" ht="38" customHeight="1">
      <x:c r="A57" s="461"/>
      <x:c r="B57" s="473"/>
      <x:c r="C57" s="461"/>
      <x:c r="D57" s="461"/>
      <x:c r="E57" s="461"/>
      <x:c r="F57" s="461"/>
      <x:c r="G57" s="473"/>
      <x:c r="H57" s="461"/>
      <x:c r="I57" s="593" t="n"/>
    </x:row>
    <x:row r="58" ht="38" customHeight="1">
      <x:c r="A58" s="461"/>
      <x:c r="B58" s="473"/>
      <x:c r="C58" s="461"/>
      <x:c r="D58" s="461"/>
      <x:c r="E58" s="461"/>
      <x:c r="F58" s="461"/>
      <x:c r="G58" s="473"/>
      <x:c r="H58" s="461"/>
      <x:c r="I58" s="593" t="n"/>
    </x:row>
    <x:row r="59" ht="38" customHeight="1">
      <x:c r="A59" s="461"/>
      <x:c r="B59" s="473"/>
      <x:c r="C59" s="461"/>
      <x:c r="D59" s="461"/>
      <x:c r="E59" s="461"/>
      <x:c r="F59" s="461"/>
      <x:c r="G59" s="473"/>
      <x:c r="H59" s="461"/>
      <x:c r="I59" s="593" t="n"/>
    </x:row>
    <x:row r="60" ht="38" customHeight="1">
      <x:c r="A60" s="461"/>
      <x:c r="B60" s="473"/>
      <x:c r="C60" s="461"/>
      <x:c r="D60" s="461"/>
      <x:c r="E60" s="461"/>
      <x:c r="F60" s="461"/>
      <x:c r="G60" s="473"/>
      <x:c r="H60" s="461"/>
      <x:c r="I60" s="593" t="n"/>
    </x:row>
    <x:row r="61" ht="38" customHeight="1">
      <x:c r="A61" s="461"/>
      <x:c r="B61" s="473"/>
      <x:c r="C61" s="461"/>
      <x:c r="D61" s="461"/>
      <x:c r="E61" s="461"/>
      <x:c r="F61" s="461"/>
      <x:c r="G61" s="473"/>
      <x:c r="H61" s="461"/>
      <x:c r="I61" s="593" t="n"/>
    </x:row>
    <x:row r="62" ht="38" customHeight="1">
      <x:c r="A62" s="461"/>
      <x:c r="B62" s="473"/>
      <x:c r="C62" s="461"/>
      <x:c r="D62" s="461"/>
      <x:c r="E62" s="461"/>
      <x:c r="F62" s="461"/>
      <x:c r="G62" s="473"/>
      <x:c r="H62" s="461"/>
      <x:c r="I62" s="593" t="n"/>
    </x:row>
    <x:row r="63" ht="38" customHeight="1">
      <x:c r="A63" s="461"/>
      <x:c r="B63" s="473"/>
      <x:c r="C63" s="461"/>
      <x:c r="D63" s="461"/>
      <x:c r="E63" s="461"/>
      <x:c r="F63" s="461"/>
      <x:c r="G63" s="473"/>
      <x:c r="H63" s="461"/>
      <x:c r="I63" s="593" t="n"/>
    </x:row>
    <x:row r="64" ht="38" customHeight="1">
      <x:c r="A64" s="461"/>
      <x:c r="B64" s="473"/>
      <x:c r="C64" s="461"/>
      <x:c r="D64" s="461"/>
      <x:c r="E64" s="461"/>
      <x:c r="F64" s="461"/>
      <x:c r="G64" s="473"/>
      <x:c r="H64" s="461"/>
      <x:c r="I64" s="593" t="n"/>
    </x:row>
    <x:row r="65" ht="38" customHeight="1">
      <x:c r="A65" s="461"/>
      <x:c r="B65" s="473"/>
      <x:c r="C65" s="461"/>
      <x:c r="D65" s="461"/>
      <x:c r="E65" s="461"/>
      <x:c r="F65" s="461"/>
      <x:c r="G65" s="473"/>
      <x:c r="H65" s="461"/>
      <x:c r="I65" s="593" t="n"/>
    </x:row>
    <x:row r="66" ht="38" customHeight="1">
      <x:c r="A66" s="461"/>
      <x:c r="B66" s="473"/>
      <x:c r="C66" s="461"/>
      <x:c r="D66" s="461"/>
      <x:c r="E66" s="461"/>
      <x:c r="F66" s="461"/>
      <x:c r="G66" s="473"/>
      <x:c r="H66" s="461"/>
      <x:c r="I66" s="593" t="n"/>
    </x:row>
    <x:row r="67" ht="38" customHeight="1">
      <x:c r="A67" s="461"/>
      <x:c r="B67" s="473"/>
      <x:c r="C67" s="461"/>
      <x:c r="D67" s="461"/>
      <x:c r="E67" s="461"/>
      <x:c r="F67" s="461"/>
      <x:c r="G67" s="473"/>
      <x:c r="H67" s="461"/>
      <x:c r="I67" s="593" t="n"/>
    </x:row>
    <x:row r="68" ht="38" customHeight="1">
      <x:c r="A68" s="461"/>
      <x:c r="B68" s="473"/>
      <x:c r="C68" s="461"/>
      <x:c r="D68" s="461"/>
      <x:c r="E68" s="461"/>
      <x:c r="F68" s="461"/>
      <x:c r="G68" s="473"/>
      <x:c r="H68" s="461"/>
      <x:c r="I68" s="593" t="n"/>
    </x:row>
    <x:row r="69" ht="38" customHeight="1">
      <x:c r="A69" s="461"/>
      <x:c r="B69" s="473"/>
      <x:c r="C69" s="461"/>
      <x:c r="D69" s="461"/>
      <x:c r="E69" s="461"/>
      <x:c r="F69" s="461"/>
      <x:c r="G69" s="473"/>
      <x:c r="H69" s="461"/>
      <x:c r="I69" s="593" t="n"/>
    </x:row>
    <x:row r="70" ht="38" customHeight="1">
      <x:c r="A70" s="461"/>
      <x:c r="B70" s="473"/>
      <x:c r="C70" s="461"/>
      <x:c r="D70" s="461"/>
      <x:c r="E70" s="461"/>
      <x:c r="F70" s="461"/>
      <x:c r="G70" s="473"/>
      <x:c r="H70" s="461"/>
      <x:c r="I70" s="593" t="n"/>
    </x:row>
    <x:row r="71" ht="38" customHeight="1">
      <x:c r="A71" s="461"/>
      <x:c r="B71" s="473"/>
      <x:c r="C71" s="461"/>
      <x:c r="D71" s="461"/>
      <x:c r="E71" s="461"/>
      <x:c r="F71" s="461"/>
      <x:c r="G71" s="473"/>
      <x:c r="H71" s="461"/>
      <x:c r="I71" s="593" t="n"/>
    </x:row>
    <x:row r="72" ht="38" customHeight="1">
      <x:c r="A72" s="461"/>
      <x:c r="B72" s="473"/>
      <x:c r="C72" s="461"/>
      <x:c r="D72" s="461"/>
      <x:c r="E72" s="461"/>
      <x:c r="F72" s="461"/>
      <x:c r="G72" s="473"/>
      <x:c r="H72" s="461"/>
      <x:c r="I72" s="593" t="n"/>
    </x:row>
    <x:row r="73" ht="38" customHeight="1">
      <x:c r="A73" s="461"/>
      <x:c r="B73" s="473"/>
      <x:c r="C73" s="461"/>
      <x:c r="D73" s="461"/>
      <x:c r="E73" s="461"/>
      <x:c r="F73" s="461"/>
      <x:c r="G73" s="473"/>
      <x:c r="H73" s="461"/>
      <x:c r="I73" s="593" t="n"/>
    </x:row>
    <x:row r="74" ht="38" customHeight="1">
      <x:c r="A74" s="461"/>
      <x:c r="B74" s="473"/>
      <x:c r="C74" s="461"/>
      <x:c r="D74" s="461"/>
      <x:c r="E74" s="461"/>
      <x:c r="F74" s="461"/>
      <x:c r="G74" s="473"/>
      <x:c r="H74" s="461"/>
      <x:c r="I74" s="593" t="n"/>
    </x:row>
    <x:row r="75" ht="38" customHeight="1">
      <x:c r="A75" s="461"/>
      <x:c r="B75" s="473"/>
      <x:c r="C75" s="461"/>
      <x:c r="D75" s="461"/>
      <x:c r="E75" s="461"/>
      <x:c r="F75" s="461"/>
      <x:c r="G75" s="473"/>
      <x:c r="H75" s="461"/>
      <x:c r="I75" s="593" t="n"/>
    </x:row>
    <x:row r="76" ht="38" customHeight="1">
      <x:c r="A76" s="461"/>
      <x:c r="B76" s="473"/>
      <x:c r="C76" s="461"/>
      <x:c r="D76" s="461"/>
      <x:c r="E76" s="461"/>
      <x:c r="F76" s="461"/>
      <x:c r="G76" s="473"/>
      <x:c r="H76" s="461"/>
      <x:c r="I76" s="593" t="n"/>
    </x:row>
    <x:row r="77" ht="38" customHeight="1">
      <x:c r="A77" s="461"/>
      <x:c r="B77" s="473"/>
      <x:c r="C77" s="461"/>
      <x:c r="D77" s="461"/>
      <x:c r="E77" s="461"/>
      <x:c r="F77" s="461"/>
      <x:c r="G77" s="473"/>
      <x:c r="H77" s="461"/>
      <x:c r="I77" s="593" t="n"/>
    </x:row>
    <x:row r="78" ht="38" customHeight="1">
      <x:c r="A78" s="461"/>
      <x:c r="B78" s="473"/>
      <x:c r="C78" s="461"/>
      <x:c r="D78" s="461"/>
      <x:c r="E78" s="461"/>
      <x:c r="F78" s="461"/>
      <x:c r="G78" s="473"/>
      <x:c r="H78" s="461"/>
      <x:c r="I78" s="593" t="n"/>
    </x:row>
    <x:row r="79" ht="38" customHeight="1">
      <x:c r="A79" s="461"/>
      <x:c r="B79" s="473"/>
      <x:c r="C79" s="461"/>
      <x:c r="D79" s="461"/>
      <x:c r="E79" s="461"/>
      <x:c r="F79" s="461"/>
      <x:c r="G79" s="473"/>
      <x:c r="H79" s="461"/>
      <x:c r="I79" s="593" t="n"/>
    </x:row>
    <x:row r="80" ht="38" customHeight="1">
      <x:c r="A80" s="461"/>
      <x:c r="B80" s="473"/>
      <x:c r="C80" s="461"/>
      <x:c r="D80" s="461"/>
      <x:c r="E80" s="461"/>
      <x:c r="F80" s="461"/>
      <x:c r="G80" s="473"/>
      <x:c r="H80" s="461"/>
      <x:c r="I80" s="593" t="n"/>
    </x:row>
    <x:row r="81" ht="38" customHeight="1">
      <x:c r="A81" s="461"/>
      <x:c r="B81" s="473"/>
      <x:c r="C81" s="461"/>
      <x:c r="D81" s="461"/>
      <x:c r="E81" s="461"/>
      <x:c r="F81" s="461"/>
      <x:c r="G81" s="473"/>
      <x:c r="H81" s="461"/>
      <x:c r="I81" s="593" t="n"/>
    </x:row>
    <x:row r="82" ht="38" customHeight="1">
      <x:c r="A82" s="461"/>
      <x:c r="B82" s="473"/>
      <x:c r="C82" s="461"/>
      <x:c r="D82" s="461"/>
      <x:c r="E82" s="461"/>
      <x:c r="F82" s="461"/>
      <x:c r="G82" s="473"/>
      <x:c r="H82" s="461"/>
      <x:c r="I82" s="593" t="n"/>
    </x:row>
    <x:row r="83" ht="38" customHeight="1">
      <x:c r="A83" s="461"/>
      <x:c r="B83" s="473"/>
      <x:c r="C83" s="461"/>
      <x:c r="D83" s="461"/>
      <x:c r="E83" s="461"/>
      <x:c r="F83" s="461"/>
      <x:c r="G83" s="473"/>
      <x:c r="H83" s="461"/>
      <x:c r="I83" s="593" t="n"/>
    </x:row>
    <x:row r="84" ht="38" customHeight="1">
      <x:c r="A84" s="461"/>
      <x:c r="B84" s="473"/>
      <x:c r="C84" s="461"/>
      <x:c r="D84" s="461"/>
      <x:c r="E84" s="461"/>
      <x:c r="F84" s="461"/>
      <x:c r="G84" s="473"/>
      <x:c r="H84" s="461"/>
      <x:c r="I84" s="593" t="n"/>
    </x:row>
    <x:row r="85" ht="38" customHeight="1">
      <x:c r="A85" s="461"/>
      <x:c r="B85" s="473"/>
      <x:c r="C85" s="461"/>
      <x:c r="D85" s="461"/>
      <x:c r="E85" s="461"/>
      <x:c r="F85" s="461"/>
      <x:c r="G85" s="473"/>
      <x:c r="H85" s="461"/>
      <x:c r="I85" s="593" t="n"/>
    </x:row>
    <x:row r="86" ht="38" customHeight="1">
      <x:c r="A86" s="461"/>
      <x:c r="B86" s="473"/>
      <x:c r="C86" s="461"/>
      <x:c r="D86" s="461"/>
      <x:c r="E86" s="461"/>
      <x:c r="F86" s="461"/>
      <x:c r="G86" s="473"/>
      <x:c r="H86" s="461"/>
      <x:c r="I86" s="593" t="n"/>
    </x:row>
    <x:row r="87" ht="38" customHeight="1">
      <x:c r="A87" s="461"/>
      <x:c r="B87" s="473"/>
      <x:c r="C87" s="461"/>
      <x:c r="D87" s="461"/>
      <x:c r="E87" s="461"/>
      <x:c r="F87" s="461"/>
      <x:c r="G87" s="473"/>
      <x:c r="H87" s="461"/>
      <x:c r="I87" s="593" t="n"/>
    </x:row>
    <x:row r="88" ht="38" customHeight="1">
      <x:c r="A88" s="461"/>
      <x:c r="B88" s="473"/>
      <x:c r="C88" s="461"/>
      <x:c r="D88" s="461"/>
      <x:c r="E88" s="461"/>
      <x:c r="F88" s="461"/>
      <x:c r="G88" s="473"/>
      <x:c r="H88" s="461"/>
      <x:c r="I88" s="593" t="n"/>
    </x:row>
    <x:row r="89" ht="38" customHeight="1">
      <x:c r="A89" s="461"/>
      <x:c r="B89" s="473"/>
      <x:c r="C89" s="461"/>
      <x:c r="D89" s="461"/>
      <x:c r="E89" s="461"/>
      <x:c r="F89" s="461"/>
      <x:c r="G89" s="473"/>
      <x:c r="H89" s="461"/>
      <x:c r="I89" s="593" t="n"/>
    </x:row>
    <x:row r="90" ht="38" customHeight="1">
      <x:c r="A90" s="461"/>
      <x:c r="B90" s="473"/>
      <x:c r="C90" s="461"/>
      <x:c r="D90" s="461"/>
      <x:c r="E90" s="461"/>
      <x:c r="F90" s="461"/>
      <x:c r="G90" s="473"/>
      <x:c r="H90" s="461"/>
      <x:c r="I90" s="593" t="n"/>
    </x:row>
    <x:row r="91" ht="38" customHeight="1">
      <x:c r="A91" s="461"/>
      <x:c r="B91" s="473"/>
      <x:c r="C91" s="461"/>
      <x:c r="D91" s="461"/>
      <x:c r="E91" s="461"/>
      <x:c r="F91" s="461"/>
      <x:c r="G91" s="473"/>
      <x:c r="H91" s="461"/>
      <x:c r="I91" s="593" t="n"/>
    </x:row>
    <x:row r="92" ht="38" customHeight="1">
      <x:c r="A92" s="461"/>
      <x:c r="B92" s="473"/>
      <x:c r="C92" s="461"/>
      <x:c r="D92" s="461"/>
      <x:c r="E92" s="461"/>
      <x:c r="F92" s="461"/>
      <x:c r="G92" s="473"/>
      <x:c r="H92" s="461"/>
      <x:c r="I92" s="593" t="n"/>
    </x:row>
    <x:row r="93" ht="38" customHeight="1">
      <x:c r="A93" s="461"/>
      <x:c r="B93" s="473"/>
      <x:c r="C93" s="461"/>
      <x:c r="D93" s="461"/>
      <x:c r="E93" s="461"/>
      <x:c r="F93" s="461"/>
      <x:c r="G93" s="473"/>
      <x:c r="H93" s="461"/>
      <x:c r="I93" s="593" t="n"/>
    </x:row>
    <x:row r="94" ht="38" customHeight="1">
      <x:c r="A94" s="461"/>
      <x:c r="B94" s="473"/>
      <x:c r="C94" s="461"/>
      <x:c r="D94" s="461"/>
      <x:c r="E94" s="461"/>
      <x:c r="F94" s="461"/>
      <x:c r="G94" s="473"/>
      <x:c r="H94" s="461"/>
      <x:c r="I94" s="593" t="n"/>
    </x:row>
    <x:row r="95" ht="38" customHeight="1">
      <x:c r="A95" s="461"/>
      <x:c r="B95" s="473"/>
      <x:c r="C95" s="461"/>
      <x:c r="D95" s="461"/>
      <x:c r="E95" s="461"/>
      <x:c r="F95" s="461"/>
      <x:c r="G95" s="473"/>
      <x:c r="H95" s="461"/>
      <x:c r="I95" s="593" t="n"/>
    </x:row>
    <x:row r="96" ht="38" customHeight="1">
      <x:c r="A96" s="461"/>
      <x:c r="B96" s="473"/>
      <x:c r="C96" s="461"/>
      <x:c r="D96" s="461"/>
      <x:c r="E96" s="461"/>
      <x:c r="F96" s="461"/>
      <x:c r="G96" s="473"/>
      <x:c r="H96" s="461"/>
      <x:c r="I96" s="593" t="n"/>
    </x:row>
    <x:row r="97" ht="38" customHeight="1">
      <x:c r="A97" s="461"/>
      <x:c r="B97" s="473"/>
      <x:c r="C97" s="461"/>
      <x:c r="D97" s="461"/>
      <x:c r="E97" s="461"/>
      <x:c r="F97" s="461"/>
      <x:c r="G97" s="473"/>
      <x:c r="H97" s="461"/>
      <x:c r="I97" s="593" t="n"/>
    </x:row>
    <x:row r="98" ht="38" customHeight="1">
      <x:c r="A98" s="461"/>
      <x:c r="B98" s="473"/>
      <x:c r="C98" s="461"/>
      <x:c r="D98" s="461"/>
      <x:c r="E98" s="461"/>
      <x:c r="F98" s="461"/>
      <x:c r="G98" s="473"/>
      <x:c r="H98" s="461"/>
      <x:c r="I98" s="593" t="n"/>
    </x:row>
    <x:row r="99" ht="38" customHeight="1">
      <x:c r="A99" s="461"/>
      <x:c r="B99" s="473"/>
      <x:c r="C99" s="461"/>
      <x:c r="D99" s="461"/>
      <x:c r="E99" s="461"/>
      <x:c r="F99" s="461"/>
      <x:c r="G99" s="473"/>
      <x:c r="H99" s="461"/>
      <x:c r="I99" s="593" t="n"/>
    </x:row>
    <x:row r="100" ht="38" customHeight="1">
      <x:c r="A100" s="461"/>
      <x:c r="B100" s="473"/>
      <x:c r="C100" s="461"/>
      <x:c r="D100" s="461"/>
      <x:c r="E100" s="461"/>
      <x:c r="F100" s="461"/>
      <x:c r="G100" s="473"/>
      <x:c r="H100" s="461"/>
      <x:c r="I100" s="593" t="n"/>
    </x:row>
    <x:row r="101" ht="38" customHeight="1">
      <x:c r="A101" s="461"/>
      <x:c r="B101" s="473"/>
      <x:c r="C101" s="461"/>
      <x:c r="D101" s="461"/>
      <x:c r="E101" s="461"/>
      <x:c r="F101" s="461"/>
      <x:c r="G101" s="473"/>
      <x:c r="H101" s="461"/>
      <x:c r="I101" s="593" t="n"/>
    </x:row>
    <x:row r="102" ht="38" customHeight="1">
      <x:c r="A102" s="461"/>
      <x:c r="B102" s="473"/>
      <x:c r="C102" s="461"/>
      <x:c r="D102" s="461"/>
      <x:c r="E102" s="461"/>
      <x:c r="F102" s="461"/>
      <x:c r="G102" s="473"/>
      <x:c r="H102" s="461"/>
      <x:c r="I102" s="593" t="n"/>
    </x:row>
    <x:row r="103" ht="38" customHeight="1">
      <x:c r="A103" s="461"/>
      <x:c r="B103" s="473"/>
      <x:c r="C103" s="461"/>
      <x:c r="D103" s="461"/>
      <x:c r="E103" s="461"/>
      <x:c r="F103" s="461"/>
      <x:c r="G103" s="473"/>
      <x:c r="H103" s="461"/>
      <x:c r="I103" s="593" t="n"/>
    </x:row>
    <x:row r="104" ht="38" customHeight="1">
      <x:c r="A104" s="461"/>
      <x:c r="B104" s="473"/>
      <x:c r="C104" s="461"/>
      <x:c r="D104" s="461"/>
      <x:c r="E104" s="461"/>
      <x:c r="F104" s="461"/>
      <x:c r="G104" s="473"/>
      <x:c r="H104" s="461"/>
      <x:c r="I104" s="593" t="n"/>
    </x:row>
  </x:sheetData>
  <x:mergeCells>
    <x:mergeCell ref="A1:I1"/>
    <x:mergeCell ref="A2:I2"/>
  </x:mergeCells>
  <x:conditionalFormatting sqref="G5:G104">
    <x:cfRule type="containsText" dxfId="19" priority="1" operator="containsText" text="已明确"/>
    <x:cfRule type="containsText" dxfId="20" priority="2" operator="containsText" text="待确认"/>
  </x:conditionalFormatting>
  <x:dataValidations count="3">
    <x:dataValidation type="list" sqref="B5:B104">
      <x:formula1>"假设,风险"</x:formula1>
    </x:dataValidation>
    <x:dataValidation type="list" sqref="E5:E104">
      <x:formula1>INDIRECT("'03-SOW主表'!$A$5:$A$104")</x:formula1>
    </x:dataValidation>
    <x:dataValidation type="list" sqref="G5:G104">
      <x:formula1>"已明确,待确认"</x:formula1>
    </x:dataValidation>
  </x:dataValidations>
  <x:pageMargins left="0.7" right="0.7" top="0.75" bottom="0.75" header="0.3" footer="0.3"/>
  <x:tableParts count="1">
    <x:tablePart xmlns:r="http://schemas.openxmlformats.org/officeDocument/2006/relationships" r:id="R9addb65d3bde4a26"/>
  </x:tableParts>
</x:worksheet>
</file>

<file path=xl/worksheets/sheet9.xml><?xml version="1.0" encoding="utf-8"?>
<x:worksheet xmlns:x="http://schemas.openxmlformats.org/spreadsheetml/2006/main">
  <x:sheetViews>
    <x:sheetView showGridLines="0" workbookViewId="0"/>
  </x:sheetViews>
  <x:sheetFormatPr baseColWidth="8" defaultColWidth="9" defaultRowHeight="16.799999237060547"/>
  <x:cols>
    <x:col min="1" max="1" width="23" hidden="0" customWidth="1"/>
    <x:col min="2" max="2" width="38" hidden="0" customWidth="1"/>
    <x:col min="3" max="3" width="16" hidden="0" customWidth="1"/>
    <x:col min="4" max="4" width="22" hidden="0" customWidth="1"/>
    <x:col min="5" max="5" width="15" hidden="0" customWidth="1"/>
    <x:col min="6" max="6" width="13" hidden="0" customWidth="1"/>
  </x:cols>
  <x:sheetData>
    <x:row r="1" ht="31" customHeight="1">
      <x:c r="A1" s="390" t="inlineStr">
        <x:is>
          <x:t xml:space="preserve">开发交付估算汇总</x:t>
        </x:is>
      </x:c>
      <x:c r="B1" s="390"/>
      <x:c r="C1" s="390"/>
      <x:c r="D1" s="390"/>
      <x:c r="E1" s="390"/>
      <x:c r="F1" s="390"/>
    </x:row>
    <x:row r="2" ht="38" customHeight="1">
      <x:c r="A2" s="400" t="inlineStr">
        <x:is>
          <x:t xml:space="preserve">当前口径含直接Dev、SIT支持、UAT支持和待确认假设关联Story风险人天；不含人员/迭代、敏捷活动及BA/QA/TL/PM人天</x:t>
        </x:is>
      </x:c>
      <x:c r="B2" s="400"/>
      <x:c r="C2" s="400"/>
      <x:c r="D2" s="400"/>
      <x:c r="E2" s="400"/>
      <x:c r="F2" s="400"/>
    </x:row>
    <x:row r="3" ht="9" customHeight="1"/>
    <x:row r="4" ht="38" customHeight="1">
      <x:c r="A4" s="453" t="inlineStr">
        <x:is>
          <x:t xml:space="preserve">项目行</x:t>
        </x:is>
      </x:c>
      <x:c r="B4" s="453" t="inlineStr">
        <x:is>
          <x:t xml:space="preserve">计算/分母</x:t>
        </x:is>
      </x:c>
      <x:c r="C4" s="453" t="inlineStr">
        <x:is>
          <x:t xml:space="preserve">取整前</x:t>
        </x:is>
      </x:c>
      <x:c r="D4" s="453" t="inlineStr">
        <x:is>
          <x:t xml:space="preserve">开发交付估算人天</x:t>
        </x:is>
      </x:c>
      <x:c r="E4" s="453" t="inlineStr">
        <x:is>
          <x:t xml:space="preserve">口径</x:t>
        </x:is>
      </x:c>
      <x:c r="F4" s="453" t="inlineStr">
        <x:is>
          <x:t xml:space="preserve">校验</x:t>
        </x:is>
      </x:c>
    </x:row>
    <x:row r="5" ht="28" customHeight="1">
      <x:c r="A5" s="598" t="inlineStr">
        <x:is>
          <x:t xml:space="preserve">直接开发人天</x:t>
        </x:is>
      </x:c>
      <x:c r="B5" s="598" t="inlineStr">
        <x:is>
          <x:t xml:space="preserve">Σ Story直接人天</x:t>
        </x:is>
      </x:c>
      <x:c r="C5" s="522" t="n">
        <x:f>SUM(SOWStoryTable[人天])</x:f>
        <x:v>0</x:v>
      </x:c>
      <x:c r="D5" s="522" t="n">
        <x:f>C5</x:f>
        <x:v>0</x:v>
      </x:c>
      <x:c r="E5" s="598" t="inlineStr">
        <x:is>
          <x:t xml:space="preserve">Dev</x:t>
        </x:is>
      </x:c>
      <x:c r="F5" s="526" t="str">
        <x:f>IF(AND(C5&gt;=0,D5&gt;=0),"OK","CHECK")</x:f>
        <x:v>OK</x:v>
      </x:c>
    </x:row>
    <x:row r="6" ht="28" customHeight="1">
      <x:c r="A6" s="598" t="inlineStr">
        <x:is>
          <x:t xml:space="preserve">内部SIT支持</x:t>
        </x:is>
      </x:c>
      <x:c r="B6" s="598" t="str">
        <x:v>内部系统对接 Task 支持</x:v>
      </x:c>
      <x:c r="C6" s="522" t="n">
        <x:f>SUMIFS(IntegrationTable[SIT人天],IntegrationTable[责任边界],"内部")</x:f>
        <x:v>0</x:v>
      </x:c>
      <x:c r="D6" s="522" t="n">
        <x:f>CEILING(C6,INDEX(ProjectParameterTable[值],MATCH("ROUND_PROJECT",ProjectParameterTable[参数代码],0)))</x:f>
        <x:v>0</x:v>
      </x:c>
      <x:c r="E6" s="598" t="inlineStr">
        <x:is>
          <x:t xml:space="preserve">Dev</x:t>
        </x:is>
      </x:c>
      <x:c r="F6" s="526" t="str">
        <x:f>IF(AND(C6&gt;=0,D6&gt;=0),"OK","CHECK")</x:f>
        <x:v>OK</x:v>
      </x:c>
    </x:row>
    <x:row r="7" ht="28" customHeight="1">
      <x:c r="A7" s="598" t="inlineStr">
        <x:is>
          <x:t xml:space="preserve">外部SIT支持</x:t>
        </x:is>
      </x:c>
      <x:c r="B7" s="598" t="str">
        <x:v>外部系统对接 Task 支持</x:v>
      </x:c>
      <x:c r="C7" s="522" t="n">
        <x:f>SUMIFS(IntegrationTable[SIT人天],IntegrationTable[责任边界],"外部")</x:f>
        <x:v>0</x:v>
      </x:c>
      <x:c r="D7" s="522" t="n">
        <x:f>CEILING(C7,INDEX(ProjectParameterTable[值],MATCH("ROUND_PROJECT",ProjectParameterTable[参数代码],0)))</x:f>
        <x:v>0</x:v>
      </x:c>
      <x:c r="E7" s="598" t="inlineStr">
        <x:is>
          <x:t xml:space="preserve">Dev</x:t>
        </x:is>
      </x:c>
      <x:c r="F7" s="526" t="str">
        <x:f>IF(AND(C7&gt;=0,D7&gt;=0),"OK","CHECK")</x:f>
        <x:v>OK</x:v>
      </x:c>
    </x:row>
    <x:row r="8" ht="28" customHeight="1">
      <x:c r="A8" s="598" t="inlineStr">
        <x:is>
          <x:t xml:space="preserve">SIT支持合计</x:t>
        </x:is>
      </x:c>
      <x:c r="B8" s="598" t="inlineStr">
        <x:is>
          <x:t xml:space="preserve">内部+外部</x:t>
        </x:is>
      </x:c>
      <x:c r="C8" s="522" t="n">
        <x:f>C6+C7</x:f>
        <x:v>0</x:v>
      </x:c>
      <x:c r="D8" s="522" t="n">
        <x:f>D6+D7</x:f>
        <x:v>0</x:v>
      </x:c>
      <x:c r="E8" s="598" t="inlineStr">
        <x:is>
          <x:t xml:space="preserve">Dev</x:t>
        </x:is>
      </x:c>
      <x:c r="F8" s="526" t="str">
        <x:f>IF(AND(C8=C6+C7,D8=D6+D7),"OK","CHECK")</x:f>
        <x:v>OK</x:v>
      </x:c>
    </x:row>
    <x:row r="9" ht="28" customHeight="1">
      <x:c r="A9" s="598" t="inlineStr">
        <x:is>
          <x:t xml:space="preserve">UAT分母</x:t>
        </x:is>
      </x:c>
      <x:c r="B9" s="598" t="str">
        <x:v>显式 UAT 适用 Story</x:v>
      </x:c>
      <x:c r="C9" s="522" t="n">
        <x:f>SUMIFS(SOWStoryTable[人天],SOWStoryTable[UAT分母],"是")</x:f>
        <x:v>0</x:v>
      </x:c>
      <x:c r="D9" s="522" t="n">
        <x:f>C9</x:f>
        <x:v>0</x:v>
      </x:c>
      <x:c r="E9" s="598" t="inlineStr">
        <x:is>
          <x:t xml:space="preserve">追踪</x:t>
        </x:is>
      </x:c>
      <x:c r="F9" s="526" t="str">
        <x:f>IF(AND(C9&gt;=0,D9&gt;=0),"OK","CHECK")</x:f>
        <x:v>OK</x:v>
      </x:c>
    </x:row>
    <x:row r="10" ht="28" customHeight="1">
      <x:c r="A10" s="598" t="inlineStr">
        <x:is>
          <x:t xml:space="preserve">UAT支持</x:t>
        </x:is>
      </x:c>
      <x:c r="B10" s="598" t="inlineStr">
        <x:is>
          <x:t xml:space="preserve">分母×K_UAT</x:t>
        </x:is>
      </x:c>
      <x:c r="C10" s="522" t="n">
        <x:f>C9*INDEX(ProjectParameterTable[值],MATCH("K_UAT",ProjectParameterTable[参数代码],0))</x:f>
        <x:v>0</x:v>
      </x:c>
      <x:c r="D10" s="522" t="n">
        <x:f>CEILING(C10,INDEX(ProjectParameterTable[值],MATCH("ROUND_PROJECT",ProjectParameterTable[参数代码],0)))</x:f>
        <x:v>0</x:v>
      </x:c>
      <x:c r="E10" s="598" t="inlineStr">
        <x:is>
          <x:t xml:space="preserve">Dev</x:t>
        </x:is>
      </x:c>
      <x:c r="F10" s="526" t="str">
        <x:f>IF(AND(C10&gt;=0,D10&gt;=0),"OK","CHECK")</x:f>
        <x:v>OK</x:v>
      </x:c>
    </x:row>
    <x:row r="11" ht="28" customHeight="1">
      <x:c r="A11" s="598" t="inlineStr">
        <x:is>
          <x:t xml:space="preserve">待确认风险人天</x:t>
        </x:is>
      </x:c>
      <x:c r="B11" s="598" t="inlineStr">
        <x:is>
          <x:t xml:space="preserve">Σ 唯一待确认Story直接人天</x:t>
        </x:is>
      </x:c>
      <x:c r="C11" s="522" t="n">
        <x:f>SUMIFS(SOWStoryTable[人天],SOWStoryTable[假设状态],"待确认")</x:f>
        <x:v>0</x:v>
      </x:c>
      <x:c r="D11" s="522" t="n">
        <x:f>C11</x:f>
        <x:v>0</x:v>
      </x:c>
      <x:c r="E11" s="598" t="inlineStr">
        <x:is>
          <x:t xml:space="preserve">Dev</x:t>
        </x:is>
      </x:c>
      <x:c r="F11" s="526" t="str">
        <x:f>IF(AND(C11&gt;=0,D11&gt;=0),"OK","CHECK")</x:f>
        <x:v>OK</x:v>
      </x:c>
    </x:row>
    <x:row r="12" ht="36" customHeight="1">
      <x:c r="A12" s="601" t="inlineStr">
        <x:is>
          <x:t xml:space="preserve">开发交付估算人天</x:t>
        </x:is>
      </x:c>
      <x:c r="B12" s="601" t="inlineStr">
        <x:is>
          <x:t xml:space="preserve">直接Dev+SIT+UAT+待确认风险</x:t>
        </x:is>
      </x:c>
      <x:c r="C12" s="533" t="n">
        <x:f>C5+C8+C10+C11</x:f>
        <x:v>0</x:v>
      </x:c>
      <x:c r="D12" s="533" t="n">
        <x:f>D5+D8+D10+D11</x:f>
        <x:v>0</x:v>
      </x:c>
      <x:c r="E12" s="601" t="inlineStr">
        <x:is>
          <x:t xml:space="preserve">当前范围</x:t>
        </x:is>
      </x:c>
      <x:c r="F12" s="606" t="str">
        <x:f>IF(AND(COUNTIF(F5:F11,"CHECK")=0,D12=D5+D8+D10+D11),"OK","CHECK")</x:f>
        <x:v>OK</x:v>
      </x:c>
    </x:row>
    <x:row r="13" ht="15" customHeight="1">
      <x:c r="A13" s="600" t="n"/>
      <x:c r="B13" s="600" t="n"/>
      <x:c r="C13" s="604" t="n"/>
      <x:c r="D13" s="604" t="n"/>
      <x:c r="E13" s="600" t="n"/>
      <x:c r="F13" s="608" t="n"/>
    </x:row>
    <x:row r="14" ht="34" customHeight="1">
      <x:c r="A14" s="542" t="inlineStr">
        <x:is>
          <x:t xml:space="preserve">明确排除</x:t>
        </x:is>
      </x:c>
      <x:c r="B14" s="540" t="inlineStr">
        <x:is>
          <x:t xml:space="preserve">人员与迭代计划、敏捷活动、K_AGILE，以及BA/QA/TL/PM等非Dev角色人天；计费规则确认后由后续版本增加。</x:t>
        </x:is>
      </x:c>
      <x:c r="C14" s="605" t="n"/>
      <x:c r="D14" s="605" t="n"/>
      <x:c r="E14" s="540" t="inlineStr">
        <x:is>
          <x:t xml:space="preserve">范围声明</x:t>
        </x:is>
      </x:c>
      <x:c r="F14" s="526" t="inlineStr">
        <x:is>
          <x:t xml:space="preserve">OK</x:t>
        </x:is>
      </x:c>
    </x:row>
    <x:row r="15" ht="15" customHeight="1">
      <x:c r="A15"/>
      <x:c r="B15"/>
      <x:c r="C15"/>
      <x:c r="D15"/>
      <x:c r="E15"/>
      <x:c r="F15"/>
    </x:row>
    <x:row r="16" ht="15" customHeight="1">
      <x:c r="A16"/>
      <x:c r="B16"/>
      <x:c r="C16"/>
      <x:c r="D16"/>
      <x:c r="E16"/>
      <x:c r="F16"/>
    </x:row>
    <x:row r="17" ht="15" customHeight="1">
      <x:c r="A17"/>
      <x:c r="B17"/>
      <x:c r="C17"/>
      <x:c r="D17"/>
      <x:c r="E17"/>
      <x:c r="F17"/>
    </x:row>
    <x:row r="18" ht="15" customHeight="1">
      <x:c r="A18"/>
      <x:c r="B18"/>
      <x:c r="C18"/>
      <x:c r="D18"/>
      <x:c r="E18"/>
      <x:c r="F18"/>
    </x:row>
    <x:row r="19" ht="15" customHeight="1">
      <x:c r="A19"/>
      <x:c r="B19"/>
      <x:c r="C19"/>
      <x:c r="D19"/>
      <x:c r="E19"/>
      <x:c r="F19"/>
    </x:row>
    <x:row r="20" ht="15" customHeight="1">
      <x:c r="A20"/>
      <x:c r="B20"/>
      <x:c r="C20"/>
      <x:c r="D20"/>
      <x:c r="E20"/>
      <x:c r="F20"/>
    </x:row>
    <x:row r="21" ht="15" customHeight="1">
      <x:c r="A21"/>
      <x:c r="B21"/>
      <x:c r="C21"/>
      <x:c r="D21"/>
      <x:c r="E21"/>
      <x:c r="F21"/>
    </x:row>
    <x:row r="22" ht="15" customHeight="1">
      <x:c r="A22"/>
      <x:c r="B22"/>
      <x:c r="C22"/>
      <x:c r="D22"/>
      <x:c r="E22"/>
      <x:c r="F22"/>
    </x:row>
  </x:sheetData>
  <x:mergeCells>
    <x:mergeCell ref="A2:F2"/>
    <x:mergeCell ref="A1:F1"/>
  </x:mergeCells>
  <x:conditionalFormatting sqref="F5:F22">
    <x:cfRule type="containsText" dxfId="0" priority="1" operator="between" text="OK">
      <x:formula>NOT(ISERROR(SEARCH("OK",F5)))</x:formula>
    </x:cfRule>
    <x:cfRule type="containsText" dxfId="1" priority="2" operator="between" text="需复核">
      <x:formula>NOT(ISERROR(SEARCH("需复核",F5)))</x:formula>
    </x:cfRule>
    <x:cfRule type="containsText" dxfId="1" priority="3" operator="between" text="缺Task">
      <x:formula>NOT(ISERROR(SEARCH("缺Task",F5)))</x:formula>
    </x:cfRule>
    <x:cfRule type="containsText" dxfId="1" priority="4" operator="between" text="CHECK">
      <x:formula>NOT(ISERROR(SEARCH("CHECK",F5)))</x:formula>
    </x:cfRule>
  </x:conditionalFormatting>
  <x:conditionalFormatting sqref="F5:F12">
    <x:cfRule type="containsText" dxfId="19" priority="5" operator="containsText" text="OK"/>
    <x:cfRule type="containsText" dxfId="20" priority="6" operator="containsText" text="CHECK"/>
  </x:conditionalFormatting>
  <x:pageMargins left="0.7" right="0.7" top="0.75" bottom="0.75" header="0.3" footer="0.3"/>
  <x:tableParts count="1">
    <x:tablePart xmlns:r="http://schemas.openxmlformats.org/officeDocument/2006/relationships" r:id="Rf91a9f46a1f04dca"/>
  </x:tableParts>
</x:worksheet>
</file>

<file path=xl/worksheets/sheet10.xml><?xml version="1.0" encoding="utf-8"?>
<x:worksheet xmlns:x="http://schemas.openxmlformats.org/spreadsheetml/2006/main">
  <x:sheetViews>
    <x:sheetView showGridLines="0" workbookViewId="0"/>
  </x:sheetViews>
  <x:sheetFormatPr baseColWidth="8" defaultColWidth="9" defaultRowHeight="16.799999237060547"/>
  <x:cols>
    <x:col min="1" max="1" width="19" hidden="0" customWidth="1"/>
    <x:col min="2" max="2" width="16" hidden="0" customWidth="1"/>
    <x:col min="3" max="3" width="19" hidden="0" customWidth="1"/>
    <x:col min="4" max="4" width="18" hidden="0" customWidth="1"/>
    <x:col min="5" max="5" width="27" hidden="0" customWidth="1"/>
    <x:col min="6" max="6" width="42" hidden="0" customWidth="1"/>
    <x:col min="7" max="7" width="20" hidden="0" customWidth="1"/>
    <x:col min="8" max="8" width="26" hidden="0" customWidth="1"/>
    <x:col min="9" max="9" width="36" hidden="0" customWidth="1"/>
    <x:col min="10" max="10" width="35" customWidth="1"/>
  </x:cols>
  <x:sheetData>
    <x:row r="1" ht="31" customHeight="1">
      <x:c r="A1" s="390" t="str">
        <x:v>系统现状 / As-Is</x:v>
      </x:c>
      <x:c r="B1" s="390" t="str">
        <x:v>系统现状 / As-Is</x:v>
      </x:c>
      <x:c r="C1" s="390" t="str">
        <x:v>系统现状 / As-Is</x:v>
      </x:c>
      <x:c r="D1" s="390" t="str">
        <x:v>系统现状 / As-Is</x:v>
      </x:c>
      <x:c r="E1" s="390" t="str">
        <x:v>系统现状 / As-Is</x:v>
      </x:c>
      <x:c r="F1" s="390" t="str">
        <x:v>系统现状 / As-Is</x:v>
      </x:c>
      <x:c r="G1" s="390" t="str">
        <x:v>系统现状 / As-Is</x:v>
      </x:c>
      <x:c r="H1" s="390" t="str">
        <x:v>系统现状 / As-Is</x:v>
      </x:c>
      <x:c r="I1" s="390" t="str">
        <x:v>系统现状 / As-Is</x:v>
      </x:c>
    </x:row>
    <x:row r="2" ht="36" customHeight="1">
      <x:c r="A2" s="400" t="str">
        <x:v>模式：— | As-of：— | Repo：— | 排除范围：—</x:v>
      </x:c>
      <x:c r="B2" s="400" t="str">
        <x:v>模式：— | As-of：— | Repo：— | 排除范围：—</x:v>
      </x:c>
      <x:c r="C2" s="400" t="str">
        <x:v>模式：— | As-of：— | Repo：— | 排除范围：—</x:v>
      </x:c>
      <x:c r="D2" s="400" t="str">
        <x:v>模式：— | As-of：— | Repo：— | 排除范围：—</x:v>
      </x:c>
      <x:c r="E2" s="400" t="str">
        <x:v>模式：— | As-of：— | Repo：— | 排除范围：—</x:v>
      </x:c>
      <x:c r="F2" s="400" t="str">
        <x:v>模式：— | As-of：— | Repo：— | 排除范围：—</x:v>
      </x:c>
      <x:c r="G2" s="400" t="str">
        <x:v>模式：— | As-of：— | Repo：— | 排除范围：—</x:v>
      </x:c>
      <x:c r="H2" s="400" t="str">
        <x:v>模式：— | As-of：— | Repo：— | 排除范围：—</x:v>
      </x:c>
      <x:c r="I2" s="400" t="str">
        <x:v>模式：— | As-of：— | Repo：— | 排除范围：—</x:v>
      </x:c>
    </x:row>
    <x:row r="3" ht="9" customHeight="1"/>
    <x:row r="4" ht="38" customHeight="1">
      <x:c r="A4" s="453" t="str">
        <x:v>主题</x:v>
      </x:c>
      <x:c r="B4" s="453" t="str">
        <x:v>评估状态</x:v>
      </x:c>
      <x:c r="C4" s="453" t="str">
        <x:v>结论</x:v>
      </x:c>
      <x:c r="D4" s="453" t="str">
        <x:v>当前事实数</x:v>
      </x:c>
      <x:c r="E4" s="453" t="str">
        <x:v>承诺数</x:v>
      </x:c>
      <x:c r="F4" s="453" t="str">
        <x:v>有效起点数</x:v>
      </x:c>
      <x:c r="G4" s="453" t="str">
        <x:v>未决数</x:v>
      </x:c>
    </x:row>
    <x:row r="5" ht="28" customHeight="1">
      <x:c r="A5" s="449"/>
      <x:c r="B5" s="449"/>
      <x:c r="C5" s="598"/>
      <x:c r="D5" s="610"/>
      <x:c r="E5" s="610"/>
      <x:c r="F5" s="610"/>
      <x:c r="G5" s="610"/>
    </x:row>
    <x:row r="6" ht="28" customHeight="1">
      <x:c r="A6" s="449"/>
      <x:c r="B6" s="449"/>
      <x:c r="C6" s="598"/>
      <x:c r="D6" s="610"/>
      <x:c r="E6" s="610"/>
      <x:c r="F6" s="610"/>
      <x:c r="G6" s="610"/>
    </x:row>
    <x:row r="7" ht="28" customHeight="1">
      <x:c r="A7" s="449"/>
      <x:c r="B7" s="449"/>
      <x:c r="C7" s="598"/>
      <x:c r="D7" s="610"/>
      <x:c r="E7" s="610"/>
      <x:c r="F7" s="610"/>
      <x:c r="G7" s="610"/>
    </x:row>
    <x:row r="8" ht="28" customHeight="1">
      <x:c r="A8" s="449"/>
      <x:c r="B8" s="449"/>
      <x:c r="C8" s="598"/>
      <x:c r="D8" s="610"/>
      <x:c r="E8" s="610"/>
      <x:c r="F8" s="610"/>
      <x:c r="G8" s="610"/>
    </x:row>
    <x:row r="9" ht="28" customHeight="1">
      <x:c r="A9" s="449"/>
      <x:c r="B9" s="449"/>
      <x:c r="C9" s="598"/>
      <x:c r="D9" s="610"/>
      <x:c r="E9" s="610"/>
      <x:c r="F9" s="610"/>
      <x:c r="G9" s="610"/>
    </x:row>
    <x:row r="10" ht="28" customHeight="1">
      <x:c r="A10" s="449"/>
      <x:c r="B10" s="449"/>
      <x:c r="C10" s="598"/>
      <x:c r="D10" s="610"/>
      <x:c r="E10" s="610"/>
      <x:c r="F10" s="610"/>
      <x:c r="G10" s="610"/>
    </x:row>
    <x:row r="11" ht="28" customHeight="1">
      <x:c r="A11" s="449"/>
      <x:c r="B11" s="449"/>
      <x:c r="C11" s="598"/>
      <x:c r="D11" s="610"/>
      <x:c r="E11" s="610"/>
      <x:c r="F11" s="610"/>
      <x:c r="G11" s="610"/>
    </x:row>
    <x:row r="12" ht="28" customHeight="1">
      <x:c r="A12" s="449"/>
      <x:c r="B12" s="449"/>
      <x:c r="C12" s="598"/>
      <x:c r="D12" s="610"/>
      <x:c r="E12" s="610"/>
      <x:c r="F12" s="610"/>
      <x:c r="G12" s="610"/>
    </x:row>
    <x:row r="13" ht="28" customHeight="1">
      <x:c r="A13" s="449"/>
      <x:c r="B13" s="449"/>
      <x:c r="C13" s="598"/>
      <x:c r="D13" s="610"/>
      <x:c r="E13" s="610"/>
      <x:c r="F13" s="610"/>
      <x:c r="G13" s="610"/>
    </x:row>
    <x:row r="14" ht="44" customHeight="1"/>
    <x:row r="17" ht="38" customHeight="1">
      <x:c r="A17" s="549" t="str">
        <x:v>主题</x:v>
      </x:c>
      <x:c r="B17" s="549" t="str">
        <x:v>记录类型</x:v>
      </x:c>
      <x:c r="C17" s="549" t="str">
        <x:v>记录 ID</x:v>
      </x:c>
      <x:c r="D17" s="549" t="str">
        <x:v>分类/状态</x:v>
      </x:c>
      <x:c r="E17" s="549" t="str">
        <x:v>名称</x:v>
      </x:c>
      <x:c r="F17" s="549" t="str">
        <x:v>摘要/理由</x:v>
      </x:c>
      <x:c r="G17" s="549" t="str">
        <x:v>关系/流向</x:v>
      </x:c>
      <x:c r="H17" s="549" t="str">
        <x:v>关联 ID</x:v>
      </x:c>
      <x:c r="I17" s="549" t="str">
        <x:v>证据引用</x:v>
      </x:c>
    </x:row>
    <x:row r="18" ht="36" customHeight="1">
      <x:c r="A18" s="490"/>
      <x:c r="B18" s="490"/>
      <x:c r="C18" s="490"/>
      <x:c r="D18" s="490"/>
      <x:c r="E18" s="490"/>
      <x:c r="F18" s="490"/>
      <x:c r="G18" s="490"/>
      <x:c r="H18" s="490"/>
      <x:c r="I18" s="490"/>
    </x:row>
    <x:row r="19" ht="36" customHeight="1">
      <x:c r="A19" s="490"/>
      <x:c r="B19" s="490"/>
      <x:c r="C19" s="490"/>
      <x:c r="D19" s="490"/>
      <x:c r="E19" s="490"/>
      <x:c r="F19" s="490"/>
      <x:c r="G19" s="490"/>
      <x:c r="H19" s="490"/>
      <x:c r="I19" s="490"/>
    </x:row>
    <x:row r="20" ht="36" customHeight="1">
      <x:c r="A20" s="490"/>
      <x:c r="B20" s="490"/>
      <x:c r="C20" s="490"/>
      <x:c r="D20" s="490"/>
      <x:c r="E20" s="490"/>
      <x:c r="F20" s="490"/>
      <x:c r="G20" s="490"/>
      <x:c r="H20" s="490"/>
      <x:c r="I20" s="490"/>
    </x:row>
    <x:row r="21" ht="36" customHeight="1">
      <x:c r="A21" s="490"/>
      <x:c r="B21" s="490"/>
      <x:c r="C21" s="490"/>
      <x:c r="D21" s="490"/>
      <x:c r="E21" s="490"/>
      <x:c r="F21" s="490"/>
      <x:c r="G21" s="490"/>
      <x:c r="H21" s="490"/>
      <x:c r="I21" s="490"/>
    </x:row>
    <x:row r="22" ht="36" customHeight="1">
      <x:c r="A22" s="490"/>
      <x:c r="B22" s="490"/>
      <x:c r="C22" s="490"/>
      <x:c r="D22" s="490"/>
      <x:c r="E22" s="490"/>
      <x:c r="F22" s="490"/>
      <x:c r="G22" s="490"/>
      <x:c r="H22" s="490"/>
      <x:c r="I22" s="490"/>
    </x:row>
    <x:row r="23" ht="36" customHeight="1">
      <x:c r="A23" s="490"/>
      <x:c r="B23" s="490"/>
      <x:c r="C23" s="490"/>
      <x:c r="D23" s="490"/>
      <x:c r="E23" s="490"/>
      <x:c r="F23" s="490"/>
      <x:c r="G23" s="490"/>
      <x:c r="H23" s="490"/>
      <x:c r="I23" s="490"/>
    </x:row>
    <x:row r="24" ht="36" customHeight="1">
      <x:c r="A24" s="490"/>
      <x:c r="B24" s="490"/>
      <x:c r="C24" s="490"/>
      <x:c r="D24" s="490"/>
      <x:c r="E24" s="490"/>
      <x:c r="F24" s="490"/>
      <x:c r="G24" s="490"/>
      <x:c r="H24" s="490"/>
      <x:c r="I24" s="490"/>
    </x:row>
    <x:row r="25" ht="36" customHeight="1">
      <x:c r="A25" s="490"/>
      <x:c r="B25" s="490"/>
      <x:c r="C25" s="490"/>
      <x:c r="D25" s="490"/>
      <x:c r="E25" s="490"/>
      <x:c r="F25" s="490"/>
      <x:c r="G25" s="490"/>
      <x:c r="H25" s="490"/>
      <x:c r="I25" s="490"/>
    </x:row>
  </x:sheetData>
  <x:mergeCells>
    <x:mergeCell ref="A1:I1"/>
    <x:mergeCell ref="A2:I2"/>
  </x:mergeCells>
  <x:pageMargins left="0.7" right="0.7" top="0.75" bottom="0.75" header="0.3" footer="0.3"/>
  <x:tableParts count="2">
    <x:tablePart xmlns:r="http://schemas.openxmlformats.org/officeDocument/2006/relationships" r:id="Rf9d54c43134a45cb"/>
    <x:tablePart xmlns:r="http://schemas.openxmlformats.org/officeDocument/2006/relationships" r:id="R8287957676db45e1"/>
  </x:tableParts>
</x:worksheet>
</file>

<file path=xl/worksheets/sheet11.xml><?xml version="1.0" encoding="utf-8"?>
<x:worksheet xmlns:x="http://schemas.openxmlformats.org/spreadsheetml/2006/main">
  <x:sheetViews>
    <x:sheetView showGridLines="0" workbookViewId="0"/>
  </x:sheetViews>
  <x:sheetFormatPr baseColWidth="8" defaultColWidth="9" defaultRowHeight="16.799999237060547"/>
  <x:cols>
    <x:col min="1" max="1" width="24" hidden="0" customWidth="1"/>
    <x:col min="2" max="2" width="25" hidden="0" customWidth="1"/>
    <x:col min="3" max="3" width="13" hidden="0" customWidth="1"/>
    <x:col min="4" max="4" width="13" hidden="0" customWidth="1"/>
    <x:col min="5" max="5" width="37" hidden="0" customWidth="1"/>
    <x:col min="6" max="6" width="23" hidden="0" customWidth="1"/>
  </x:cols>
  <x:sheetData>
    <x:row r="1" ht="31" customHeight="1">
      <x:c r="A1" s="390" t="str">
        <x:v>项目参数</x:v>
      </x:c>
      <x:c r="B1" s="390" t="str">
        <x:v>项目参数</x:v>
      </x:c>
      <x:c r="C1" s="390" t="str">
        <x:v>项目参数</x:v>
      </x:c>
      <x:c r="D1" s="390" t="str">
        <x:v>项目参数</x:v>
      </x:c>
      <x:c r="E1" s="390" t="str">
        <x:v>项目参数</x:v>
      </x:c>
      <x:c r="F1" s="390" t="str">
        <x:v>项目参数</x:v>
      </x:c>
    </x:row>
    <x:row r="2" ht="36" customHeight="1">
      <x:c r="A2" s="400" t="str">
        <x:v>全部项目级公式引用本表；包含 Task 复杂度系数、UAT/SIT 支持参数和取整规则，不包含敏捷或非 Dev 角色人天。</x:v>
      </x:c>
      <x:c r="B2" s="400" t="str">
        <x:v>全部项目级公式引用本表；包含 Task 复杂度系数、UAT/SIT 支持参数和取整规则，不包含敏捷或非 Dev 角色人天。</x:v>
      </x:c>
      <x:c r="C2" s="400" t="str">
        <x:v>全部项目级公式引用本表；包含 Task 复杂度系数、UAT/SIT 支持参数和取整规则，不包含敏捷或非 Dev 角色人天。</x:v>
      </x:c>
      <x:c r="D2" s="400" t="str">
        <x:v>全部项目级公式引用本表；包含 Task 复杂度系数、UAT/SIT 支持参数和取整规则，不包含敏捷或非 Dev 角色人天。</x:v>
      </x:c>
      <x:c r="E2" s="400" t="str">
        <x:v>全部项目级公式引用本表；包含 Task 复杂度系数、UAT/SIT 支持参数和取整规则，不包含敏捷或非 Dev 角色人天。</x:v>
      </x:c>
      <x:c r="F2" s="400" t="str">
        <x:v>全部项目级公式引用本表；包含 Task 复杂度系数、UAT/SIT 支持参数和取整规则，不包含敏捷或非 Dev 角色人天。</x:v>
      </x:c>
    </x:row>
    <x:row r="3" ht="9" customHeight="1"/>
    <x:row r="4" ht="38" customHeight="1">
      <x:c r="A4" s="453" t="str">
        <x:v>参数代码</x:v>
      </x:c>
      <x:c r="B4" s="453" t="str">
        <x:v>名称</x:v>
      </x:c>
      <x:c r="C4" s="453" t="str">
        <x:v>值</x:v>
      </x:c>
      <x:c r="D4" s="453" t="str">
        <x:v>单位</x:v>
      </x:c>
      <x:c r="E4" s="453" t="str">
        <x:v>适用范围</x:v>
      </x:c>
      <x:c r="F4" s="453" t="str">
        <x:v>验证状态/说明</x:v>
      </x:c>
    </x:row>
    <x:row r="5" ht="30" customHeight="1">
      <x:c r="A5" s="490" t="str">
        <x:v>K_COMPLEXITY_S</x:v>
      </x:c>
      <x:c r="B5" s="490" t="str">
        <x:v>S档复杂度系数</x:v>
      </x:c>
      <x:c r="C5" s="611" t="n">
        <x:v>0.6</x:v>
      </x:c>
      <x:c r="D5" s="598" t="str">
        <x:v>倍</x:v>
      </x:c>
      <x:c r="E5" s="598" t="str">
        <x:v>Task 人天</x:v>
      </x:c>
      <x:c r="F5" s="449" t="str">
        <x:v>固定规则</x:v>
      </x:c>
    </x:row>
    <x:row r="6" ht="30" customHeight="1">
      <x:c r="A6" s="490" t="str">
        <x:v>K_COMPLEXITY_M</x:v>
      </x:c>
      <x:c r="B6" s="490" t="str">
        <x:v>M档复杂度系数</x:v>
      </x:c>
      <x:c r="C6" s="611" t="n">
        <x:v>1</x:v>
      </x:c>
      <x:c r="D6" s="598" t="str">
        <x:v>倍</x:v>
      </x:c>
      <x:c r="E6" s="598" t="str">
        <x:v>Task 人天</x:v>
      </x:c>
      <x:c r="F6" s="449" t="str">
        <x:v>固定规则</x:v>
      </x:c>
    </x:row>
    <x:row r="7" ht="30" customHeight="1">
      <x:c r="A7" s="490" t="str">
        <x:v>K_COMPLEXITY_L</x:v>
      </x:c>
      <x:c r="B7" s="490" t="str">
        <x:v>L档复杂度系数</x:v>
      </x:c>
      <x:c r="C7" s="611" t="n">
        <x:v>1.5</x:v>
      </x:c>
      <x:c r="D7" s="598" t="str">
        <x:v>倍</x:v>
      </x:c>
      <x:c r="E7" s="598" t="str">
        <x:v>Task 人天</x:v>
      </x:c>
      <x:c r="F7" s="449" t="str">
        <x:v>固定规则</x:v>
      </x:c>
    </x:row>
    <x:row r="8" ht="30" customHeight="1">
      <x:c r="A8" s="490" t="str">
        <x:v>K_UAT</x:v>
      </x:c>
      <x:c r="B8" s="490" t="str">
        <x:v>UAT支持系数</x:v>
      </x:c>
      <x:c r="C8" s="611" t="n">
        <x:v>0.05</x:v>
      </x:c>
      <x:c r="D8" s="598" t="str">
        <x:v>%</x:v>
      </x:c>
      <x:c r="E8" s="598" t="str">
        <x:v>显式标记UAT适用的Story直接人天</x:v>
      </x:c>
      <x:c r="F8" s="449" t="str">
        <x:v>待样本校准</x:v>
      </x:c>
    </x:row>
    <x:row r="9" ht="30" customHeight="1">
      <x:c r="A9" s="490" t="str">
        <x:v>SIT_INT_SUPPORT</x:v>
      </x:c>
      <x:c r="B9" s="490" t="str">
        <x:v>内部集成点SIT支持</x:v>
      </x:c>
      <x:c r="C9" s="611" t="n">
        <x:v>0.5</x:v>
      </x:c>
      <x:c r="D9" s="598" t="str">
        <x:v>人天/点</x:v>
      </x:c>
      <x:c r="E9" s="598" t="str">
        <x:v>开发交付估算</x:v>
      </x:c>
      <x:c r="F9" s="449" t="str">
        <x:v>待样本校准</x:v>
      </x:c>
    </x:row>
    <x:row r="10" ht="30" customHeight="1">
      <x:c r="A10" s="490" t="str">
        <x:v>SIT_EXT_SUPPORT</x:v>
      </x:c>
      <x:c r="B10" s="490" t="str">
        <x:v>外部集成点SIT支持</x:v>
      </x:c>
      <x:c r="C10" s="611" t="n">
        <x:v>1</x:v>
      </x:c>
      <x:c r="D10" s="598" t="str">
        <x:v>人天/点</x:v>
      </x:c>
      <x:c r="E10" s="598" t="str">
        <x:v>开发交付估算</x:v>
      </x:c>
      <x:c r="F10" s="449" t="str">
        <x:v>待样本校准</x:v>
      </x:c>
    </x:row>
    <x:row r="11" ht="30" customHeight="1">
      <x:c r="A11" s="490" t="str">
        <x:v>ROUND_STORY</x:v>
      </x:c>
      <x:c r="B11" s="490" t="str">
        <x:v>Story取整粒度</x:v>
      </x:c>
      <x:c r="C11" s="611" t="n">
        <x:v>0.5</x:v>
      </x:c>
      <x:c r="D11" s="598" t="str">
        <x:v>人天</x:v>
      </x:c>
      <x:c r="E11" s="598" t="str">
        <x:v>Task合计后向上取整</x:v>
      </x:c>
      <x:c r="F11" s="449" t="str">
        <x:v>固定规则</x:v>
      </x:c>
    </x:row>
    <x:row r="12" ht="30" customHeight="1">
      <x:c r="A12" s="490" t="str">
        <x:v>ROUND_PROJECT</x:v>
      </x:c>
      <x:c r="B12" s="490" t="str">
        <x:v>项目级取整粒度</x:v>
      </x:c>
      <x:c r="C12" s="611" t="n">
        <x:v>0.5</x:v>
      </x:c>
      <x:c r="D12" s="598" t="str">
        <x:v>人天</x:v>
      </x:c>
      <x:c r="E12" s="598" t="str">
        <x:v>SIT、UAT分别向上取整；总计不再次取整</x:v>
      </x:c>
      <x:c r="F12" s="449" t="str">
        <x:v>固定规则</x:v>
      </x:c>
    </x:row>
  </x:sheetData>
  <x:mergeCells>
    <x:mergeCell ref="A2:F2"/>
    <x:mergeCell ref="A1:F1"/>
  </x:mergeCells>
  <x:pageMargins left="0.7" right="0.7" top="0.75" bottom="0.75" header="0.3" footer="0.3"/>
  <x:tableParts count="1">
    <x:tablePart xmlns:r="http://schemas.openxmlformats.org/officeDocument/2006/relationships" r:id="R7e33fdc8ab8e45a9"/>
  </x:tableParts>
</x:worksheet>
</file>

<file path=xl/worksheets/sheet12.xml><?xml version="1.0" encoding="utf-8"?>
<x:worksheet xmlns:x="http://schemas.openxmlformats.org/spreadsheetml/2006/main">
  <x:sheetViews>
    <x:sheetView showGridLines="0" workbookViewId="0"/>
  </x:sheetViews>
  <x:sheetFormatPr baseColWidth="8" defaultColWidth="9" defaultRowHeight="16.799999237060547"/>
  <x:cols>
    <x:col min="1" max="1" width="18" hidden="0" customWidth="1"/>
    <x:col min="2" max="2" width="16" hidden="0" customWidth="1"/>
    <x:col min="3" max="3" width="28" hidden="0" customWidth="1"/>
    <x:col min="4" max="4" width="23" hidden="0" customWidth="1"/>
    <x:col min="5" max="5" width="32" hidden="0" customWidth="1"/>
    <x:col min="6" max="6" width="43" hidden="0" customWidth="1"/>
    <x:col min="7" max="7" width="37" hidden="0" customWidth="1"/>
    <x:col min="8" max="8" width="14" hidden="0" customWidth="1"/>
    <x:col min="9" max="9" width="14" hidden="0" customWidth="1"/>
    <x:col min="10" max="10" width="17" hidden="0" customWidth="1"/>
    <x:col min="11" max="11" width="39" hidden="0" customWidth="1"/>
    <x:col min="12" max="12" width="39" hidden="0" customWidth="1"/>
    <x:col min="13" max="13" width="41" hidden="0" customWidth="1"/>
    <x:col min="14" max="14" width="44" hidden="0" customWidth="1"/>
    <x:col min="15" max="15" width="34" customWidth="1"/>
    <x:col min="16" max="16" width="3" customWidth="1"/>
    <x:col min="17" max="17" width="14" customWidth="1"/>
    <x:col min="18" max="18" width="34" customWidth="1"/>
    <x:col min="19" max="19" width="3" customWidth="1"/>
    <x:col min="20" max="20" width="34" customWidth="1"/>
    <x:col min="21" max="21" width="17" customWidth="1"/>
    <x:col min="22" max="22" width="40" customWidth="1"/>
  </x:cols>
  <x:sheetData>
    <x:row r="1" ht="31" customHeight="1">
      <x:c r="A1" s="390" t="str">
        <x:v>基础单元与估算标准</x:v>
      </x:c>
      <x:c r="B1" s="390" t="str">
        <x:v>基础单元与估算标准</x:v>
      </x:c>
      <x:c r="C1" s="390" t="str">
        <x:v>基础单元与估算标准</x:v>
      </x:c>
      <x:c r="D1" s="390" t="str">
        <x:v>基础单元与估算标准</x:v>
      </x:c>
      <x:c r="E1" s="390" t="str">
        <x:v>基础单元与估算标准</x:v>
      </x:c>
      <x:c r="F1" s="390" t="str">
        <x:v>基础单元与估算标准</x:v>
      </x:c>
      <x:c r="G1" s="390" t="str">
        <x:v>基础单元与估算标准</x:v>
      </x:c>
      <x:c r="H1" s="390" t="str">
        <x:v>基础单元与估算标准</x:v>
      </x:c>
      <x:c r="I1" s="390" t="str">
        <x:v>基础单元与估算标准</x:v>
      </x:c>
      <x:c r="J1" s="390" t="str">
        <x:v>基础单元与估算标准</x:v>
      </x:c>
      <x:c r="K1" s="390" t="str">
        <x:v>基础单元与估算标准</x:v>
      </x:c>
      <x:c r="L1" s="390" t="str">
        <x:v>基础单元与估算标准</x:v>
      </x:c>
      <x:c r="M1" s="390" t="str">
        <x:v>基础单元与估算标准</x:v>
      </x:c>
      <x:c r="N1" s="390" t="str">
        <x:v>基础单元与估算标准</x:v>
      </x:c>
    </x:row>
    <x:row r="2" ht="42" customHeight="1">
      <x:c r="A2" s="400" t="str">
        <x:v>一行一个基础单元；新建、调整、接入复用三列直接给出 M 档基础人天；❌ 表示该组合不适用。S/M/L/X 标准用于判断和拆分，不另设重复配置表。</x:v>
      </x:c>
      <x:c r="B2" s="400" t="str">
        <x:v>一行一个基础单元；新建、调整、接入复用三列直接给出 M 档基础人天；❌ 表示该组合不适用。S/M/L/X 标准用于判断和拆分，不另设重复配置表。</x:v>
      </x:c>
      <x:c r="C2" s="400" t="str">
        <x:v>一行一个基础单元；新建、调整、接入复用三列直接给出 M 档基础人天；❌ 表示该组合不适用。S/M/L/X 标准用于判断和拆分，不另设重复配置表。</x:v>
      </x:c>
      <x:c r="D2" s="400" t="str">
        <x:v>一行一个基础单元；新建、调整、接入复用三列直接给出 M 档基础人天；❌ 表示该组合不适用。S/M/L/X 标准用于判断和拆分，不另设重复配置表。</x:v>
      </x:c>
      <x:c r="E2" s="400" t="str">
        <x:v>一行一个基础单元；新建、调整、接入复用三列直接给出 M 档基础人天；❌ 表示该组合不适用。S/M/L/X 标准用于判断和拆分，不另设重复配置表。</x:v>
      </x:c>
      <x:c r="F2" s="400" t="str">
        <x:v>一行一个基础单元；新建、调整、接入复用三列直接给出 M 档基础人天；❌ 表示该组合不适用。S/M/L/X 标准用于判断和拆分，不另设重复配置表。</x:v>
      </x:c>
      <x:c r="G2" s="400" t="str">
        <x:v>一行一个基础单元；新建、调整、接入复用三列直接给出 M 档基础人天；❌ 表示该组合不适用。S/M/L/X 标准用于判断和拆分，不另设重复配置表。</x:v>
      </x:c>
      <x:c r="H2" s="400" t="str">
        <x:v>一行一个基础单元；新建、调整、接入复用三列直接给出 M 档基础人天；❌ 表示该组合不适用。S/M/L/X 标准用于判断和拆分，不另设重复配置表。</x:v>
      </x:c>
      <x:c r="I2" s="400" t="str">
        <x:v>一行一个基础单元；新建、调整、接入复用三列直接给出 M 档基础人天；❌ 表示该组合不适用。S/M/L/X 标准用于判断和拆分，不另设重复配置表。</x:v>
      </x:c>
      <x:c r="J2" s="400" t="str">
        <x:v>一行一个基础单元；新建、调整、接入复用三列直接给出 M 档基础人天；❌ 表示该组合不适用。S/M/L/X 标准用于判断和拆分，不另设重复配置表。</x:v>
      </x:c>
      <x:c r="K2" s="400" t="str">
        <x:v>一行一个基础单元；新建、调整、接入复用三列直接给出 M 档基础人天；❌ 表示该组合不适用。S/M/L/X 标准用于判断和拆分，不另设重复配置表。</x:v>
      </x:c>
      <x:c r="L2" s="400" t="str">
        <x:v>一行一个基础单元；新建、调整、接入复用三列直接给出 M 档基础人天；❌ 表示该组合不适用。S/M/L/X 标准用于判断和拆分，不另设重复配置表。</x:v>
      </x:c>
      <x:c r="M2" s="400" t="str">
        <x:v>一行一个基础单元；新建、调整、接入复用三列直接给出 M 档基础人天；❌ 表示该组合不适用。S/M/L/X 标准用于判断和拆分，不另设重复配置表。</x:v>
      </x:c>
      <x:c r="N2" s="400" t="str">
        <x:v>一行一个基础单元；新建、调整、接入复用三列直接给出 M 档基础人天；❌ 表示该组合不适用。S/M/L/X 标准用于判断和拆分，不另设重复配置表。</x:v>
      </x:c>
    </x:row>
    <x:row r="3" ht="25" customHeight="1">
      <x:c r="A3" s="570" t="str">
        <x:v>分类与标识</x:v>
      </x:c>
      <x:c r="B3" s="570" t="str">
        <x:v>分类与标识</x:v>
      </x:c>
      <x:c r="C3" s="570" t="str">
        <x:v>分类与标识</x:v>
      </x:c>
      <x:c r="D3" s="570" t="str">
        <x:v>分类与标识</x:v>
      </x:c>
      <x:c r="E3" s="573" t="str">
        <x:v>计数与工作边界</x:v>
      </x:c>
      <x:c r="F3" s="573" t="str">
        <x:v>计数与工作边界</x:v>
      </x:c>
      <x:c r="G3" s="573" t="str">
        <x:v>计数与工作边界</x:v>
      </x:c>
      <x:c r="H3" s="576" t="str">
        <x:v>M档基础人天（按工作模式）</x:v>
      </x:c>
      <x:c r="I3" s="576" t="str">
        <x:v>M档基础人天（按工作模式）</x:v>
      </x:c>
      <x:c r="J3" s="576" t="str">
        <x:v>M档基础人天（按工作模式）</x:v>
      </x:c>
      <x:c r="K3" s="579" t="str">
        <x:v>复杂度判定标准</x:v>
      </x:c>
      <x:c r="L3" s="579" t="str">
        <x:v>复杂度判定标准</x:v>
      </x:c>
      <x:c r="M3" s="579" t="str">
        <x:v>复杂度判定标准</x:v>
      </x:c>
      <x:c r="N3" s="579" t="str">
        <x:v>复杂度判定标准</x:v>
      </x:c>
    </x:row>
    <x:row r="4" ht="42" customHeight="1">
      <x:c r="A4" s="453" t="str">
        <x:v>任务族ID</x:v>
      </x:c>
      <x:c r="B4" s="453" t="str">
        <x:v>任务族名称</x:v>
      </x:c>
      <x:c r="C4" s="453" t="str">
        <x:v>基础单元ID</x:v>
      </x:c>
      <x:c r="D4" s="453" t="str">
        <x:v>基础单元名称</x:v>
      </x:c>
      <x:c r="E4" s="453" t="str">
        <x:v>计数口径</x:v>
      </x:c>
      <x:c r="F4" s="453" t="str">
        <x:v>包含内容</x:v>
      </x:c>
      <x:c r="G4" s="453" t="str">
        <x:v>不包含内容</x:v>
      </x:c>
      <x:c r="H4" s="453" t="str">
        <x:v>新建M档人天</x:v>
      </x:c>
      <x:c r="I4" s="453" t="str">
        <x:v>调整M档人天</x:v>
      </x:c>
      <x:c r="J4" s="453" t="str">
        <x:v>接入复用M档人天</x:v>
      </x:c>
      <x:c r="K4" s="453" t="str">
        <x:v>S标准</x:v>
      </x:c>
      <x:c r="L4" s="453" t="str">
        <x:v>M标准</x:v>
      </x:c>
      <x:c r="M4" s="453" t="str">
        <x:v>L标准</x:v>
      </x:c>
      <x:c r="N4" s="453" t="str">
        <x:v>X/拆分条件</x:v>
      </x:c>
      <x:c r="O4"/>
      <x:c r="Q4"/>
      <x:c r="R4"/>
      <x:c r="T4"/>
      <x:c r="U4"/>
      <x:c r="V4"/>
    </x:row>
    <x:row r="5" ht="65" customHeight="1">
      <x:c r="A5" s="591" t="str">
        <x:v>TF-FRONTEND</x:v>
      </x:c>
      <x:c r="B5" s="490" t="str">
        <x:v>前端</x:v>
      </x:c>
      <x:c r="C5" s="591" t="str">
        <x:v>BU-UI-INTERACTION</x:v>
      </x:c>
      <x:c r="D5" s="490" t="str">
        <x:v>界面与交互</x:v>
      </x:c>
      <x:c r="E5" s="598" t="str">
        <x:v>一个可独立验收的界面，或一条紧密关联的交互流程</x:v>
      </x:c>
      <x:c r="F5" s="598" t="str">
        <x:v>界面结构与交互、状态管理、权限呈现、加载、空白和异常状态及开发自测</x:v>
      </x:c>
      <x:c r="G5" s="598" t="str">
        <x:v>后端服务和另行开展的测试</x:v>
      </x:c>
      <x:c r="H5" s="612" t="n">
        <x:v>2.5</x:v>
      </x:c>
      <x:c r="I5" s="612" t="n">
        <x:v>1.5</x:v>
      </x:c>
      <x:c r="J5" s="612" t="str">
        <x:v>❌</x:v>
      </x:c>
      <x:c r="K5" s="449" t="str">
        <x:v>1～2 种主要状态；标准组件；简单校验；单一角色</x:v>
      </x:c>
      <x:c r="L5" s="449" t="str">
        <x:v>3～5 种主要状态；条件联动；复杂表格、上传或多角色</x:v>
      </x:c>
      <x:c r="M5" s="449" t="str">
        <x:v>复杂状态机；实时或离线处理；跨界面状态恢复；严格无障碍或多终端适配</x:v>
      </x:c>
      <x:c r="N5" s="449" t="str">
        <x:v>包含多条可独立验收的交互流程，或跨多个应用</x:v>
      </x:c>
      <x:c r="O5"/>
      <x:c r="Q5"/>
      <x:c r="R5"/>
      <x:c r="T5"/>
      <x:c r="U5"/>
      <x:c r="V5"/>
    </x:row>
    <x:row r="6" ht="65" customHeight="1">
      <x:c r="A6" s="591" t="str">
        <x:v>TF-FRONTEND</x:v>
      </x:c>
      <x:c r="B6" s="490" t="str">
        <x:v>前端</x:v>
      </x:c>
      <x:c r="C6" s="591" t="str">
        <x:v>BU-UI-COMPONENT</x:v>
      </x:c>
      <x:c r="D6" s="490" t="str">
        <x:v>通用界面组件</x:v>
      </x:c>
      <x:c r="E6" s="598" t="str">
        <x:v>一个可独立发布和复用的组件；同一组件的紧密相关变体合并计算</x:v>
      </x:c>
      <x:c r="F6" s="598" t="str">
        <x:v>新建或调整时包括组件的属性、事件、状态、样式、主题适配、无障碍、示例和组件测试；接入复用时只包括当前项目的注册、主题适配、封装或必要验证</x:v>
      </x:c>
      <x:c r="G6" s="598" t="str">
        <x:v>具体界面的业务逻辑和普通组件调用</x:v>
      </x:c>
      <x:c r="H6" s="612" t="n">
        <x:v>2</x:v>
      </x:c>
      <x:c r="I6" s="612" t="n">
        <x:v>1</x:v>
      </x:c>
      <x:c r="J6" s="612" t="n">
        <x:v>0.5</x:v>
      </x:c>
      <x:c r="K6" s="449" t="str">
        <x:v>单一基础组件；状态和样式少；沿用现有设计规范</x:v>
      </x:c>
      <x:c r="L6" s="449" t="str">
        <x:v>一个组件及其紧密相关的状态变体；需要响应式、主题或无障碍适配</x:v>
      </x:c>
      <x:c r="M6" s="449" t="str">
        <x:v>复杂组合组件；自定义交互和状态管理；跨应用使用；涉及版本兼容或扩展机制</x:v>
      </x:c>
      <x:c r="N6" s="449" t="str">
        <x:v>包含多个可独立发布的组件，或需要建设完整组件库、设计规范体系</x:v>
      </x:c>
      <x:c r="O6"/>
      <x:c r="Q6"/>
      <x:c r="R6"/>
      <x:c r="T6"/>
      <x:c r="U6"/>
      <x:c r="V6"/>
    </x:row>
    <x:row r="7" ht="65" customHeight="1">
      <x:c r="A7" s="591" t="str">
        <x:v>TF-BACKEND</x:v>
      </x:c>
      <x:c r="B7" s="490" t="str">
        <x:v>后端</x:v>
      </x:c>
      <x:c r="C7" s="591" t="str">
        <x:v>BU-BUSINESS-SERVICE-API</x:v>
      </x:c>
      <x:c r="D7" s="490" t="str">
        <x:v>业务服务与接口</x:v>
      </x:c>
      <x:c r="E7" s="598" t="str">
        <x:v>一个业务操作及其直接相关的一组接口</x:v>
      </x:c>
      <x:c r="F7" s="598" t="str">
        <x:v>接口约定、业务校验、事务、权限、异常处理和单元验证</x:v>
      </x:c>
      <x:c r="G7" s="598" t="str">
        <x:v>前端界面和独立系统对接</x:v>
      </x:c>
      <x:c r="H7" s="612" t="n">
        <x:v>2.5</x:v>
      </x:c>
      <x:c r="I7" s="612" t="n">
        <x:v>1.5</x:v>
      </x:c>
      <x:c r="J7" s="612" t="str">
        <x:v>❌</x:v>
      </x:c>
      <x:c r="K7" s="449" t="str">
        <x:v>单个业务对象的增删改查；简单规则；单一事务；标准权限</x:v>
      </x:c>
      <x:c r="L7" s="449" t="str">
        <x:v>一个业务操作涉及多个业务对象；多条业务规则；异步处理或多角色权限</x:v>
      </x:c>
      <x:c r="M7" s="449" t="str">
        <x:v>单个业务操作需要跨服务编排、复杂状态机、幂等补偿、高并发或严格一致性</x:v>
      </x:c>
      <x:c r="N7" s="449" t="str">
        <x:v>包含多个可独立验收的业务操作，或需要跨多个服务分别交付</x:v>
      </x:c>
      <x:c r="Q7"/>
      <x:c r="R7"/>
      <x:c r="T7"/>
      <x:c r="U7"/>
      <x:c r="V7"/>
    </x:row>
    <x:row r="8" ht="65" customHeight="1">
      <x:c r="A8" s="591" t="str">
        <x:v>TF-BACKEND</x:v>
      </x:c>
      <x:c r="B8" s="490" t="str">
        <x:v>后端</x:v>
      </x:c>
      <x:c r="C8" s="591" t="str">
        <x:v>BU-BACKGROUND-JOB</x:v>
      </x:c>
      <x:c r="D8" s="490" t="str">
        <x:v>后台任务</x:v>
      </x:c>
      <x:c r="E8" s="598" t="str">
        <x:v>一个可独立调度、运行和恢复的后台任务</x:v>
      </x:c>
      <x:c r="F8" s="598" t="str">
        <x:v>调度入口、批次处理、幂等重试、失败恢复、运行记录和自测</x:v>
      </x:c>
      <x:c r="G8" s="598" t="str">
        <x:v>通用调度平台建设</x:v>
      </x:c>
      <x:c r="H8" s="612" t="n">
        <x:v>2.5</x:v>
      </x:c>
      <x:c r="I8" s="612" t="n">
        <x:v>1.5</x:v>
      </x:c>
      <x:c r="J8" s="612" t="str">
        <x:v>❌</x:v>
      </x:c>
      <x:c r="K8" s="449" t="str">
        <x:v>单源单目标；简单调度；小数据量</x:v>
      </x:c>
      <x:c r="L8" s="449" t="str">
        <x:v>多步骤依赖；重试续跑；中等数据量；需要监控</x:v>
      </x:c>
      <x:c r="M8" s="449" t="str">
        <x:v>分片并行；严格批次窗口；断点恢复；大数据量或复杂补偿</x:v>
      </x:c>
      <x:c r="N8" s="449" t="str">
        <x:v>包含多个可独立调度的任务，或需要建设调度平台本身</x:v>
      </x:c>
      <x:c r="Q8"/>
      <x:c r="R8"/>
      <x:c r="T8"/>
      <x:c r="U8"/>
      <x:c r="V8"/>
    </x:row>
    <x:row r="9" ht="65" customHeight="1">
      <x:c r="A9" s="591" t="str">
        <x:v>TF-BACKEND</x:v>
      </x:c>
      <x:c r="B9" s="490" t="str">
        <x:v>后端</x:v>
      </x:c>
      <x:c r="C9" s="591" t="str">
        <x:v>BU-EVENT-MESSAGE</x:v>
      </x:c>
      <x:c r="D9" s="490" t="str">
        <x:v>事件与消息处理</x:v>
      </x:c>
      <x:c r="E9" s="598" t="str">
        <x:v>一个事件方向下的一类消息及其处理流程</x:v>
      </x:c>
      <x:c r="F9" s="598" t="str">
        <x:v>消息格式和约定、发送与接收、路由、幂等、重试、死信处理、追踪和自测</x:v>
      </x:c>
      <x:c r="G9" s="598" t="str">
        <x:v>消息平台本身建设</x:v>
      </x:c>
      <x:c r="H9" s="612" t="n">
        <x:v>3</x:v>
      </x:c>
      <x:c r="I9" s="612" t="n">
        <x:v>2</x:v>
      </x:c>
      <x:c r="J9" s="612" t="str">
        <x:v>❌</x:v>
      </x:c>
      <x:c r="K9" s="449" t="str">
        <x:v>单生产者、单消费者；简单映射；允许重复</x:v>
      </x:c>
      <x:c r="L9" s="449" t="str">
        <x:v>单一事件方向下存在多个相关操作或消费者；需要顺序、重试、幂等或死信处理</x:v>
      </x:c>
      <x:c r="M9" s="449" t="str">
        <x:v>单一事件方向需要分布式事务、版本兼容、高吞吐或跨地域处理</x:v>
      </x:c>
      <x:c r="N9" s="449" t="str">
        <x:v>包含多个独立事件方向或消息类别，或需要建设消息平台本身</x:v>
      </x:c>
      <x:c r="Q9"/>
      <x:c r="R9"/>
      <x:c r="T9"/>
      <x:c r="U9"/>
      <x:c r="V9"/>
    </x:row>
    <x:row r="10" ht="65" customHeight="1">
      <x:c r="A10" s="591" t="str">
        <x:v>TF-DATA-REPORTING</x:v>
      </x:c>
      <x:c r="B10" s="490" t="str">
        <x:v>数据与报表</x:v>
      </x:c>
      <x:c r="C10" s="591" t="str">
        <x:v>BU-DATA-MODEL</x:v>
      </x:c>
      <x:c r="D10" s="490" t="str">
        <x:v>数据模型与存储结构</x:v>
      </x:c>
      <x:c r="E10" s="598" t="str">
        <x:v>一个业务对象，或一组必须同时演进的紧密相关对象</x:v>
      </x:c>
      <x:c r="F10" s="598" t="str">
        <x:v>存储结构、关系、约束、索引、访问层和结构演进验证</x:v>
      </x:c>
      <x:c r="G10" s="598" t="str">
        <x:v>批量业务数据迁移</x:v>
      </x:c>
      <x:c r="H10" s="612" t="n">
        <x:v>2.5</x:v>
      </x:c>
      <x:c r="I10" s="612" t="n">
        <x:v>1.5</x:v>
      </x:c>
      <x:c r="J10" s="612" t="str">
        <x:v>❌</x:v>
      </x:c>
      <x:c r="K10" s="449" t="str">
        <x:v>1～2 个对象；简单关系和索引</x:v>
      </x:c>
      <x:c r="L10" s="449" t="str">
        <x:v>一组必须同时演进的 3～6 个相关对象；多约束、索引和结构迁移</x:v>
      </x:c>
      <x:c r="M10" s="449" t="str">
        <x:v>单一对象组存在复杂层级或图关系、分区分片、历史版本或零停机结构演进</x:v>
      </x:c>
      <x:c r="N10" s="449" t="str">
        <x:v>包含多个可独立演进的业务对象组，或需要整体重构存储架构</x:v>
      </x:c>
      <x:c r="T10"/>
      <x:c r="U10"/>
      <x:c r="V10"/>
    </x:row>
    <x:row r="11" ht="65" customHeight="1">
      <x:c r="A11" s="591" t="str">
        <x:v>TF-DATA-REPORTING</x:v>
      </x:c>
      <x:c r="B11" s="490" t="str">
        <x:v>数据与报表</x:v>
      </x:c>
      <x:c r="C11" s="591" t="str">
        <x:v>BU-REPORT-METRIC</x:v>
      </x:c>
      <x:c r="D11" s="490" t="str">
        <x:v>报表与指标</x:v>
      </x:c>
      <x:c r="E11" s="598" t="str">
        <x:v>一张可独立验收的报表，或一组使用同一数据口径的紧密相关指标</x:v>
      </x:c>
      <x:c r="F11" s="598" t="str">
        <x:v>指标口径、查询聚合、筛选钻取、权限、展示、导出和结果校验</x:v>
      </x:c>
      <x:c r="G11" s="598" t="str">
        <x:v>新增数据采集流程</x:v>
      </x:c>
      <x:c r="H11" s="612" t="n">
        <x:v>2</x:v>
      </x:c>
      <x:c r="I11" s="612" t="n">
        <x:v>1.5</x:v>
      </x:c>
      <x:c r="J11" s="612" t="str">
        <x:v>❌</x:v>
      </x:c>
      <x:c r="K11" s="449" t="str">
        <x:v>单一来源；简单汇总；固定筛选</x:v>
      </x:c>
      <x:c r="L11" s="449" t="str">
        <x:v>一张报表或一组同口径指标需要多表关联、计算、钻取或按角色过滤</x:v>
      </x:c>
      <x:c r="M11" s="449" t="str">
        <x:v>单一验收范围需要统一多个来源口径、复杂计算、近实时、大数据量或严格审计</x:v>
      </x:c>
      <x:c r="N11" s="449" t="str">
        <x:v>包含多张可独立验收的报表，或多组相互独立的指标口径</x:v>
      </x:c>
      <x:c r="T11"/>
      <x:c r="U11"/>
      <x:c r="V11"/>
    </x:row>
    <x:row r="12" ht="65" customHeight="1">
      <x:c r="A12" s="591" t="str">
        <x:v>TF-DATA-REPORTING</x:v>
      </x:c>
      <x:c r="B12" s="490" t="str">
        <x:v>数据与报表</x:v>
      </x:c>
      <x:c r="C12" s="591" t="str">
        <x:v>BU-DATA-PIPELINE</x:v>
      </x:c>
      <x:c r="D12" s="490" t="str">
        <x:v>数据处理流程</x:v>
      </x:c>
      <x:c r="E12" s="598" t="str">
        <x:v>一条可独立运行和验证的源到目标处理流程</x:v>
      </x:c>
      <x:c r="F12" s="598" t="str">
        <x:v>抽取、映射、转换、质量校验、调度、重试恢复和监控</x:v>
      </x:c>
      <x:c r="G12" s="598" t="str">
        <x:v>一次性数据迁移和发布切换</x:v>
      </x:c>
      <x:c r="H12" s="612" t="n">
        <x:v>2.5</x:v>
      </x:c>
      <x:c r="I12" s="612" t="n">
        <x:v>1.5</x:v>
      </x:c>
      <x:c r="J12" s="612" t="str">
        <x:v>❌</x:v>
      </x:c>
      <x:c r="K12" s="449" t="str">
        <x:v>单源单目标；简单映射；全量处理</x:v>
      </x:c>
      <x:c r="L12" s="449" t="str">
        <x:v>一条流程包含多步转换、增量处理、质量规则和调度依赖</x:v>
      </x:c>
      <x:c r="M12" s="449" t="str">
        <x:v>单一流程涉及多源血缘、CDC、流批结合、回放补数或严格时效</x:v>
      </x:c>
      <x:c r="N12" s="449" t="str">
        <x:v>包含多条可独立调度的处理流程，或需要建设数据处理平台本身</x:v>
      </x:c>
      <x:c r="T12"/>
      <x:c r="U12"/>
      <x:c r="V12"/>
    </x:row>
    <x:row r="13" ht="65" customHeight="1">
      <x:c r="A13" s="591" t="str">
        <x:v>TF-SYSTEM-INTEGRATION</x:v>
      </x:c>
      <x:c r="B13" s="490" t="str">
        <x:v>系统集成</x:v>
      </x:c>
      <x:c r="C13" s="591" t="str">
        <x:v>BU-INTERNAL-INTEGRATION</x:v>
      </x:c>
      <x:c r="D13" s="490" t="str">
        <x:v>内部系统对接</x:v>
      </x:c>
      <x:c r="E13" s="598" t="str">
        <x:v>一个 Integration 记录所定义的单一交互方向</x:v>
      </x:c>
      <x:c r="F13" s="598" t="str">
        <x:v>接口定义、认证、数据转换与适配、幂等重试、异常处理和基本联调</x:v>
      </x:c>
      <x:c r="G13" s="598" t="str">
        <x:v>对端系统改造和另行开展的系统集成测试</x:v>
      </x:c>
      <x:c r="H13" s="612" t="n">
        <x:v>2</x:v>
      </x:c>
      <x:c r="I13" s="612" t="n">
        <x:v>1.5</x:v>
      </x:c>
      <x:c r="J13" s="612" t="n">
        <x:v>1</x:v>
      </x:c>
      <x:c r="K13" s="449" t="str">
        <x:v>同组织；稳定接口；单向；简单映射</x:v>
      </x:c>
      <x:c r="L13" s="449" t="str">
        <x:v>一个交互方向包含多个相关操作；跨团队；需要认证、重试或版本管理</x:v>
      </x:c>
      <x:c r="M13" s="449" t="str">
        <x:v>单一交互方向跨业务域；复杂一致性；联合发布或严格 SLA</x:v>
      </x:c>
      <x:c r="N13" s="449" t="str">
        <x:v>包含多个 Integration、多个交互方向，或对端系统改造也在本项目范围内</x:v>
      </x:c>
      <x:c r="T13"/>
      <x:c r="U13"/>
      <x:c r="V13"/>
    </x:row>
    <x:row r="14" ht="65" customHeight="1">
      <x:c r="A14" s="591" t="str">
        <x:v>TF-SYSTEM-INTEGRATION</x:v>
      </x:c>
      <x:c r="B14" s="490" t="str">
        <x:v>系统集成</x:v>
      </x:c>
      <x:c r="C14" s="591" t="str">
        <x:v>BU-EXTERNAL-INTEGRATION</x:v>
      </x:c>
      <x:c r="D14" s="490" t="str">
        <x:v>外部系统对接</x:v>
      </x:c>
      <x:c r="E14" s="598" t="str">
        <x:v>一个 Integration 记录所定义的单一交互方向</x:v>
      </x:c>
      <x:c r="F14" s="598" t="str">
        <x:v>外部接口定义、连接认证、数据转换与适配、幂等重试、异常处理、环境配置和基本联调</x:v>
      </x:c>
      <x:c r="G14" s="598" t="str">
        <x:v>外部方实现和另行开展的系统集成测试</x:v>
      </x:c>
      <x:c r="H14" s="612" t="n">
        <x:v>3</x:v>
      </x:c>
      <x:c r="I14" s="612" t="n">
        <x:v>2</x:v>
      </x:c>
      <x:c r="J14" s="612" t="n">
        <x:v>2</x:v>
      </x:c>
      <x:c r="K14" s="449" t="str">
        <x:v>文档完整；标准协议和认证；单向</x:v>
      </x:c>
      <x:c r="L14" s="449" t="str">
        <x:v>一个交互方向包含多个相关接口；复杂映射；幂等重试；依赖外部测试环境</x:v>
      </x:c>
      <x:c r="M14" s="449" t="str">
        <x:v>单一交互方向使用专有协议；复杂对账；多方协调；严格安全、性能或可用性</x:v>
      </x:c>
      <x:c r="N14" s="449" t="str">
        <x:v>包含多个 Integration、多个交互方向，或外部方实现也计入本项目范围</x:v>
      </x:c>
      <x:c r="T14"/>
      <x:c r="U14"/>
      <x:c r="V14"/>
    </x:row>
    <x:row r="15" ht="65" customHeight="1">
      <x:c r="A15" s="591" t="str">
        <x:v>TF-QUALITY</x:v>
      </x:c>
      <x:c r="B15" s="490" t="str">
        <x:v>质量验证</x:v>
      </x:c>
      <x:c r="C15" s="591" t="str">
        <x:v>BU-MANUAL-TESTING</x:v>
      </x:c>
      <x:c r="D15" s="490" t="str">
        <x:v>人工测试</x:v>
      </x:c>
      <x:c r="E15" s="598" t="str">
        <x:v>约 10 条紧密相关的测试场景，或一个可独立出具结果的测试范围</x:v>
      </x:c>
      <x:c r="F15" s="598" t="str">
        <x:v>场景设计、测试数据、步骤与预期、执行、缺陷复测和结果记录</x:v>
      </x:c>
      <x:c r="G15" s="598" t="str">
        <x:v>自动化脚本实现</x:v>
      </x:c>
      <x:c r="H15" s="612" t="n">
        <x:v>1.5</x:v>
      </x:c>
      <x:c r="I15" s="612" t="n">
        <x:v>1</x:v>
      </x:c>
      <x:c r="J15" s="612" t="str">
        <x:v>❌</x:v>
      </x:c>
      <x:c r="K15" s="449" t="str">
        <x:v>约 10 条线性场景；单角色；环境和数据稳定</x:v>
      </x:c>
      <x:c r="L15" s="449" t="str">
        <x:v>约 10 条场景中存在多分支、多角色、跨模块或专门数据准备</x:v>
      </x:c>
      <x:c r="M15" s="449" t="str">
        <x:v>单一测试范围涉及跨系统异步、复杂权限或数据矩阵，并需要合规证据</x:v>
      </x:c>
      <x:c r="N15" s="449" t="str">
        <x:v>场景明显超过约 10 条，且可以分成多个独立测试范围</x:v>
      </x:c>
      <x:c r="T15"/>
      <x:c r="U15"/>
      <x:c r="V15"/>
    </x:row>
    <x:row r="16" ht="65" customHeight="1">
      <x:c r="A16" s="591" t="str">
        <x:v>TF-QUALITY</x:v>
      </x:c>
      <x:c r="B16" s="490" t="str">
        <x:v>质量验证</x:v>
      </x:c>
      <x:c r="C16" s="591" t="str">
        <x:v>BU-AUTOMATION-FRAMEWORK</x:v>
      </x:c>
      <x:c r="D16" s="490" t="str">
        <x:v>自动化测试框架</x:v>
      </x:c>
      <x:c r="E16" s="598" t="str">
        <x:v>一个应用或一类测试层级的自动化测试框架</x:v>
      </x:c>
      <x:c r="F16" s="598" t="str">
        <x:v>框架初始化、环境、测试数据准备、模拟服务、报告、CI 接入和示例流程</x:v>
      </x:c>
      <x:c r="G16" s="598" t="str">
        <x:v>大批量业务测试用例</x:v>
      </x:c>
      <x:c r="H16" s="612" t="n">
        <x:v>4</x:v>
      </x:c>
      <x:c r="I16" s="612" t="n">
        <x:v>2.5</x:v>
      </x:c>
      <x:c r="J16" s="612" t="n">
        <x:v>2</x:v>
      </x:c>
      <x:c r="K16" s="449" t="str">
        <x:v>标准技术栈；单应用；基础 CI 执行</x:v>
      </x:c>
      <x:c r="L16" s="449" t="str">
        <x:v>单应用包含 UI 与 API 多层、测试数据准备、报告和并行执行</x:v>
      </x:c>
      <x:c r="M16" s="449" t="str">
        <x:v>单应用需要多平台、服务虚拟化、大规模并行或复杂环境隔离</x:v>
      </x:c>
      <x:c r="N16" s="449" t="str">
        <x:v>包含多个应用，或多类彼此独立的自动化测试框架</x:v>
      </x:c>
      <x:c r="T16"/>
      <x:c r="U16"/>
      <x:c r="V16"/>
    </x:row>
    <x:row r="17" ht="65" customHeight="1">
      <x:c r="A17" s="591" t="str">
        <x:v>TF-QUALITY</x:v>
      </x:c>
      <x:c r="B17" s="490" t="str">
        <x:v>质量验证</x:v>
      </x:c>
      <x:c r="C17" s="591" t="str">
        <x:v>BU-AUTOMATION-CASES</x:v>
      </x:c>
      <x:c r="D17" s="490" t="str">
        <x:v>自动化测试用例</x:v>
      </x:c>
      <x:c r="E17" s="598" t="str">
        <x:v>约 10 条紧密相关且可重复执行的自动化场景</x:v>
      </x:c>
      <x:c r="F17" s="598" t="str">
        <x:v>相关自动化场景、测试数据准备、检查条件、执行和结果接入</x:v>
      </x:c>
      <x:c r="G17" s="598" t="str">
        <x:v>自动化测试框架建设</x:v>
      </x:c>
      <x:c r="H17" s="612" t="n">
        <x:v>2</x:v>
      </x:c>
      <x:c r="I17" s="612" t="n">
        <x:v>1.5</x:v>
      </x:c>
      <x:c r="J17" s="612" t="str">
        <x:v>❌</x:v>
      </x:c>
      <x:c r="K17" s="449" t="str">
        <x:v>约 10 条稳定 API 或简单 UI 场景；固定测试数据</x:v>
      </x:c>
      <x:c r="L17" s="449" t="str">
        <x:v>约 10 条场景存在分支流程、动态数据、异步等待或模拟外部依赖</x:v>
      </x:c>
      <x:c r="M17" s="449" t="str">
        <x:v>单一场景组贯穿多个系统，存在复杂流程协同、外部依赖或非功能检查</x:v>
      </x:c>
      <x:c r="N17" s="449" t="str">
        <x:v>场景明显超过约 10 条，或可以分成多个独立场景组</x:v>
      </x:c>
      <x:c r="T17"/>
      <x:c r="U17"/>
      <x:c r="V17"/>
    </x:row>
    <x:row r="18" ht="65" customHeight="1">
      <x:c r="A18" s="591" t="str">
        <x:v>TF-QUALITY</x:v>
      </x:c>
      <x:c r="B18" s="490" t="str">
        <x:v>质量验证</x:v>
      </x:c>
      <x:c r="C18" s="591" t="str">
        <x:v>BU-PERFORMANCE-TESTING</x:v>
      </x:c>
      <x:c r="D18" s="490" t="str">
        <x:v>性能与容量测试</x:v>
      </x:c>
      <x:c r="E18" s="598" t="str">
        <x:v>一个可独立出具结论的负载模型或测试范围</x:v>
      </x:c>
      <x:c r="F18" s="598" t="str">
        <x:v>负载模型、脚本、数据、执行、指标分析和报告</x:v>
      </x:c>
      <x:c r="G18" s="598" t="str">
        <x:v>性能问题修复和生产扩容实施</x:v>
      </x:c>
      <x:c r="H18" s="612" t="n">
        <x:v>2.5</x:v>
      </x:c>
      <x:c r="I18" s="612" t="n">
        <x:v>1.5</x:v>
      </x:c>
      <x:c r="J18" s="612" t="str">
        <x:v>❌</x:v>
      </x:c>
      <x:c r="K18" s="449" t="str">
        <x:v>单接口或界面；单一负载模型；标准阈值</x:v>
      </x:c>
      <x:c r="L18" s="449" t="str">
        <x:v>一个负载模型包含多场景、多指标、代表性数据和调优复测</x:v>
      </x:c>
      <x:c r="M18" s="449" t="str">
        <x:v>单一测试范围涉及分布式链路、峰值和长稳模型、容量评估或生产级数据规模</x:v>
      </x:c>
      <x:c r="N18" s="449" t="str">
        <x:v>包含多个独立负载模型，或需要长期专项调优</x:v>
      </x:c>
      <x:c r="T18"/>
      <x:c r="U18"/>
      <x:c r="V18"/>
    </x:row>
    <x:row r="19" ht="65" customHeight="1">
      <x:c r="A19" s="591" t="str">
        <x:v>TF-QUALITY</x:v>
      </x:c>
      <x:c r="B19" s="490" t="str">
        <x:v>质量验证</x:v>
      </x:c>
      <x:c r="C19" s="591" t="str">
        <x:v>BU-SECURITY-PRIVACY-TESTING</x:v>
      </x:c>
      <x:c r="D19" s="490" t="str">
        <x:v>安全与隐私测试</x:v>
      </x:c>
      <x:c r="E19" s="598" t="str">
        <x:v>一个应用或一条数据流的专项测试范围</x:v>
      </x:c>
      <x:c r="F19" s="598" t="str">
        <x:v>测试范围、测试用例或工具配置、执行、证据和报告</x:v>
      </x:c>
      <x:c r="G19" s="598" t="str">
        <x:v>安全问题整改</x:v>
      </x:c>
      <x:c r="H19" s="612" t="n">
        <x:v>3</x:v>
      </x:c>
      <x:c r="I19" s="612" t="n">
        <x:v>2</x:v>
      </x:c>
      <x:c r="J19" s="612" t="str">
        <x:v>❌</x:v>
      </x:c>
      <x:c r="K19" s="449" t="str">
        <x:v>标准扫描；单应用；常见配置检查</x:v>
      </x:c>
      <x:c r="L19" s="449" t="str">
        <x:v>认证授权、API 和数据流专项验证；部分人工检查</x:v>
      </x:c>
      <x:c r="M19" s="449" t="str">
        <x:v>高敏感数据；威胁建模；较深人工验证；需要较强合规证据</x:v>
      </x:c>
      <x:c r="N19" s="449" t="str">
        <x:v>需要由独立专业团队开展正式渗透测试或认证，或包含多个独立测试范围</x:v>
      </x:c>
      <x:c r="T19"/>
      <x:c r="U19"/>
      <x:c r="V19"/>
    </x:row>
    <x:row r="20" ht="65" customHeight="1">
      <x:c r="A20" s="591" t="str">
        <x:v>TF-QUALITY</x:v>
      </x:c>
      <x:c r="B20" s="490" t="str">
        <x:v>质量验证</x:v>
      </x:c>
      <x:c r="C20" s="591" t="str">
        <x:v>BU-COMPATIBILITY-ACCESSIBILITY-TESTING</x:v>
      </x:c>
      <x:c r="D20" s="490" t="str">
        <x:v>兼容性与无障碍测试</x:v>
      </x:c>
      <x:c r="E20" s="598" t="str">
        <x:v>一个明确的兼容矩阵或无障碍检查范围</x:v>
      </x:c>
      <x:c r="F20" s="598" t="str">
        <x:v>兼容范围或无障碍标准、场景、执行、问题和证据</x:v>
      </x:c>
      <x:c r="G20" s="598" t="str">
        <x:v>产品问题修复</x:v>
      </x:c>
      <x:c r="H20" s="612" t="n">
        <x:v>2</x:v>
      </x:c>
      <x:c r="I20" s="612" t="n">
        <x:v>1.5</x:v>
      </x:c>
      <x:c r="J20" s="612" t="str">
        <x:v>❌</x:v>
      </x:c>
      <x:c r="K20" s="449" t="str">
        <x:v>单浏览器或设备；标准检查</x:v>
      </x:c>
      <x:c r="L20" s="449" t="str">
        <x:v>一个明确矩阵内的多浏览器或设备、响应式、键盘和读屏验证</x:v>
      </x:c>
      <x:c r="M20" s="449" t="str">
        <x:v>单一产品范围涉及较大兼容矩阵、遗留环境或较深入的无障碍检查</x:v>
      </x:c>
      <x:c r="N20" s="449" t="str">
        <x:v>包含多个独立产品或平台矩阵，或需要正式无障碍审计</x:v>
      </x:c>
      <x:c r="T20"/>
      <x:c r="U20"/>
      <x:c r="V20"/>
    </x:row>
    <x:row r="21" ht="65" customHeight="1">
      <x:c r="A21" s="591" t="str">
        <x:v>TF-SHARED-TECH</x:v>
      </x:c>
      <x:c r="B21" s="490" t="str">
        <x:v>共性技术能力</x:v>
      </x:c>
      <x:c r="C21" s="591" t="str">
        <x:v>BU-I18N</x:v>
      </x:c>
      <x:c r="D21" s="490" t="str">
        <x:v>国际化支持</x:v>
      </x:c>
      <x:c r="E21" s="598" t="str">
        <x:v>一个应用或一个可独立发布的模块</x:v>
      </x:c>
      <x:c r="F21" s="598" t="str">
        <x:v>资源组织、语言切换、格式化、回退、伪本地化和基本验证</x:v>
      </x:c>
      <x:c r="G21" s="598" t="str">
        <x:v>业务内容翻译</x:v>
      </x:c>
      <x:c r="H21" s="612" t="n">
        <x:v>3</x:v>
      </x:c>
      <x:c r="I21" s="612" t="n">
        <x:v>1.5</x:v>
      </x:c>
      <x:c r="J21" s="612" t="n">
        <x:v>1</x:v>
      </x:c>
      <x:c r="K21" s="449" t="str">
        <x:v>资源提取；单一新增语言；标准格式</x:v>
      </x:c>
      <x:c r="L21" s="449" t="str">
        <x:v>一个应用或模块涉及复数、日期、货币和本地内容差异</x:v>
      </x:c>
      <x:c r="M21" s="449" t="str">
        <x:v>单一应用或模块涉及多语言工作流、从右向左书写、大量硬编码改造或动态内容</x:v>
      </x:c>
      <x:c r="N21" s="449" t="str">
        <x:v>包含多个可独立发布的应用或模块</x:v>
      </x:c>
      <x:c r="T21"/>
      <x:c r="U21"/>
      <x:c r="V21"/>
    </x:row>
    <x:row r="22" ht="65" customHeight="1">
      <x:c r="A22" s="591" t="str">
        <x:v>TF-SHARED-TECH</x:v>
      </x:c>
      <x:c r="B22" s="490" t="str">
        <x:v>共性技术能力</x:v>
      </x:c>
      <x:c r="C22" s="591" t="str">
        <x:v>BU-IDENTITY-ACCESS</x:v>
      </x:c>
      <x:c r="D22" s="490" t="str">
        <x:v>身份与权限管理</x:v>
      </x:c>
      <x:c r="E22" s="598" t="str">
        <x:v>一个资源范围内的一组角色、权限和策略</x:v>
      </x:c>
      <x:c r="F22" s="598" t="str">
        <x:v>角色、策略、授权规则、配置、审计挂接和权限验证</x:v>
      </x:c>
      <x:c r="G22" s="598" t="str">
        <x:v>独立身份系统对接</x:v>
      </x:c>
      <x:c r="H22" s="612" t="n">
        <x:v>3</x:v>
      </x:c>
      <x:c r="I22" s="612" t="n">
        <x:v>2</x:v>
      </x:c>
      <x:c r="J22" s="612" t="n">
        <x:v>1.5</x:v>
      </x:c>
      <x:c r="K22" s="449" t="str">
        <x:v>少量角色；标准 RBAC；单应用</x:v>
      </x:c>
      <x:c r="L22" s="449" t="str">
        <x:v>单一资源范围存在多角色、多资源或租户，并接入统一身份平台</x:v>
      </x:c>
      <x:c r="M22" s="449" t="str">
        <x:v>单一资源范围涉及 ABAC、委托授权、职责分离或跨系统权限一致性</x:v>
      </x:c>
      <x:c r="N22" s="449" t="str">
        <x:v>包含多个独立资源域，或需要改造统一身份平台本身</x:v>
      </x:c>
      <x:c r="T22"/>
      <x:c r="U22"/>
      <x:c r="V22"/>
    </x:row>
    <x:row r="23" ht="65" customHeight="1">
      <x:c r="A23" s="591" t="str">
        <x:v>TF-SHARED-TECH</x:v>
      </x:c>
      <x:c r="B23" s="490" t="str">
        <x:v>共性技术能力</x:v>
      </x:c>
      <x:c r="C23" s="591" t="str">
        <x:v>BU-SECURITY-PRIVACY</x:v>
      </x:c>
      <x:c r="D23" s="490" t="str">
        <x:v>安全与隐私保护</x:v>
      </x:c>
      <x:c r="E23" s="598" t="str">
        <x:v>一条数据流或一个明确的数据处理范围</x:v>
      </x:c>
      <x:c r="F23" s="598" t="str">
        <x:v>加密、脱敏、同意、留存或访问控制的实现、配置和基本验证</x:v>
      </x:c>
      <x:c r="G23" s="598" t="str">
        <x:v>另行开展的安全与隐私测试或认证</x:v>
      </x:c>
      <x:c r="H23" s="612" t="n">
        <x:v>3</x:v>
      </x:c>
      <x:c r="I23" s="612" t="n">
        <x:v>2</x:v>
      </x:c>
      <x:c r="J23" s="612" t="n">
        <x:v>1.5</x:v>
      </x:c>
      <x:c r="K23" s="449" t="str">
        <x:v>单一数据流；标准加密、脱敏或访问控制</x:v>
      </x:c>
      <x:c r="L23" s="449" t="str">
        <x:v>单一处理范围存在多跳数据流、数据分级、同意和审计要求</x:v>
      </x:c>
      <x:c r="M23" s="449" t="str">
        <x:v>单一处理范围涉及高敏感数据、跨境、复杂密钥管理或强监管要求</x:v>
      </x:c>
      <x:c r="N23" s="449" t="str">
        <x:v>包含多条独立数据流，或需要建设平台级安全能力</x:v>
      </x:c>
      <x:c r="T23"/>
      <x:c r="U23"/>
      <x:c r="V23"/>
    </x:row>
    <x:row r="24" ht="65" customHeight="1">
      <x:c r="A24" s="591" t="str">
        <x:v>TF-SHARED-TECH</x:v>
      </x:c>
      <x:c r="B24" s="490" t="str">
        <x:v>共性技术能力</x:v>
      </x:c>
      <x:c r="C24" s="591" t="str">
        <x:v>BU-OBSERVABILITY-AUDIT</x:v>
      </x:c>
      <x:c r="D24" s="490" t="str">
        <x:v>监控、追踪与审计</x:v>
      </x:c>
      <x:c r="E24" s="598" t="str">
        <x:v>一个服务或一条可独立观测的调用链</x:v>
      </x:c>
      <x:c r="F24" s="598" t="str">
        <x:v>日志、指标、追踪、审计事件、关联标识、基础看板、告警和验证</x:v>
      </x:c>
      <x:c r="G24" s="598" t="str">
        <x:v>监控平台建设</x:v>
      </x:c>
      <x:c r="H24" s="612" t="n">
        <x:v>2</x:v>
      </x:c>
      <x:c r="I24" s="612" t="n">
        <x:v>1.5</x:v>
      </x:c>
      <x:c r="J24" s="612" t="n">
        <x:v>1</x:v>
      </x:c>
      <x:c r="K24" s="449" t="str">
        <x:v>标准日志、指标和健康检查</x:v>
      </x:c>
      <x:c r="L24" s="449" t="str">
        <x:v>单一服务或调用链需要分布式追踪、告警、SLO 和审计关联</x:v>
      </x:c>
      <x:c r="M24" s="449" t="str">
        <x:v>单一服务或调用链涉及跨系统关联、高基数、长期留存或合规级防篡改</x:v>
      </x:c>
      <x:c r="N24" s="449" t="str">
        <x:v>包含多个可独立观测的服务或调用链，或需要建设监控平台</x:v>
      </x:c>
      <x:c r="T24"/>
      <x:c r="U24"/>
      <x:c r="V24"/>
    </x:row>
    <x:row r="25" ht="65" customHeight="1">
      <x:c r="A25" s="591" t="str">
        <x:v>TF-SHARED-TECH</x:v>
      </x:c>
      <x:c r="B25" s="490" t="str">
        <x:v>共性技术能力</x:v>
      </x:c>
      <x:c r="C25" s="591" t="str">
        <x:v>BU-PERFORMANCE-RELIABILITY</x:v>
      </x:c>
      <x:c r="D25" s="490" t="str">
        <x:v>性能与稳定性保障</x:v>
      </x:c>
      <x:c r="E25" s="598" t="str">
        <x:v>一个组件或一条调用链上的一组保障措施</x:v>
      </x:c>
      <x:c r="F25" s="598" t="str">
        <x:v>缓存、超时、重试、熔断、限流、降级和基本验证</x:v>
      </x:c>
      <x:c r="G25" s="598" t="str">
        <x:v>另行开展的性能与容量测试</x:v>
      </x:c>
      <x:c r="H25" s="612" t="n">
        <x:v>2.5</x:v>
      </x:c>
      <x:c r="I25" s="612" t="n">
        <x:v>1.5</x:v>
      </x:c>
      <x:c r="J25" s="612" t="n">
        <x:v>1.5</x:v>
      </x:c>
      <x:c r="K25" s="449" t="str">
        <x:v>单组件缓存、超时或重试</x:v>
      </x:c>
      <x:c r="L25" s="449" t="str">
        <x:v>单一调用链需要限流、熔断、降级和多个依赖协同</x:v>
      </x:c>
      <x:c r="M25" s="449" t="str">
        <x:v>单一调用链需要复杂限流降级、严格 SLA 或复杂故障恢复</x:v>
      </x:c>
      <x:c r="N25" s="449" t="str">
        <x:v>涉及多级容灾、跨地域，或包含多个可独立治理的调用链</x:v>
      </x:c>
      <x:c r="T25"/>
      <x:c r="U25"/>
      <x:c r="V25"/>
    </x:row>
    <x:row r="26" ht="65" customHeight="1">
      <x:c r="A26" s="591" t="str">
        <x:v>TF-SHARED-TECH</x:v>
      </x:c>
      <x:c r="B26" s="490" t="str">
        <x:v>共性技术能力</x:v>
      </x:c>
      <x:c r="C26" s="591" t="str">
        <x:v>BU-SHARED-TECH-COMPONENT</x:v>
      </x:c>
      <x:c r="D26" s="490" t="str">
        <x:v>公共技术组件</x:v>
      </x:c>
      <x:c r="E26" s="598" t="str">
        <x:v>一个可独立发布、版本管理和复用的技术组件</x:v>
      </x:c>
      <x:c r="F26" s="598" t="str">
        <x:v>新建或调整时包括稳定接口、可复用实现或配置、版本、说明和单元验证；接入复用时包括当前项目的依赖引入、注册、配置、适配和验证</x:v>
      </x:c>
      <x:c r="G26" s="598" t="str">
        <x:v>具体业务功能和通用界面组件</x:v>
      </x:c>
      <x:c r="H26" s="612" t="n">
        <x:v>2.5</x:v>
      </x:c>
      <x:c r="I26" s="612" t="n">
        <x:v>1.5</x:v>
      </x:c>
      <x:c r="J26" s="612" t="n">
        <x:v>1</x:v>
      </x:c>
      <x:c r="K26" s="449" t="str">
        <x:v>单应用内复用；接口简单</x:v>
      </x:c>
      <x:c r="L26" s="449" t="str">
        <x:v>一个组件需要多模块复用、配置、说明和兼容处理</x:v>
      </x:c>
      <x:c r="M26" s="449" t="str">
        <x:v>单一组件涉及跨应用版本治理、扩展机制或严格向后兼容</x:v>
      </x:c>
      <x:c r="N26" s="449" t="str">
        <x:v>包含多个可独立发布的组件，或需要建设平台级组件体系</x:v>
      </x:c>
      <x:c r="T26"/>
      <x:c r="U26"/>
      <x:c r="V26"/>
    </x:row>
    <x:row r="27" ht="65" customHeight="1">
      <x:c r="A27" s="591" t="str">
        <x:v>TF-SHARED-TECH</x:v>
      </x:c>
      <x:c r="B27" s="490" t="str">
        <x:v>共性技术能力</x:v>
      </x:c>
      <x:c r="C27" s="591" t="str">
        <x:v>BU-CONFIG-FEATURE-FLAG</x:v>
      </x:c>
      <x:c r="D27" s="490" t="str">
        <x:v>配置与功能开关</x:v>
      </x:c>
      <x:c r="E27" s="598" t="str">
        <x:v>一个应用中的一组紧密相关配置或开关</x:v>
      </x:c>
      <x:c r="F27" s="598" t="str">
        <x:v>配置结构、默认值、环境覆盖、开关生命周期、权限审计、回退和验证</x:v>
      </x:c>
      <x:c r="G27" s="598" t="str">
        <x:v>开关控制的业务功能</x:v>
      </x:c>
      <x:c r="H27" s="612" t="n">
        <x:v>2</x:v>
      </x:c>
      <x:c r="I27" s="612" t="n">
        <x:v>1.5</x:v>
      </x:c>
      <x:c r="J27" s="612" t="n">
        <x:v>1</x:v>
      </x:c>
      <x:c r="K27" s="449" t="str">
        <x:v>静态配置或单一开关</x:v>
      </x:c>
      <x:c r="L27" s="449" t="str">
        <x:v>一个应用内按环境、租户或角色控制，并需要审计</x:v>
      </x:c>
      <x:c r="M27" s="449" t="str">
        <x:v>单一配置范围涉及灰度发布、开关依赖、紧急止损或跨地域一致性</x:v>
      </x:c>
      <x:c r="N27" s="449" t="str">
        <x:v>包含多组独立配置或开关体系，或需要建设配置平台本身</x:v>
      </x:c>
    </x:row>
    <x:row r="28" ht="65" customHeight="1">
      <x:c r="A28" s="591" t="str">
        <x:v>TF-ENGINEERING-PLATFORM</x:v>
      </x:c>
      <x:c r="B28" s="490" t="str">
        <x:v>工程平台</x:v>
      </x:c>
      <x:c r="C28" s="591" t="str">
        <x:v>BU-APP-BOOTSTRAP</x:v>
      </x:c>
      <x:c r="D28" s="490" t="str">
        <x:v>应用工程初始化</x:v>
      </x:c>
      <x:c r="E28" s="598" t="str">
        <x:v>一个仓库、应用或可独立构建的模块</x:v>
      </x:c>
      <x:c r="F28" s="598" t="str">
        <x:v>新建或调整时包括仓库或模块结构、依赖管理、构建约定、基础配置和测试入口；接入复用时只包括采用现有工程模板或开发平台所需的项目配置和验证</x:v>
      </x:c>
      <x:c r="G28" s="598" t="str">
        <x:v>业务功能</x:v>
      </x:c>
      <x:c r="H28" s="612" t="n">
        <x:v>2.5</x:v>
      </x:c>
      <x:c r="I28" s="612" t="n">
        <x:v>1.5</x:v>
      </x:c>
      <x:c r="J28" s="612" t="n">
        <x:v>1</x:v>
      </x:c>
      <x:c r="K28" s="449" t="str">
        <x:v>标准工程模板；单模块；默认约定</x:v>
      </x:c>
      <x:c r="L28" s="449" t="str">
        <x:v>一个仓库或应用包含多模块、自定义工程规范和多环境配置</x:v>
      </x:c>
      <x:c r="M28" s="449" t="str">
        <x:v>单一应用需要统一接入安全、监控和治理机制，并有较多工程定制</x:v>
      </x:c>
      <x:c r="N28" s="449" t="str">
        <x:v>包含多个独立仓库或应用，或需要建设组织级工程模板平台</x:v>
      </x:c>
    </x:row>
    <x:row r="29" ht="65" customHeight="1">
      <x:c r="A29" s="591" t="str">
        <x:v>TF-ENGINEERING-PLATFORM</x:v>
      </x:c>
      <x:c r="B29" s="490" t="str">
        <x:v>工程平台</x:v>
      </x:c>
      <x:c r="C29" s="591" t="str">
        <x:v>BU-BUILD-DEPLOY-PIPELINE</x:v>
      </x:c>
      <x:c r="D29" s="490" t="str">
        <x:v>构建与部署流水线</x:v>
      </x:c>
      <x:c r="E29" s="598" t="str">
        <x:v>一条可独立构建、部署和回滚的流水线</x:v>
      </x:c>
      <x:c r="F29" s="598" t="str">
        <x:v>构建、测试、制品、部署、审批、密钥、回滚步骤和基本验证</x:v>
      </x:c>
      <x:c r="G29" s="598" t="str">
        <x:v>基础设施资源创建</x:v>
      </x:c>
      <x:c r="H29" s="612" t="n">
        <x:v>2.5</x:v>
      </x:c>
      <x:c r="I29" s="612" t="n">
        <x:v>1.5</x:v>
      </x:c>
      <x:c r="J29" s="612" t="n">
        <x:v>1</x:v>
      </x:c>
      <x:c r="K29" s="449" t="str">
        <x:v>单应用；标准构建、测试和部署</x:v>
      </x:c>
      <x:c r="L29" s="449" t="str">
        <x:v>单应用涉及多环境、审批、制品和密钥管理</x:v>
      </x:c>
      <x:c r="M29" s="449" t="str">
        <x:v>单应用需要蓝绿或金丝雀发布、自动回滚或合规检查</x:v>
      </x:c>
      <x:c r="N29" s="449" t="str">
        <x:v>包含多条独立流水线、多应用或多地域整体改造</x:v>
      </x:c>
    </x:row>
    <x:row r="30" ht="65" customHeight="1">
      <x:c r="A30" s="591" t="str">
        <x:v>TF-ENGINEERING-PLATFORM</x:v>
      </x:c>
      <x:c r="B30" s="490" t="str">
        <x:v>工程平台</x:v>
      </x:c>
      <x:c r="C30" s="591" t="str">
        <x:v>BU-RUNTIME-ENV</x:v>
      </x:c>
      <x:c r="D30" s="490" t="str">
        <x:v>运行环境</x:v>
      </x:c>
      <x:c r="E30" s="598" t="str">
        <x:v>一个项目环境，例如开发、测试或生产环境</x:v>
      </x:c>
      <x:c r="F30" s="598" t="str">
        <x:v>运行时、中间件依赖、访问、配置、数据初始化和健康检查</x:v>
      </x:c>
      <x:c r="G30" s="598" t="str">
        <x:v>应用功能和独立基础设施资源</x:v>
      </x:c>
      <x:c r="H30" s="612" t="n">
        <x:v>2</x:v>
      </x:c>
      <x:c r="I30" s="612" t="n">
        <x:v>1.5</x:v>
      </x:c>
      <x:c r="J30" s="612" t="n">
        <x:v>1</x:v>
      </x:c>
      <x:c r="K30" s="449" t="str">
        <x:v>一个开发或测试环境；标准运行时</x:v>
      </x:c>
      <x:c r="L30" s="449" t="str">
        <x:v>单一环境包含多服务、共享依赖、数据初始化和权限配置</x:v>
      </x:c>
      <x:c r="M30" s="449" t="str">
        <x:v>单一生产环境涉及复杂网络、安全和外部依赖</x:v>
      </x:c>
      <x:c r="N30" s="449" t="str">
        <x:v>包含多个独立环境，或生产级高可用需要拆为基础设施任务</x:v>
      </x:c>
    </x:row>
    <x:row r="31" ht="65" customHeight="1">
      <x:c r="A31" s="591" t="str">
        <x:v>TF-ENGINEERING-PLATFORM</x:v>
      </x:c>
      <x:c r="B31" s="490" t="str">
        <x:v>工程平台</x:v>
      </x:c>
      <x:c r="C31" s="591" t="str">
        <x:v>BU-INFRA-RESOURCE</x:v>
      </x:c>
      <x:c r="D31" s="490" t="str">
        <x:v>基础设施资源</x:v>
      </x:c>
      <x:c r="E31" s="598" t="str">
        <x:v>一个标准资源，或一组必须共同交付的关联资源</x:v>
      </x:c>
      <x:c r="F31" s="598" t="str">
        <x:v>IaC、计算、存储、网络、安全、备份、监控和基础验证</x:v>
      </x:c>
      <x:c r="G31" s="598" t="str">
        <x:v>应用部署和业务配置</x:v>
      </x:c>
      <x:c r="H31" s="612" t="n">
        <x:v>3</x:v>
      </x:c>
      <x:c r="I31" s="612" t="n">
        <x:v>2</x:v>
      </x:c>
      <x:c r="J31" s="612" t="n">
        <x:v>1.5</x:v>
      </x:c>
      <x:c r="K31" s="449" t="str">
        <x:v>一个标准托管资源；单环境</x:v>
      </x:c>
      <x:c r="L31" s="449" t="str">
        <x:v>一组必须共同交付的关联资源，包含 IaC、网络、备份和监控</x:v>
      </x:c>
      <x:c r="M31" s="449" t="str">
        <x:v>单地域高可用、私网互联，或有严格安全和合规要求</x:v>
      </x:c>
      <x:c r="N31" s="449" t="str">
        <x:v>包含多地域、容灾方案，或多个可独立交付的资源组</x:v>
      </x:c>
    </x:row>
    <x:row r="32" ht="65" customHeight="1">
      <x:c r="A32" s="591" t="str">
        <x:v>TF-ENGINEERING-PLATFORM</x:v>
      </x:c>
      <x:c r="B32" s="490" t="str">
        <x:v>工程平台</x:v>
      </x:c>
      <x:c r="C32" s="591" t="str">
        <x:v>BU-DEV-TOOLS-STANDARDS</x:v>
      </x:c>
      <x:c r="D32" s="490" t="str">
        <x:v>开发工具与工程规范</x:v>
      </x:c>
      <x:c r="E32" s="598" t="str">
        <x:v>一个代码库，或一个采用同一技术栈的工程范围</x:v>
      </x:c>
      <x:c r="F32" s="598" t="str">
        <x:v>格式、Lint、静态分析、提交检查、质量门禁、配置和使用说明</x:v>
      </x:c>
      <x:c r="G32" s="598" t="str">
        <x:v>业务测试用例</x:v>
      </x:c>
      <x:c r="H32" s="612" t="n">
        <x:v>1.5</x:v>
      </x:c>
      <x:c r="I32" s="612" t="n">
        <x:v>1</x:v>
      </x:c>
      <x:c r="J32" s="612" t="n">
        <x:v>0.5</x:v>
      </x:c>
      <x:c r="K32" s="449" t="str">
        <x:v>单技术栈的格式、Lint 和基础规则</x:v>
      </x:c>
      <x:c r="L32" s="449" t="str">
        <x:v>一个代码库需要提交检查、静态分析和质量门禁</x:v>
      </x:c>
      <x:c r="M32" s="449" t="str">
        <x:v>单一代码库涉及多语言、自定义工具或较强治理要求</x:v>
      </x:c>
      <x:c r="N32" s="449" t="str">
        <x:v>包含多个代码库、互不相关的技术栈，或需要建设企业级规则平台</x:v>
      </x:c>
    </x:row>
    <x:row r="33" ht="65" customHeight="1">
      <x:c r="A33" s="591" t="str">
        <x:v>TF-DATA-MIGRATION</x:v>
      </x:c>
      <x:c r="B33" s="490" t="str">
        <x:v>数据迁移</x:v>
      </x:c>
      <x:c r="C33" s="591" t="str">
        <x:v>BU-DATA-MIGRATION</x:v>
      </x:c>
      <x:c r="D33" s="490" t="str">
        <x:v>数据迁移</x:v>
      </x:c>
      <x:c r="E33" s="598" t="str">
        <x:v>一个源对象到一个目标对象的迁移</x:v>
      </x:c>
      <x:c r="F33" s="598" t="str">
        <x:v>源目标映射、转换、迁移执行、校验对账、异常处理和必要演练</x:v>
      </x:c>
      <x:c r="G33" s="598" t="str">
        <x:v>发布与切换、运行环境建设和持续同步平台建设</x:v>
      </x:c>
      <x:c r="H33" s="612" t="n">
        <x:v>2</x:v>
      </x:c>
      <x:c r="I33" s="612" t="n">
        <x:v>1.5</x:v>
      </x:c>
      <x:c r="J33" s="612" t="str">
        <x:v>❌</x:v>
      </x:c>
      <x:c r="K33" s="449" t="str">
        <x:v>单一源目标对象；一对一映射；数据干净；小规模；允许停机</x:v>
      </x:c>
      <x:c r="L33" s="449" t="str">
        <x:v>单一源目标对象需要转换清洗、中等规模、多次演练和核对</x:v>
      </x:c>
      <x:c r="M33" s="449" t="str">
        <x:v>单一源目标对象数据质量差、规模较大，并需要复杂回滚和对账</x:v>
      </x:c>
      <x:c r="N33" s="449" t="str">
        <x:v>包含多个源目标对象、持续同步，或大规模低停机迁移</x:v>
      </x:c>
    </x:row>
    <x:row r="34" ht="65" customHeight="1">
      <x:c r="A34" s="591" t="str">
        <x:v>TF-RELEASE-CUTOVER</x:v>
      </x:c>
      <x:c r="B34" s="490" t="str">
        <x:v>发布与切换</x:v>
      </x:c>
      <x:c r="C34" s="591" t="str">
        <x:v>BU-RELEASE-CUTOVER</x:v>
      </x:c>
      <x:c r="D34" s="490" t="str">
        <x:v>发布切换</x:v>
      </x:c>
      <x:c r="E34" s="598" t="str">
        <x:v>一次具有统一窗口、统一责任范围和回滚方案的生产发布切换</x:v>
      </x:c>
      <x:c r="F34" s="598" t="str">
        <x:v>版本范围、前置条件、上线计划、窗口、执行顺序、依赖协调、RACI、Go/No-Go、演练、实际部署与切换、流量及数据检查、回滚条件与执行、上线确认和切换记录</x:v>
      </x:c>
      <x:c r="G34" s="598" t="str">
        <x:v>替代功能实现、任何数据迁移执行或迁移核对、运行环境或流水线建设、上线后支持</x:v>
      </x:c>
      <x:c r="H34" s="612" t="n">
        <x:v>2.5</x:v>
      </x:c>
      <x:c r="I34" s="612" t="n">
        <x:v>1.5</x:v>
      </x:c>
      <x:c r="J34" s="612" t="str">
        <x:v>❌</x:v>
      </x:c>
      <x:c r="K34" s="449" t="str">
        <x:v>单组件；允许停机；使用标准检查表</x:v>
      </x:c>
      <x:c r="L34" s="449" t="str">
        <x:v>一次切换涉及多个紧密关联组件、演练和明确回滚方案</x:v>
      </x:c>
      <x:c r="M34" s="449" t="str">
        <x:v>单一切换范围涉及多组件协同、低停机或较强业务连续性要求</x:v>
      </x:c>
      <x:c r="N34" s="449" t="str">
        <x:v>包含多个可独立切换的系统，或需要持续同步和完整业务连续性方案</x:v>
      </x:c>
    </x:row>
    <x:row r="35" ht="65" customHeight="1">
      <x:c r="A35" s="591" t="str">
        <x:v>TF-RELEASE-CUTOVER</x:v>
      </x:c>
      <x:c r="B35" s="490" t="str">
        <x:v>发布与切换</x:v>
      </x:c>
      <x:c r="C35" s="591" t="str">
        <x:v>BU-SYSTEM-RETIREMENT</x:v>
      </x:c>
      <x:c r="D35" s="490" t="str">
        <x:v>系统功能下线</x:v>
      </x:c>
      <x:c r="E35" s="598" t="str">
        <x:v>一个系统、服务、模块或可独立关闭的功能</x:v>
      </x:c>
      <x:c r="F35" s="598" t="str">
        <x:v>依赖盘点、停流、停作业、数据归档留存、权限配置清理、资源处置和可恢复性验证</x:v>
      </x:c>
      <x:c r="G35" s="598" t="str">
        <x:v>替代功能实现</x:v>
      </x:c>
      <x:c r="H35" s="612" t="n">
        <x:v>1.5</x:v>
      </x:c>
      <x:c r="I35" s="612" t="str">
        <x:v>❌</x:v>
      </x:c>
      <x:c r="J35" s="612" t="str">
        <x:v>❌</x:v>
      </x:c>
      <x:c r="K35" s="449" t="str">
        <x:v>单一独立系统、服务、模块或功能；无重要数据和使用方</x:v>
      </x:c>
      <x:c r="L35" s="449" t="str">
        <x:v>单一下线对象有多个使用方，需要数据归档、权限和配置清理</x:v>
      </x:c>
      <x:c r="M35" s="449" t="str">
        <x:v>单一下线对象存在共享能力、监管留存或多系统依赖，并需要可恢复下线</x:v>
      </x:c>
      <x:c r="N35" s="449" t="str">
        <x:v>包含多个可独立下线对象，或监管留存、跨系统依赖需要另拆任务</x:v>
      </x:c>
    </x:row>
    <x:row r="36" ht="65" customHeight="1">
      <x:c r="A36" s="591" t="str">
        <x:v>TF-PROBLEM-HANDLING</x:v>
      </x:c>
      <x:c r="B36" s="490" t="str">
        <x:v>问题处理</x:v>
      </x:c>
      <x:c r="C36" s="591" t="str">
        <x:v>BU-ROOT-CAUSE-REMEDIATION</x:v>
      </x:c>
      <x:c r="D36" s="490" t="str">
        <x:v>同一根因问题整改</x:v>
      </x:c>
      <x:c r="E36" s="598" t="str">
        <x:v>一个已确认根因及其边界明确的受影响范围</x:v>
      </x:c>
      <x:c r="F36" s="598" t="str">
        <x:v>对已确认同一根因的代码、配置或数据进行统一修复和针对性回归</x:v>
      </x:c>
      <x:c r="G36" s="598" t="str">
        <x:v>根因调查</x:v>
      </x:c>
      <x:c r="H36" s="612" t="n">
        <x:v>1.5</x:v>
      </x:c>
      <x:c r="I36" s="612" t="str">
        <x:v>❌</x:v>
      </x:c>
      <x:c r="J36" s="612" t="str">
        <x:v>❌</x:v>
      </x:c>
      <x:c r="K36" s="449" t="str">
        <x:v>根因明确；单模块；局部修复和回归</x:v>
      </x:c>
      <x:c r="L36" s="449" t="str">
        <x:v>同一根因影响多个紧密相关模块，并涉及配置、数据修复或较大回归</x:v>
      </x:c>
      <x:c r="M36" s="449" t="str">
        <x:v>同一根因跨多个模块，需要较复杂数据修复，或有较大安全影响</x:v>
      </x:c>
      <x:c r="N36" s="449" t="str">
        <x:v>根因尚未明确，或涉及多个独立根因、架构改造、大规模数据修复或独立安全专项</x:v>
      </x:c>
    </x:row>
    <x:row r="37" ht="65" customHeight="1">
      <x:c r="A37" s="591" t="str">
        <x:v>TF-ARCHITECTURE</x:v>
      </x:c>
      <x:c r="B37" s="490" t="str">
        <x:v>架构设计</x:v>
      </x:c>
      <x:c r="C37" s="591" t="str">
        <x:v>BU-ARCHITECTURE-DESIGN</x:v>
      </x:c>
      <x:c r="D37" s="490" t="str">
        <x:v>架构方案设计</x:v>
      </x:c>
      <x:c r="E37" s="598" t="str">
        <x:v>一个需要独立决策和评审的架构问题</x:v>
      </x:c>
      <x:c r="F37" s="598" t="str">
        <x:v>背景、候选方案、权衡、决策、影响、约束和评审记录</x:v>
      </x:c>
      <x:c r="G37" s="598" t="str">
        <x:v>具体实现</x:v>
      </x:c>
      <x:c r="H37" s="612" t="n">
        <x:v>2</x:v>
      </x:c>
      <x:c r="I37" s="612" t="n">
        <x:v>1.5</x:v>
      </x:c>
      <x:c r="J37" s="612" t="str">
        <x:v>❌</x:v>
      </x:c>
      <x:c r="K37" s="449" t="str">
        <x:v>单组件局部决策；1～2 个明确选项</x:v>
      </x:c>
      <x:c r="L37" s="449" t="str">
        <x:v>一个跨组件问题存在多个方案，并涉及性能、安全等权衡</x:v>
      </x:c>
      <x:c r="M37" s="449" t="str">
        <x:v>一个系统级决策需要多个团队参与，并涉及迁移路径和强约束</x:v>
      </x:c>
      <x:c r="N37" s="449" t="str">
        <x:v>包含多个可独立决策的问题，或完整系统战略和迁移路线需要分开设计</x:v>
      </x:c>
    </x:row>
    <x:row r="38" ht="65" customHeight="1">
      <x:c r="A38" s="591" t="str">
        <x:v>TF-ANALYSIS-RESEARCH</x:v>
      </x:c>
      <x:c r="B38" s="490" t="str">
        <x:v>分析与调研</x:v>
      </x:c>
      <x:c r="C38" s="591" t="str">
        <x:v>BU-RESEARCH</x:v>
      </x:c>
      <x:c r="D38" s="490" t="str">
        <x:v>专题调研</x:v>
      </x:c>
      <x:c r="E38" s="598" t="str">
        <x:v>一个问题明确且可以独立形成结论的调研主题</x:v>
      </x:c>
      <x:c r="F38" s="598" t="str">
        <x:v>明确问题、证据调查、必要原型或试验、结论和建议</x:v>
      </x:c>
      <x:c r="G38" s="598" t="str">
        <x:v>生产实现</x:v>
      </x:c>
      <x:c r="H38" s="612" t="n">
        <x:v>2</x:v>
      </x:c>
      <x:c r="I38" s="612" t="str">
        <x:v>❌</x:v>
      </x:c>
      <x:c r="J38" s="612" t="str">
        <x:v>❌</x:v>
      </x:c>
      <x:c r="K38" s="449" t="str">
        <x:v>单一问题；单系统；主要依赖已有证据</x:v>
      </x:c>
      <x:c r="L38" s="449" t="str">
        <x:v>一个问题需要多组件或多方案比较，并做验证实验</x:v>
      </x:c>
      <x:c r="M38" s="449" t="str">
        <x:v>一个跨系统问题需要原型或数据验证，并由多方共同形成结论</x:v>
      </x:c>
      <x:c r="N38" s="449" t="str">
        <x:v>包含多个独立问题，或原型、数据验证和多方评审可以分别交付</x:v>
      </x:c>
    </x:row>
    <x:row r="39" ht="65" customHeight="1">
      <x:c r="A39" s="591" t="str">
        <x:v>TF-PROBLEM-HANDLING</x:v>
      </x:c>
      <x:c r="B39" s="490" t="str">
        <x:v>问题处理</x:v>
      </x:c>
      <x:c r="C39" s="591" t="str">
        <x:v>BU-TECH-SUPPORT</x:v>
      </x:c>
      <x:c r="D39" s="490" t="str">
        <x:v>问题诊断与恢复</x:v>
      </x:c>
      <x:c r="E39" s="598" t="str">
        <x:v>一个具有统一问题描述和处理结论的明确问题</x:v>
      </x:c>
      <x:c r="F39" s="598" t="str">
        <x:v>受理分诊、证据收集、诊断、恢复或建议及处理记录</x:v>
      </x:c>
      <x:c r="G39" s="598" t="str">
        <x:v>上线后值守、待命容量、持续监控、另行批准的产品改造，以及对已确认根因的代码、配置或数据整改</x:v>
      </x:c>
      <x:c r="H39" s="612" t="n">
        <x:v>2</x:v>
      </x:c>
      <x:c r="I39" s="612" t="str">
        <x:v>❌</x:v>
      </x:c>
      <x:c r="J39" s="612" t="str">
        <x:v>❌</x:v>
      </x:c>
      <x:c r="K39" s="449" t="str">
        <x:v>单一明确问题；标准诊断；单组件</x:v>
      </x:c>
      <x:c r="L39" s="449" t="str">
        <x:v>一个问题涉及多组件、多日志来源或跨团队协同</x:v>
      </x:c>
      <x:c r="M39" s="449" t="str">
        <x:v>一个关键问题需要跨系统排查、恢复方案和深入根因分析</x:v>
      </x:c>
      <x:c r="N39" s="449" t="str">
        <x:v>包含多个独立问题，或需要另行批准的产品改造和专项根因分析</x:v>
      </x:c>
    </x:row>
    <x:row r="40" ht="65" customHeight="1">
      <x:c r="A40" s="591" t="str">
        <x:v>TF-DELIVERY-HANDOVER</x:v>
      </x:c>
      <x:c r="B40" s="490" t="str">
        <x:v>交付与移交</x:v>
      </x:c>
      <x:c r="C40" s="591" t="str">
        <x:v>BU-OPS-HANDOVER</x:v>
      </x:c>
      <x:c r="D40" s="490" t="str">
        <x:v>运维交接与操作手册</x:v>
      </x:c>
      <x:c r="E40" s="598" t="str">
        <x:v>一个服务，或一组共同部署和运维的紧密相关组件</x:v>
      </x:c>
      <x:c r="F40" s="598" t="str">
        <x:v>拓扑、部署、启停、监控告警、故障处理、回滚、联系范围和交接演练</x:v>
      </x:c>
      <x:c r="G40" s="598" t="str">
        <x:v>功能实现</x:v>
      </x:c>
      <x:c r="H40" s="612" t="n">
        <x:v>1.5</x:v>
      </x:c>
      <x:c r="I40" s="612" t="n">
        <x:v>1</x:v>
      </x:c>
      <x:c r="J40" s="612" t="str">
        <x:v>❌</x:v>
      </x:c>
      <x:c r="K40" s="449" t="str">
        <x:v>单服务；标准部署、监控和回滚说明</x:v>
      </x:c>
      <x:c r="L40" s="449" t="str">
        <x:v>一组共同部署和运维的组件，需要告警、值班和知识转移</x:v>
      </x:c>
      <x:c r="M40" s="449" t="str">
        <x:v>一个分布式服务范围涉及容灾、合规和多团队交接</x:v>
      </x:c>
      <x:c r="N40" s="449" t="str">
        <x:v>包含多个独立运维对象，或需要向多个运维团队分别交接</x:v>
      </x:c>
    </x:row>
    <x:row r="41" ht="65" customHeight="1">
      <x:c r="A41" s="621" t="str">
        <x:v>TF-DELIVERY-HANDOVER</x:v>
      </x:c>
      <x:c r="B41" s="618" t="str">
        <x:v>交付与移交</x:v>
      </x:c>
      <x:c r="C41" s="621" t="str">
        <x:v>BU-USER-TRAINING</x:v>
      </x:c>
      <x:c r="D41" s="618" t="str">
        <x:v>用户培训与使用材料</x:v>
      </x:c>
      <x:c r="E41" s="619" t="str">
        <x:v>一个明确用户群体针对一项连贯能力的培训和材料交付</x:v>
      </x:c>
      <x:c r="F41" s="619" t="str">
        <x:v>培训需求确认、使用材料、演示或练习、培训实施、问答、出席记录及材料移交</x:v>
      </x:c>
      <x:c r="G41" s="619" t="str">
        <x:v>运维交接、技术架构培训、业务内容翻译和长期培训运营</x:v>
      </x:c>
      <x:c r="H41" s="627" t="n">
        <x:v>1.5</x:v>
      </x:c>
      <x:c r="I41" s="627" t="n">
        <x:v>1</x:v>
      </x:c>
      <x:c r="J41" s="627" t="str">
        <x:v>❌</x:v>
      </x:c>
      <x:c r="K41" s="620" t="str">
        <x:v>单一角色；标准流程；一次短时讲解；无专门练习环境</x:v>
      </x:c>
      <x:c r="L41" s="620" t="str">
        <x:v>一个用户群体包含多个相关角色；需要演示、练习和问答</x:v>
      </x:c>
      <x:c r="M41" s="620" t="str">
        <x:v>多语言、Train-the-Trainer、专门练习环境或正式能力考核</x:v>
      </x:c>
      <x:c r="N41" s="620" t="str">
        <x:v>多个独立用户群体或多个无关产品，必须拆分</x:v>
      </x:c>
    </x:row>
    <x:row r="42">
      <x:c r="A42"/>
      <x:c r="B42"/>
      <x:c r="C42"/>
      <x:c r="D42"/>
      <x:c r="E42"/>
      <x:c r="F42"/>
      <x:c r="G42"/>
      <x:c r="H42"/>
      <x:c r="I42"/>
    </x:row>
    <x:row r="43">
      <x:c r="A43"/>
      <x:c r="B43"/>
      <x:c r="C43"/>
      <x:c r="D43"/>
      <x:c r="E43"/>
      <x:c r="F43"/>
      <x:c r="G43"/>
      <x:c r="H43"/>
      <x:c r="I43"/>
    </x:row>
    <x:row r="44" ht="30" customHeight="1">
      <x:c r="A44"/>
      <x:c r="B44"/>
      <x:c r="C44"/>
      <x:c r="D44"/>
      <x:c r="E44"/>
      <x:c r="F44"/>
      <x:c r="G44"/>
      <x:c r="H44"/>
      <x:c r="I44"/>
    </x:row>
    <x:row r="45">
      <x:c r="A45"/>
      <x:c r="B45"/>
      <x:c r="C45"/>
      <x:c r="D45"/>
      <x:c r="E45"/>
      <x:c r="F45"/>
      <x:c r="G45"/>
      <x:c r="H45"/>
      <x:c r="I45"/>
    </x:row>
    <x:row r="46">
      <x:c r="A46"/>
      <x:c r="B46"/>
      <x:c r="C46"/>
      <x:c r="D46"/>
      <x:c r="E46"/>
      <x:c r="F46"/>
      <x:c r="G46"/>
      <x:c r="H46"/>
      <x:c r="I46"/>
    </x:row>
    <x:row r="47">
      <x:c r="A47"/>
      <x:c r="B47"/>
      <x:c r="C47"/>
      <x:c r="D47"/>
      <x:c r="E47"/>
      <x:c r="F47"/>
      <x:c r="G47"/>
      <x:c r="H47"/>
      <x:c r="I47"/>
    </x:row>
    <x:row r="48">
      <x:c r="A48"/>
      <x:c r="B48"/>
      <x:c r="C48"/>
      <x:c r="D48"/>
      <x:c r="E48"/>
      <x:c r="F48"/>
      <x:c r="G48"/>
      <x:c r="H48"/>
      <x:c r="I48"/>
    </x:row>
    <x:row r="49">
      <x:c r="A49"/>
      <x:c r="B49"/>
      <x:c r="C49"/>
      <x:c r="D49"/>
      <x:c r="E49"/>
      <x:c r="F49"/>
      <x:c r="G49"/>
      <x:c r="H49"/>
      <x:c r="I49"/>
    </x:row>
    <x:row r="50">
      <x:c r="A50"/>
      <x:c r="B50"/>
      <x:c r="C50"/>
      <x:c r="D50"/>
      <x:c r="E50"/>
      <x:c r="F50"/>
      <x:c r="G50"/>
      <x:c r="H50"/>
      <x:c r="I50"/>
    </x:row>
    <x:row r="51">
      <x:c r="A51"/>
      <x:c r="B51"/>
      <x:c r="C51"/>
      <x:c r="D51"/>
      <x:c r="E51"/>
      <x:c r="F51"/>
      <x:c r="G51"/>
      <x:c r="H51"/>
      <x:c r="I51"/>
    </x:row>
    <x:row r="52">
      <x:c r="A52"/>
      <x:c r="B52"/>
      <x:c r="C52"/>
      <x:c r="D52"/>
      <x:c r="E52"/>
      <x:c r="F52"/>
      <x:c r="G52"/>
      <x:c r="H52"/>
      <x:c r="I52"/>
    </x:row>
    <x:row r="53">
      <x:c r="A53"/>
      <x:c r="B53"/>
      <x:c r="C53"/>
      <x:c r="D53"/>
      <x:c r="E53"/>
      <x:c r="F53"/>
      <x:c r="G53"/>
      <x:c r="H53"/>
      <x:c r="I53"/>
    </x:row>
    <x:row r="54">
      <x:c r="A54"/>
      <x:c r="B54"/>
      <x:c r="C54"/>
      <x:c r="D54"/>
      <x:c r="E54"/>
      <x:c r="F54"/>
      <x:c r="G54"/>
      <x:c r="H54"/>
      <x:c r="I54"/>
    </x:row>
    <x:row r="55">
      <x:c r="A55"/>
      <x:c r="B55"/>
      <x:c r="C55"/>
      <x:c r="D55"/>
      <x:c r="E55"/>
      <x:c r="F55"/>
      <x:c r="G55"/>
      <x:c r="H55"/>
      <x:c r="I55"/>
    </x:row>
    <x:row r="56">
      <x:c r="A56"/>
      <x:c r="B56"/>
      <x:c r="C56"/>
      <x:c r="D56"/>
      <x:c r="E56"/>
      <x:c r="F56"/>
      <x:c r="G56"/>
      <x:c r="H56"/>
      <x:c r="I56"/>
    </x:row>
    <x:row r="57">
      <x:c r="A57"/>
      <x:c r="B57"/>
      <x:c r="C57"/>
      <x:c r="D57"/>
      <x:c r="E57"/>
      <x:c r="F57"/>
      <x:c r="G57"/>
      <x:c r="H57"/>
      <x:c r="I57"/>
    </x:row>
    <x:row r="58">
      <x:c r="A58"/>
      <x:c r="B58"/>
      <x:c r="C58"/>
      <x:c r="D58"/>
      <x:c r="E58"/>
      <x:c r="F58"/>
      <x:c r="G58"/>
      <x:c r="H58"/>
      <x:c r="I58"/>
    </x:row>
    <x:row r="59">
      <x:c r="A59"/>
      <x:c r="B59"/>
      <x:c r="C59"/>
      <x:c r="D59"/>
      <x:c r="E59"/>
      <x:c r="F59"/>
      <x:c r="G59"/>
      <x:c r="H59"/>
      <x:c r="I59"/>
    </x:row>
    <x:row r="60">
      <x:c r="A60"/>
      <x:c r="B60"/>
      <x:c r="C60"/>
      <x:c r="D60"/>
      <x:c r="E60"/>
      <x:c r="F60"/>
      <x:c r="G60"/>
      <x:c r="H60"/>
      <x:c r="I60"/>
    </x:row>
    <x:row r="61">
      <x:c r="A61"/>
      <x:c r="B61"/>
      <x:c r="C61"/>
      <x:c r="D61"/>
      <x:c r="E61"/>
      <x:c r="F61"/>
      <x:c r="G61"/>
      <x:c r="H61"/>
      <x:c r="I61"/>
    </x:row>
    <x:row r="62">
      <x:c r="A62"/>
      <x:c r="B62"/>
      <x:c r="C62"/>
      <x:c r="D62"/>
      <x:c r="E62"/>
      <x:c r="F62"/>
      <x:c r="G62"/>
      <x:c r="H62"/>
      <x:c r="I62"/>
    </x:row>
    <x:row r="63">
      <x:c r="A63"/>
      <x:c r="B63"/>
      <x:c r="C63"/>
      <x:c r="D63"/>
      <x:c r="E63"/>
      <x:c r="F63"/>
      <x:c r="G63"/>
      <x:c r="H63"/>
      <x:c r="I63"/>
    </x:row>
    <x:row r="64">
      <x:c r="A64"/>
      <x:c r="B64"/>
      <x:c r="C64"/>
      <x:c r="D64"/>
      <x:c r="E64"/>
      <x:c r="F64"/>
      <x:c r="G64"/>
      <x:c r="H64"/>
      <x:c r="I64"/>
    </x:row>
    <x:row r="65">
      <x:c r="A65"/>
      <x:c r="B65"/>
      <x:c r="C65"/>
      <x:c r="D65"/>
      <x:c r="E65"/>
      <x:c r="F65"/>
      <x:c r="G65"/>
      <x:c r="H65"/>
      <x:c r="I65"/>
    </x:row>
    <x:row r="66">
      <x:c r="A66"/>
      <x:c r="B66"/>
      <x:c r="C66"/>
      <x:c r="D66"/>
      <x:c r="E66"/>
      <x:c r="F66"/>
      <x:c r="G66"/>
      <x:c r="H66"/>
      <x:c r="I66"/>
    </x:row>
    <x:row r="67">
      <x:c r="A67"/>
      <x:c r="B67"/>
      <x:c r="C67"/>
      <x:c r="D67"/>
      <x:c r="E67"/>
      <x:c r="F67"/>
      <x:c r="G67"/>
      <x:c r="H67"/>
      <x:c r="I67"/>
    </x:row>
    <x:row r="68">
      <x:c r="A68"/>
      <x:c r="B68"/>
      <x:c r="C68"/>
      <x:c r="D68"/>
      <x:c r="E68"/>
      <x:c r="F68"/>
      <x:c r="G68"/>
      <x:c r="H68"/>
      <x:c r="I68"/>
    </x:row>
    <x:row r="69">
      <x:c r="A69"/>
      <x:c r="B69"/>
      <x:c r="C69"/>
      <x:c r="D69"/>
      <x:c r="E69"/>
      <x:c r="F69"/>
      <x:c r="G69"/>
      <x:c r="H69"/>
      <x:c r="I69"/>
    </x:row>
    <x:row r="70">
      <x:c r="A70"/>
      <x:c r="B70"/>
      <x:c r="C70"/>
      <x:c r="D70"/>
      <x:c r="E70"/>
      <x:c r="F70"/>
      <x:c r="G70"/>
      <x:c r="H70"/>
      <x:c r="I70"/>
    </x:row>
    <x:row r="71">
      <x:c r="A71"/>
      <x:c r="B71"/>
      <x:c r="C71"/>
      <x:c r="D71"/>
      <x:c r="E71"/>
      <x:c r="F71"/>
      <x:c r="G71"/>
      <x:c r="H71"/>
      <x:c r="I71"/>
    </x:row>
    <x:row r="72">
      <x:c r="A72"/>
      <x:c r="B72"/>
      <x:c r="C72"/>
      <x:c r="D72"/>
      <x:c r="E72"/>
      <x:c r="F72"/>
      <x:c r="G72"/>
      <x:c r="H72"/>
      <x:c r="I72"/>
    </x:row>
    <x:row r="73">
      <x:c r="A73"/>
      <x:c r="B73"/>
      <x:c r="C73"/>
      <x:c r="D73"/>
      <x:c r="E73"/>
      <x:c r="F73"/>
      <x:c r="G73"/>
      <x:c r="H73"/>
      <x:c r="I73"/>
    </x:row>
    <x:row r="74">
      <x:c r="A74"/>
      <x:c r="B74"/>
      <x:c r="C74"/>
      <x:c r="D74"/>
      <x:c r="E74"/>
      <x:c r="F74"/>
      <x:c r="G74"/>
      <x:c r="H74"/>
      <x:c r="I74"/>
    </x:row>
    <x:row r="75">
      <x:c r="A75"/>
      <x:c r="B75"/>
      <x:c r="C75"/>
      <x:c r="D75"/>
      <x:c r="E75"/>
      <x:c r="F75"/>
      <x:c r="G75"/>
      <x:c r="H75"/>
      <x:c r="I75"/>
    </x:row>
    <x:row r="76">
      <x:c r="A76"/>
      <x:c r="B76"/>
      <x:c r="C76"/>
      <x:c r="D76"/>
      <x:c r="E76"/>
      <x:c r="F76"/>
      <x:c r="G76"/>
      <x:c r="H76"/>
      <x:c r="I76"/>
    </x:row>
    <x:row r="77">
      <x:c r="A77"/>
      <x:c r="B77"/>
      <x:c r="C77"/>
      <x:c r="D77"/>
      <x:c r="E77"/>
      <x:c r="F77"/>
      <x:c r="G77"/>
      <x:c r="H77"/>
      <x:c r="I77"/>
    </x:row>
    <x:row r="78">
      <x:c r="A78"/>
      <x:c r="B78"/>
      <x:c r="C78"/>
      <x:c r="D78"/>
      <x:c r="E78"/>
      <x:c r="F78"/>
      <x:c r="G78"/>
      <x:c r="H78"/>
      <x:c r="I78"/>
    </x:row>
    <x:row r="79">
      <x:c r="A79"/>
      <x:c r="B79"/>
      <x:c r="C79"/>
      <x:c r="D79"/>
      <x:c r="E79"/>
      <x:c r="F79"/>
      <x:c r="G79"/>
      <x:c r="H79"/>
      <x:c r="I79"/>
    </x:row>
    <x:row r="80">
      <x:c r="A80"/>
      <x:c r="B80"/>
      <x:c r="C80"/>
      <x:c r="D80"/>
      <x:c r="E80"/>
      <x:c r="F80"/>
      <x:c r="G80"/>
      <x:c r="H80"/>
      <x:c r="I80"/>
    </x:row>
    <x:row r="81">
      <x:c r="A81"/>
      <x:c r="B81"/>
      <x:c r="C81"/>
      <x:c r="D81"/>
      <x:c r="E81"/>
      <x:c r="F81"/>
      <x:c r="G81"/>
      <x:c r="H81"/>
      <x:c r="I81"/>
    </x:row>
    <x:row r="82">
      <x:c r="A82"/>
      <x:c r="B82"/>
      <x:c r="C82"/>
      <x:c r="D82"/>
      <x:c r="E82"/>
      <x:c r="F82"/>
      <x:c r="G82"/>
      <x:c r="H82"/>
      <x:c r="I82"/>
    </x:row>
    <x:row r="83">
      <x:c r="A83"/>
      <x:c r="B83"/>
      <x:c r="C83"/>
      <x:c r="D83"/>
      <x:c r="E83"/>
      <x:c r="F83"/>
      <x:c r="G83"/>
      <x:c r="H83"/>
      <x:c r="I83"/>
    </x:row>
    <x:row r="84">
      <x:c r="A84"/>
      <x:c r="B84"/>
      <x:c r="C84"/>
      <x:c r="D84"/>
      <x:c r="E84"/>
      <x:c r="F84"/>
      <x:c r="G84"/>
      <x:c r="H84"/>
      <x:c r="I84"/>
    </x:row>
    <x:row r="85">
      <x:c r="A85"/>
      <x:c r="B85"/>
      <x:c r="C85"/>
      <x:c r="D85"/>
      <x:c r="E85"/>
      <x:c r="F85"/>
      <x:c r="G85"/>
      <x:c r="H85"/>
      <x:c r="I85"/>
    </x:row>
    <x:row r="86">
      <x:c r="A86"/>
      <x:c r="B86"/>
      <x:c r="C86"/>
      <x:c r="D86"/>
      <x:c r="E86"/>
      <x:c r="F86"/>
      <x:c r="G86"/>
      <x:c r="H86"/>
      <x:c r="I86"/>
    </x:row>
    <x:row r="87">
      <x:c r="A87"/>
      <x:c r="B87"/>
      <x:c r="C87"/>
      <x:c r="D87"/>
      <x:c r="E87"/>
      <x:c r="F87"/>
      <x:c r="G87"/>
      <x:c r="H87"/>
      <x:c r="I87"/>
    </x:row>
    <x:row r="88">
      <x:c r="A88"/>
      <x:c r="B88"/>
      <x:c r="C88"/>
      <x:c r="D88"/>
      <x:c r="E88"/>
      <x:c r="F88"/>
      <x:c r="G88"/>
      <x:c r="H88"/>
      <x:c r="I88"/>
    </x:row>
    <x:row r="89">
      <x:c r="A89"/>
      <x:c r="B89"/>
      <x:c r="C89"/>
      <x:c r="D89"/>
      <x:c r="E89"/>
      <x:c r="F89"/>
      <x:c r="G89"/>
      <x:c r="H89"/>
      <x:c r="I89"/>
    </x:row>
    <x:row r="90">
      <x:c r="A90"/>
      <x:c r="B90"/>
      <x:c r="C90"/>
      <x:c r="D90"/>
      <x:c r="E90"/>
      <x:c r="F90"/>
      <x:c r="G90"/>
      <x:c r="H90"/>
      <x:c r="I90"/>
    </x:row>
    <x:row r="91">
      <x:c r="A91"/>
      <x:c r="B91"/>
      <x:c r="C91"/>
      <x:c r="D91"/>
      <x:c r="E91"/>
      <x:c r="F91"/>
      <x:c r="G91"/>
      <x:c r="H91"/>
      <x:c r="I91"/>
    </x:row>
    <x:row r="92">
      <x:c r="A92"/>
      <x:c r="B92"/>
      <x:c r="C92"/>
      <x:c r="D92"/>
      <x:c r="E92"/>
      <x:c r="F92"/>
      <x:c r="G92"/>
      <x:c r="H92"/>
      <x:c r="I92"/>
    </x:row>
    <x:row r="93">
      <x:c r="A93"/>
      <x:c r="B93"/>
      <x:c r="C93"/>
      <x:c r="D93"/>
      <x:c r="E93"/>
      <x:c r="F93"/>
      <x:c r="G93"/>
      <x:c r="H93"/>
      <x:c r="I93"/>
    </x:row>
    <x:row r="94">
      <x:c r="A94"/>
      <x:c r="B94"/>
      <x:c r="C94"/>
      <x:c r="D94"/>
      <x:c r="E94"/>
      <x:c r="F94"/>
      <x:c r="G94"/>
      <x:c r="H94"/>
      <x:c r="I94"/>
    </x:row>
    <x:row r="95">
      <x:c r="A95"/>
      <x:c r="B95"/>
      <x:c r="C95"/>
      <x:c r="D95"/>
      <x:c r="E95"/>
      <x:c r="F95"/>
      <x:c r="G95"/>
      <x:c r="H95"/>
      <x:c r="I95"/>
    </x:row>
    <x:row r="96">
      <x:c r="A96"/>
      <x:c r="B96"/>
      <x:c r="C96"/>
      <x:c r="D96"/>
      <x:c r="E96"/>
      <x:c r="F96"/>
      <x:c r="G96"/>
      <x:c r="H96"/>
      <x:c r="I96"/>
    </x:row>
    <x:row r="97">
      <x:c r="A97"/>
      <x:c r="B97"/>
      <x:c r="C97"/>
      <x:c r="D97"/>
      <x:c r="E97"/>
      <x:c r="F97"/>
      <x:c r="G97"/>
      <x:c r="H97"/>
      <x:c r="I97"/>
    </x:row>
    <x:row r="98">
      <x:c r="A98"/>
      <x:c r="B98"/>
      <x:c r="C98"/>
      <x:c r="D98"/>
      <x:c r="E98"/>
      <x:c r="F98"/>
      <x:c r="G98"/>
      <x:c r="H98"/>
      <x:c r="I98"/>
    </x:row>
    <x:row r="99">
      <x:c r="A99"/>
      <x:c r="B99"/>
      <x:c r="C99"/>
      <x:c r="D99"/>
      <x:c r="E99"/>
      <x:c r="F99"/>
      <x:c r="G99"/>
      <x:c r="H99"/>
      <x:c r="I99"/>
    </x:row>
    <x:row r="100">
      <x:c r="A100"/>
      <x:c r="B100"/>
      <x:c r="C100"/>
      <x:c r="D100"/>
      <x:c r="E100"/>
      <x:c r="F100"/>
      <x:c r="G100"/>
      <x:c r="H100"/>
      <x:c r="I100"/>
    </x:row>
    <x:row r="101">
      <x:c r="A101"/>
      <x:c r="B101"/>
      <x:c r="C101"/>
      <x:c r="D101"/>
      <x:c r="E101"/>
      <x:c r="F101"/>
      <x:c r="G101"/>
      <x:c r="H101"/>
      <x:c r="I101"/>
    </x:row>
    <x:row r="102">
      <x:c r="A102"/>
      <x:c r="B102"/>
      <x:c r="C102"/>
      <x:c r="D102"/>
      <x:c r="E102"/>
      <x:c r="F102"/>
      <x:c r="G102"/>
      <x:c r="H102"/>
      <x:c r="I102"/>
    </x:row>
    <x:row r="103">
      <x:c r="A103"/>
      <x:c r="B103"/>
      <x:c r="C103"/>
      <x:c r="D103"/>
      <x:c r="E103"/>
      <x:c r="F103"/>
      <x:c r="G103"/>
      <x:c r="H103"/>
      <x:c r="I103"/>
    </x:row>
    <x:row r="104">
      <x:c r="A104"/>
      <x:c r="B104"/>
      <x:c r="C104"/>
      <x:c r="D104"/>
      <x:c r="E104"/>
      <x:c r="F104"/>
      <x:c r="G104"/>
      <x:c r="H104"/>
      <x:c r="I104"/>
    </x:row>
    <x:row r="105">
      <x:c r="A105"/>
      <x:c r="B105"/>
      <x:c r="C105"/>
      <x:c r="D105"/>
      <x:c r="E105"/>
      <x:c r="F105"/>
      <x:c r="G105"/>
      <x:c r="H105"/>
      <x:c r="I105"/>
    </x:row>
    <x:row r="106">
      <x:c r="A106"/>
      <x:c r="B106"/>
      <x:c r="C106"/>
      <x:c r="D106"/>
      <x:c r="E106"/>
      <x:c r="F106"/>
      <x:c r="G106"/>
      <x:c r="H106"/>
      <x:c r="I106"/>
    </x:row>
    <x:row r="107">
      <x:c r="A107"/>
      <x:c r="B107"/>
      <x:c r="C107"/>
      <x:c r="D107"/>
      <x:c r="E107"/>
      <x:c r="F107"/>
      <x:c r="G107"/>
      <x:c r="H107"/>
      <x:c r="I107"/>
    </x:row>
    <x:row r="108">
      <x:c r="A108"/>
      <x:c r="B108"/>
      <x:c r="C108"/>
      <x:c r="D108"/>
      <x:c r="E108"/>
      <x:c r="F108"/>
      <x:c r="G108"/>
      <x:c r="H108"/>
      <x:c r="I108"/>
    </x:row>
    <x:row r="109">
      <x:c r="A109"/>
      <x:c r="B109"/>
      <x:c r="C109"/>
      <x:c r="D109"/>
      <x:c r="E109"/>
      <x:c r="F109"/>
      <x:c r="G109"/>
      <x:c r="H109"/>
      <x:c r="I109"/>
    </x:row>
    <x:row r="110">
      <x:c r="A110"/>
      <x:c r="B110"/>
      <x:c r="C110"/>
      <x:c r="D110"/>
      <x:c r="E110"/>
      <x:c r="F110"/>
      <x:c r="G110"/>
      <x:c r="H110"/>
      <x:c r="I110"/>
    </x:row>
    <x:row r="111">
      <x:c r="A111"/>
      <x:c r="B111"/>
      <x:c r="C111"/>
      <x:c r="D111"/>
      <x:c r="E111"/>
      <x:c r="F111"/>
      <x:c r="G111"/>
      <x:c r="H111"/>
      <x:c r="I111"/>
    </x:row>
    <x:row r="112">
      <x:c r="A112"/>
      <x:c r="B112"/>
      <x:c r="C112"/>
      <x:c r="D112"/>
      <x:c r="E112"/>
      <x:c r="F112"/>
      <x:c r="G112"/>
      <x:c r="H112"/>
      <x:c r="I112"/>
    </x:row>
    <x:row r="113">
      <x:c r="A113"/>
      <x:c r="B113"/>
      <x:c r="C113"/>
      <x:c r="D113"/>
      <x:c r="E113"/>
      <x:c r="F113"/>
      <x:c r="G113"/>
      <x:c r="H113"/>
      <x:c r="I113"/>
    </x:row>
    <x:row r="114">
      <x:c r="A114"/>
      <x:c r="B114"/>
      <x:c r="C114"/>
      <x:c r="D114"/>
      <x:c r="E114"/>
      <x:c r="F114"/>
      <x:c r="G114"/>
      <x:c r="H114"/>
      <x:c r="I114"/>
    </x:row>
    <x:row r="115">
      <x:c r="A115"/>
      <x:c r="B115"/>
      <x:c r="C115"/>
      <x:c r="D115"/>
      <x:c r="E115"/>
      <x:c r="F115"/>
      <x:c r="G115"/>
      <x:c r="H115"/>
      <x:c r="I115"/>
    </x:row>
    <x:row r="116">
      <x:c r="A116"/>
      <x:c r="B116"/>
      <x:c r="C116"/>
      <x:c r="D116"/>
      <x:c r="E116"/>
      <x:c r="F116"/>
      <x:c r="G116"/>
      <x:c r="H116"/>
      <x:c r="I116"/>
    </x:row>
    <x:row r="117">
      <x:c r="A117"/>
      <x:c r="B117"/>
      <x:c r="C117"/>
      <x:c r="D117"/>
      <x:c r="E117"/>
      <x:c r="F117"/>
      <x:c r="G117"/>
      <x:c r="H117"/>
      <x:c r="I117"/>
    </x:row>
    <x:row r="118">
      <x:c r="A118"/>
      <x:c r="B118"/>
      <x:c r="C118"/>
      <x:c r="D118"/>
      <x:c r="E118"/>
      <x:c r="F118"/>
      <x:c r="G118"/>
      <x:c r="H118"/>
      <x:c r="I118"/>
    </x:row>
    <x:row r="119">
      <x:c r="A119"/>
      <x:c r="B119"/>
      <x:c r="C119"/>
      <x:c r="D119"/>
      <x:c r="E119"/>
      <x:c r="F119"/>
      <x:c r="G119"/>
      <x:c r="H119"/>
      <x:c r="I119"/>
    </x:row>
    <x:row r="120">
      <x:c r="A120"/>
      <x:c r="B120"/>
      <x:c r="C120"/>
      <x:c r="D120"/>
      <x:c r="E120"/>
      <x:c r="F120"/>
      <x:c r="G120"/>
      <x:c r="H120"/>
      <x:c r="I120"/>
    </x:row>
    <x:row r="121">
      <x:c r="A121"/>
      <x:c r="B121"/>
      <x:c r="C121"/>
      <x:c r="D121"/>
      <x:c r="E121"/>
      <x:c r="F121"/>
      <x:c r="G121"/>
      <x:c r="H121"/>
      <x:c r="I121"/>
    </x:row>
    <x:row r="122">
      <x:c r="A122"/>
      <x:c r="B122"/>
      <x:c r="C122"/>
      <x:c r="D122"/>
      <x:c r="E122"/>
      <x:c r="F122"/>
      <x:c r="G122"/>
      <x:c r="H122"/>
      <x:c r="I122"/>
    </x:row>
    <x:row r="123">
      <x:c r="A123"/>
      <x:c r="B123"/>
      <x:c r="C123"/>
      <x:c r="D123"/>
      <x:c r="E123"/>
      <x:c r="F123"/>
      <x:c r="G123"/>
      <x:c r="H123"/>
      <x:c r="I123"/>
    </x:row>
    <x:row r="124">
      <x:c r="A124"/>
      <x:c r="B124"/>
      <x:c r="C124"/>
      <x:c r="D124"/>
      <x:c r="E124"/>
      <x:c r="F124"/>
      <x:c r="G124"/>
      <x:c r="H124"/>
      <x:c r="I124"/>
    </x:row>
    <x:row r="125">
      <x:c r="A125"/>
      <x:c r="B125"/>
      <x:c r="C125"/>
      <x:c r="D125"/>
      <x:c r="E125"/>
      <x:c r="F125"/>
      <x:c r="G125"/>
      <x:c r="H125"/>
      <x:c r="I125"/>
    </x:row>
    <x:row r="126">
      <x:c r="A126"/>
      <x:c r="B126"/>
      <x:c r="C126"/>
      <x:c r="D126"/>
      <x:c r="E126"/>
      <x:c r="F126"/>
      <x:c r="G126"/>
      <x:c r="H126"/>
      <x:c r="I126"/>
    </x:row>
    <x:row r="127">
      <x:c r="A127"/>
      <x:c r="B127"/>
      <x:c r="C127"/>
      <x:c r="D127"/>
      <x:c r="E127"/>
      <x:c r="F127"/>
      <x:c r="G127"/>
      <x:c r="H127"/>
      <x:c r="I127"/>
    </x:row>
    <x:row r="128">
      <x:c r="A128"/>
      <x:c r="B128"/>
      <x:c r="C128"/>
      <x:c r="D128"/>
      <x:c r="E128"/>
      <x:c r="F128"/>
      <x:c r="G128"/>
      <x:c r="H128"/>
      <x:c r="I128"/>
    </x:row>
    <x:row r="129">
      <x:c r="A129"/>
      <x:c r="B129"/>
      <x:c r="C129"/>
      <x:c r="D129"/>
      <x:c r="E129"/>
      <x:c r="F129"/>
      <x:c r="G129"/>
      <x:c r="H129"/>
      <x:c r="I129"/>
    </x:row>
    <x:row r="130">
      <x:c r="A130"/>
      <x:c r="B130"/>
      <x:c r="C130"/>
      <x:c r="D130"/>
      <x:c r="E130"/>
      <x:c r="F130"/>
      <x:c r="G130"/>
      <x:c r="H130"/>
      <x:c r="I130"/>
    </x:row>
    <x:row r="131">
      <x:c r="A131"/>
      <x:c r="B131"/>
      <x:c r="C131"/>
      <x:c r="D131"/>
      <x:c r="E131"/>
      <x:c r="F131"/>
      <x:c r="G131"/>
      <x:c r="H131"/>
      <x:c r="I131"/>
    </x:row>
    <x:row r="132">
      <x:c r="A132"/>
      <x:c r="B132"/>
      <x:c r="C132"/>
      <x:c r="D132"/>
      <x:c r="E132"/>
      <x:c r="F132"/>
      <x:c r="G132"/>
      <x:c r="H132"/>
      <x:c r="I132"/>
    </x:row>
    <x:row r="133">
      <x:c r="A133"/>
      <x:c r="B133"/>
      <x:c r="C133"/>
      <x:c r="D133"/>
      <x:c r="E133"/>
      <x:c r="F133"/>
      <x:c r="G133"/>
      <x:c r="H133"/>
      <x:c r="I133"/>
    </x:row>
    <x:row r="134">
      <x:c r="A134"/>
      <x:c r="B134"/>
      <x:c r="C134"/>
      <x:c r="D134"/>
      <x:c r="E134"/>
      <x:c r="F134"/>
      <x:c r="G134"/>
      <x:c r="H134"/>
      <x:c r="I134"/>
    </x:row>
    <x:row r="135">
      <x:c r="A135"/>
      <x:c r="B135"/>
      <x:c r="C135"/>
      <x:c r="D135"/>
      <x:c r="E135"/>
      <x:c r="F135"/>
      <x:c r="G135"/>
      <x:c r="H135"/>
      <x:c r="I135"/>
    </x:row>
    <x:row r="136">
      <x:c r="A136"/>
      <x:c r="B136"/>
      <x:c r="C136"/>
      <x:c r="D136"/>
      <x:c r="E136"/>
      <x:c r="F136"/>
      <x:c r="G136"/>
      <x:c r="H136"/>
      <x:c r="I136"/>
    </x:row>
    <x:row r="137">
      <x:c r="A137"/>
      <x:c r="B137"/>
      <x:c r="C137"/>
      <x:c r="D137"/>
      <x:c r="E137"/>
      <x:c r="F137"/>
      <x:c r="G137"/>
      <x:c r="H137"/>
      <x:c r="I137"/>
    </x:row>
    <x:row r="138">
      <x:c r="A138"/>
      <x:c r="B138"/>
      <x:c r="C138"/>
      <x:c r="D138"/>
      <x:c r="E138"/>
      <x:c r="F138"/>
      <x:c r="G138"/>
      <x:c r="H138"/>
      <x:c r="I138"/>
    </x:row>
    <x:row r="139">
      <x:c r="A139"/>
      <x:c r="B139"/>
      <x:c r="C139"/>
      <x:c r="D139"/>
      <x:c r="E139"/>
      <x:c r="F139"/>
      <x:c r="G139"/>
      <x:c r="H139"/>
      <x:c r="I139"/>
    </x:row>
    <x:row r="140">
      <x:c r="A140"/>
      <x:c r="B140"/>
      <x:c r="C140"/>
      <x:c r="D140"/>
      <x:c r="E140"/>
      <x:c r="F140"/>
      <x:c r="G140"/>
      <x:c r="H140"/>
      <x:c r="I140"/>
    </x:row>
    <x:row r="141">
      <x:c r="A141"/>
      <x:c r="B141"/>
      <x:c r="C141"/>
      <x:c r="D141"/>
      <x:c r="E141"/>
      <x:c r="F141"/>
      <x:c r="G141"/>
      <x:c r="H141"/>
      <x:c r="I141"/>
    </x:row>
    <x:row r="142">
      <x:c r="A142"/>
      <x:c r="B142"/>
      <x:c r="C142"/>
      <x:c r="D142"/>
      <x:c r="E142"/>
      <x:c r="F142"/>
      <x:c r="G142"/>
      <x:c r="H142"/>
      <x:c r="I142"/>
    </x:row>
    <x:row r="143">
      <x:c r="A143"/>
      <x:c r="B143"/>
      <x:c r="C143"/>
      <x:c r="D143"/>
      <x:c r="E143"/>
      <x:c r="F143"/>
      <x:c r="G143"/>
      <x:c r="H143"/>
      <x:c r="I143"/>
    </x:row>
    <x:row r="144">
      <x:c r="A144"/>
      <x:c r="B144"/>
      <x:c r="C144"/>
      <x:c r="D144"/>
      <x:c r="E144"/>
      <x:c r="F144"/>
      <x:c r="G144"/>
      <x:c r="H144"/>
      <x:c r="I144"/>
    </x:row>
    <x:row r="145">
      <x:c r="A145"/>
      <x:c r="B145"/>
      <x:c r="C145"/>
      <x:c r="D145"/>
      <x:c r="E145"/>
      <x:c r="F145"/>
      <x:c r="G145"/>
      <x:c r="H145"/>
      <x:c r="I145"/>
    </x:row>
    <x:row r="146">
      <x:c r="A146"/>
      <x:c r="B146"/>
      <x:c r="C146"/>
      <x:c r="D146"/>
      <x:c r="E146"/>
      <x:c r="F146"/>
      <x:c r="G146"/>
      <x:c r="H146"/>
      <x:c r="I146"/>
    </x:row>
    <x:row r="147">
      <x:c r="A147"/>
      <x:c r="B147"/>
      <x:c r="C147"/>
      <x:c r="D147"/>
      <x:c r="E147"/>
      <x:c r="F147"/>
      <x:c r="G147"/>
      <x:c r="H147"/>
      <x:c r="I147"/>
    </x:row>
    <x:row r="148">
      <x:c r="A148"/>
      <x:c r="B148"/>
      <x:c r="C148"/>
      <x:c r="D148"/>
      <x:c r="E148"/>
      <x:c r="F148"/>
      <x:c r="G148"/>
      <x:c r="H148"/>
      <x:c r="I148"/>
    </x:row>
    <x:row r="149">
      <x:c r="A149"/>
      <x:c r="B149"/>
      <x:c r="C149"/>
      <x:c r="D149"/>
      <x:c r="E149"/>
      <x:c r="F149"/>
      <x:c r="G149"/>
      <x:c r="H149"/>
      <x:c r="I149"/>
    </x:row>
    <x:row r="150">
      <x:c r="A150"/>
      <x:c r="B150"/>
      <x:c r="C150"/>
      <x:c r="D150"/>
      <x:c r="E150"/>
      <x:c r="F150"/>
      <x:c r="G150"/>
      <x:c r="H150"/>
      <x:c r="I150"/>
    </x:row>
    <x:row r="151">
      <x:c r="A151"/>
      <x:c r="B151"/>
      <x:c r="C151"/>
      <x:c r="D151"/>
      <x:c r="E151"/>
      <x:c r="F151"/>
      <x:c r="G151"/>
      <x:c r="H151"/>
      <x:c r="I151"/>
    </x:row>
    <x:row r="152">
      <x:c r="A152"/>
      <x:c r="B152"/>
      <x:c r="C152"/>
      <x:c r="D152"/>
      <x:c r="E152"/>
      <x:c r="F152"/>
      <x:c r="G152"/>
      <x:c r="H152"/>
      <x:c r="I152"/>
    </x:row>
    <x:row r="153">
      <x:c r="A153"/>
      <x:c r="B153"/>
      <x:c r="C153"/>
      <x:c r="D153"/>
      <x:c r="E153"/>
      <x:c r="F153"/>
      <x:c r="G153"/>
      <x:c r="H153"/>
      <x:c r="I153"/>
    </x:row>
    <x:row r="154">
      <x:c r="A154"/>
      <x:c r="B154"/>
      <x:c r="C154"/>
      <x:c r="D154"/>
      <x:c r="E154"/>
      <x:c r="F154"/>
      <x:c r="G154"/>
      <x:c r="H154"/>
      <x:c r="I154"/>
    </x:row>
    <x:row r="155">
      <x:c r="A155"/>
      <x:c r="B155"/>
      <x:c r="C155"/>
      <x:c r="D155"/>
      <x:c r="E155"/>
      <x:c r="F155"/>
      <x:c r="G155"/>
      <x:c r="H155"/>
      <x:c r="I155"/>
    </x:row>
    <x:row r="156">
      <x:c r="A156"/>
      <x:c r="B156"/>
      <x:c r="C156"/>
      <x:c r="D156"/>
      <x:c r="E156"/>
      <x:c r="F156"/>
      <x:c r="G156"/>
      <x:c r="H156"/>
      <x:c r="I156"/>
    </x:row>
    <x:row r="157">
      <x:c r="A157"/>
      <x:c r="B157"/>
      <x:c r="C157"/>
      <x:c r="D157"/>
      <x:c r="E157"/>
      <x:c r="F157"/>
      <x:c r="G157"/>
      <x:c r="H157"/>
      <x:c r="I157"/>
    </x:row>
    <x:row r="158">
      <x:c r="A158"/>
      <x:c r="B158"/>
      <x:c r="C158"/>
      <x:c r="D158"/>
      <x:c r="E158"/>
      <x:c r="F158"/>
      <x:c r="G158"/>
      <x:c r="H158"/>
      <x:c r="I158"/>
    </x:row>
    <x:row r="159">
      <x:c r="A159"/>
      <x:c r="B159"/>
      <x:c r="C159"/>
      <x:c r="D159"/>
      <x:c r="E159"/>
      <x:c r="F159"/>
      <x:c r="G159"/>
      <x:c r="H159"/>
      <x:c r="I159"/>
    </x:row>
    <x:row r="160">
      <x:c r="A160"/>
      <x:c r="B160"/>
      <x:c r="C160"/>
      <x:c r="D160"/>
      <x:c r="E160"/>
      <x:c r="F160"/>
      <x:c r="G160"/>
      <x:c r="H160"/>
      <x:c r="I160"/>
    </x:row>
    <x:row r="161">
      <x:c r="A161"/>
      <x:c r="B161"/>
      <x:c r="C161"/>
      <x:c r="D161"/>
      <x:c r="E161"/>
      <x:c r="F161"/>
      <x:c r="G161"/>
      <x:c r="H161"/>
      <x:c r="I161"/>
    </x:row>
    <x:row r="162">
      <x:c r="A162"/>
      <x:c r="B162"/>
      <x:c r="C162"/>
      <x:c r="D162"/>
      <x:c r="E162"/>
      <x:c r="F162"/>
      <x:c r="G162"/>
      <x:c r="H162"/>
      <x:c r="I162"/>
    </x:row>
    <x:row r="163">
      <x:c r="A163"/>
      <x:c r="B163"/>
      <x:c r="C163"/>
      <x:c r="D163"/>
      <x:c r="E163"/>
      <x:c r="F163"/>
      <x:c r="G163"/>
      <x:c r="H163"/>
      <x:c r="I163"/>
    </x:row>
    <x:row r="164">
      <x:c r="A164"/>
      <x:c r="B164"/>
      <x:c r="C164"/>
      <x:c r="D164"/>
      <x:c r="E164"/>
      <x:c r="F164"/>
      <x:c r="G164"/>
      <x:c r="H164"/>
      <x:c r="I164"/>
    </x:row>
    <x:row r="165">
      <x:c r="A165"/>
      <x:c r="B165"/>
      <x:c r="C165"/>
      <x:c r="D165"/>
      <x:c r="E165"/>
      <x:c r="F165"/>
      <x:c r="G165"/>
      <x:c r="H165"/>
      <x:c r="I165"/>
    </x:row>
    <x:row r="166">
      <x:c r="A166"/>
      <x:c r="B166"/>
      <x:c r="C166"/>
      <x:c r="D166"/>
      <x:c r="E166"/>
      <x:c r="F166"/>
      <x:c r="G166"/>
      <x:c r="H166"/>
      <x:c r="I166"/>
    </x:row>
    <x:row r="167">
      <x:c r="A167"/>
      <x:c r="B167"/>
      <x:c r="C167"/>
      <x:c r="D167"/>
      <x:c r="E167"/>
      <x:c r="F167"/>
      <x:c r="G167"/>
      <x:c r="H167"/>
      <x:c r="I167"/>
    </x:row>
    <x:row r="168">
      <x:c r="A168"/>
      <x:c r="B168"/>
      <x:c r="C168"/>
      <x:c r="D168"/>
      <x:c r="E168"/>
      <x:c r="F168"/>
      <x:c r="G168"/>
      <x:c r="H168"/>
      <x:c r="I168"/>
    </x:row>
    <x:row r="169">
      <x:c r="A169"/>
      <x:c r="B169"/>
      <x:c r="C169"/>
      <x:c r="D169"/>
      <x:c r="E169"/>
      <x:c r="F169"/>
      <x:c r="G169"/>
      <x:c r="H169"/>
      <x:c r="I169"/>
    </x:row>
    <x:row r="170">
      <x:c r="A170"/>
      <x:c r="B170"/>
      <x:c r="C170"/>
      <x:c r="D170"/>
      <x:c r="E170"/>
      <x:c r="F170"/>
      <x:c r="G170"/>
      <x:c r="H170"/>
      <x:c r="I170"/>
    </x:row>
    <x:row r="171">
      <x:c r="A171"/>
      <x:c r="B171"/>
      <x:c r="C171"/>
      <x:c r="D171"/>
      <x:c r="E171"/>
      <x:c r="F171"/>
      <x:c r="G171"/>
      <x:c r="H171"/>
      <x:c r="I171"/>
    </x:row>
    <x:row r="172">
      <x:c r="A172"/>
      <x:c r="B172"/>
      <x:c r="C172"/>
      <x:c r="D172"/>
      <x:c r="E172"/>
      <x:c r="F172"/>
      <x:c r="G172"/>
      <x:c r="H172"/>
      <x:c r="I172"/>
    </x:row>
    <x:row r="173">
      <x:c r="A173"/>
      <x:c r="B173"/>
      <x:c r="C173"/>
      <x:c r="D173"/>
      <x:c r="E173"/>
      <x:c r="F173"/>
      <x:c r="G173"/>
      <x:c r="H173"/>
      <x:c r="I173"/>
    </x:row>
    <x:row r="174">
      <x:c r="A174"/>
      <x:c r="B174"/>
      <x:c r="C174"/>
      <x:c r="D174"/>
      <x:c r="E174"/>
      <x:c r="F174"/>
      <x:c r="G174"/>
      <x:c r="H174"/>
      <x:c r="I174"/>
    </x:row>
    <x:row r="175">
      <x:c r="A175"/>
      <x:c r="B175"/>
      <x:c r="C175"/>
      <x:c r="D175"/>
      <x:c r="E175"/>
      <x:c r="F175"/>
      <x:c r="G175"/>
      <x:c r="H175"/>
      <x:c r="I175"/>
    </x:row>
    <x:row r="176">
      <x:c r="A176"/>
      <x:c r="B176"/>
      <x:c r="C176"/>
      <x:c r="D176"/>
      <x:c r="E176"/>
      <x:c r="F176"/>
      <x:c r="G176"/>
      <x:c r="H176"/>
      <x:c r="I176"/>
    </x:row>
    <x:row r="177">
      <x:c r="A177"/>
      <x:c r="B177"/>
      <x:c r="C177"/>
      <x:c r="D177"/>
      <x:c r="E177"/>
      <x:c r="F177"/>
      <x:c r="G177"/>
      <x:c r="H177"/>
      <x:c r="I177"/>
    </x:row>
    <x:row r="178">
      <x:c r="A178"/>
      <x:c r="B178"/>
      <x:c r="C178"/>
      <x:c r="D178"/>
      <x:c r="E178"/>
      <x:c r="F178"/>
      <x:c r="G178"/>
      <x:c r="H178"/>
      <x:c r="I178"/>
    </x:row>
    <x:row r="179">
      <x:c r="A179"/>
      <x:c r="B179"/>
      <x:c r="C179"/>
      <x:c r="D179"/>
      <x:c r="E179"/>
      <x:c r="F179"/>
      <x:c r="G179"/>
      <x:c r="H179"/>
      <x:c r="I179"/>
    </x:row>
    <x:row r="180">
      <x:c r="A180"/>
      <x:c r="B180"/>
      <x:c r="C180"/>
      <x:c r="D180"/>
      <x:c r="E180"/>
      <x:c r="F180"/>
      <x:c r="G180"/>
      <x:c r="H180"/>
      <x:c r="I180"/>
    </x:row>
    <x:row r="181">
      <x:c r="A181"/>
      <x:c r="B181"/>
      <x:c r="C181"/>
      <x:c r="D181"/>
      <x:c r="E181"/>
      <x:c r="F181"/>
      <x:c r="G181"/>
      <x:c r="H181"/>
      <x:c r="I181"/>
    </x:row>
    <x:row r="182">
      <x:c r="A182"/>
      <x:c r="B182"/>
      <x:c r="C182"/>
      <x:c r="D182"/>
      <x:c r="E182"/>
      <x:c r="F182"/>
      <x:c r="G182"/>
      <x:c r="H182"/>
      <x:c r="I182"/>
    </x:row>
    <x:row r="183">
      <x:c r="A183"/>
      <x:c r="B183"/>
      <x:c r="C183"/>
      <x:c r="D183"/>
      <x:c r="E183"/>
      <x:c r="F183"/>
      <x:c r="G183"/>
      <x:c r="H183"/>
      <x:c r="I183"/>
    </x:row>
    <x:row r="184">
      <x:c r="A184"/>
      <x:c r="B184"/>
      <x:c r="C184"/>
      <x:c r="D184"/>
      <x:c r="E184"/>
      <x:c r="F184"/>
      <x:c r="G184"/>
      <x:c r="H184"/>
      <x:c r="I184"/>
    </x:row>
    <x:row r="185">
      <x:c r="A185"/>
      <x:c r="B185"/>
      <x:c r="C185"/>
      <x:c r="D185"/>
      <x:c r="E185"/>
      <x:c r="F185"/>
      <x:c r="G185"/>
      <x:c r="H185"/>
      <x:c r="I185"/>
    </x:row>
    <x:row r="186">
      <x:c r="A186"/>
      <x:c r="B186"/>
      <x:c r="C186"/>
      <x:c r="D186"/>
      <x:c r="E186"/>
      <x:c r="F186"/>
      <x:c r="G186"/>
      <x:c r="H186"/>
      <x:c r="I186"/>
    </x:row>
    <x:row r="187">
      <x:c r="A187"/>
      <x:c r="B187"/>
      <x:c r="C187"/>
      <x:c r="D187"/>
      <x:c r="E187"/>
      <x:c r="F187"/>
      <x:c r="G187"/>
      <x:c r="H187"/>
      <x:c r="I187"/>
    </x:row>
    <x:row r="188">
      <x:c r="A188"/>
      <x:c r="B188"/>
      <x:c r="C188"/>
      <x:c r="D188"/>
      <x:c r="E188"/>
      <x:c r="F188"/>
      <x:c r="G188"/>
      <x:c r="H188"/>
      <x:c r="I188"/>
    </x:row>
    <x:row r="189">
      <x:c r="A189"/>
      <x:c r="B189"/>
      <x:c r="C189"/>
      <x:c r="D189"/>
      <x:c r="E189"/>
      <x:c r="F189"/>
      <x:c r="G189"/>
      <x:c r="H189"/>
      <x:c r="I189"/>
    </x:row>
    <x:row r="190">
      <x:c r="A190"/>
      <x:c r="B190"/>
      <x:c r="C190"/>
      <x:c r="D190"/>
      <x:c r="E190"/>
      <x:c r="F190"/>
      <x:c r="G190"/>
      <x:c r="H190"/>
      <x:c r="I190"/>
    </x:row>
    <x:row r="191">
      <x:c r="A191"/>
      <x:c r="B191"/>
      <x:c r="C191"/>
      <x:c r="D191"/>
      <x:c r="E191"/>
      <x:c r="F191"/>
      <x:c r="G191"/>
      <x:c r="H191"/>
      <x:c r="I191"/>
    </x:row>
    <x:row r="192">
      <x:c r="A192"/>
      <x:c r="B192"/>
      <x:c r="C192"/>
      <x:c r="D192"/>
      <x:c r="E192"/>
      <x:c r="F192"/>
      <x:c r="G192"/>
      <x:c r="H192"/>
      <x:c r="I192"/>
    </x:row>
    <x:row r="193">
      <x:c r="A193"/>
      <x:c r="B193"/>
      <x:c r="C193"/>
      <x:c r="D193"/>
      <x:c r="E193"/>
      <x:c r="F193"/>
      <x:c r="G193"/>
      <x:c r="H193"/>
      <x:c r="I193"/>
    </x:row>
    <x:row r="194">
      <x:c r="A194"/>
      <x:c r="B194"/>
      <x:c r="C194"/>
      <x:c r="D194"/>
      <x:c r="E194"/>
      <x:c r="F194"/>
      <x:c r="G194"/>
      <x:c r="H194"/>
      <x:c r="I194"/>
    </x:row>
    <x:row r="195">
      <x:c r="A195"/>
      <x:c r="B195"/>
      <x:c r="C195"/>
      <x:c r="D195"/>
      <x:c r="E195"/>
      <x:c r="F195"/>
      <x:c r="G195"/>
      <x:c r="H195"/>
      <x:c r="I195"/>
    </x:row>
    <x:row r="196">
      <x:c r="A196"/>
      <x:c r="B196"/>
      <x:c r="C196"/>
      <x:c r="D196"/>
      <x:c r="E196"/>
      <x:c r="F196"/>
      <x:c r="G196"/>
      <x:c r="H196"/>
      <x:c r="I196"/>
    </x:row>
    <x:row r="197">
      <x:c r="A197"/>
      <x:c r="B197"/>
      <x:c r="C197"/>
      <x:c r="D197"/>
      <x:c r="E197"/>
      <x:c r="F197"/>
      <x:c r="G197"/>
      <x:c r="H197"/>
      <x:c r="I197"/>
    </x:row>
    <x:row r="198">
      <x:c r="A198"/>
      <x:c r="B198"/>
      <x:c r="C198"/>
      <x:c r="D198"/>
      <x:c r="E198"/>
      <x:c r="F198"/>
      <x:c r="G198"/>
      <x:c r="H198"/>
      <x:c r="I198"/>
    </x:row>
    <x:row r="199">
      <x:c r="A199"/>
      <x:c r="B199"/>
      <x:c r="C199"/>
      <x:c r="D199"/>
      <x:c r="E199"/>
      <x:c r="F199"/>
      <x:c r="G199"/>
      <x:c r="H199"/>
      <x:c r="I199"/>
    </x:row>
    <x:row r="200">
      <x:c r="A200"/>
      <x:c r="B200"/>
      <x:c r="C200"/>
      <x:c r="D200"/>
      <x:c r="E200"/>
      <x:c r="F200"/>
      <x:c r="G200"/>
      <x:c r="H200"/>
      <x:c r="I200"/>
    </x:row>
    <x:row r="201">
      <x:c r="A201"/>
      <x:c r="B201"/>
      <x:c r="C201"/>
      <x:c r="D201"/>
      <x:c r="E201"/>
      <x:c r="F201"/>
      <x:c r="G201"/>
      <x:c r="H201"/>
      <x:c r="I201"/>
    </x:row>
    <x:row r="202">
      <x:c r="A202"/>
      <x:c r="B202"/>
      <x:c r="C202"/>
      <x:c r="D202"/>
      <x:c r="E202"/>
      <x:c r="F202"/>
      <x:c r="G202"/>
      <x:c r="H202"/>
      <x:c r="I202"/>
    </x:row>
    <x:row r="203">
      <x:c r="A203"/>
      <x:c r="B203"/>
      <x:c r="C203"/>
      <x:c r="D203"/>
      <x:c r="E203"/>
      <x:c r="F203"/>
      <x:c r="G203"/>
      <x:c r="H203"/>
      <x:c r="I203"/>
    </x:row>
    <x:row r="204">
      <x:c r="A204"/>
      <x:c r="B204"/>
      <x:c r="C204"/>
      <x:c r="D204"/>
      <x:c r="E204"/>
      <x:c r="F204"/>
      <x:c r="G204"/>
      <x:c r="H204"/>
      <x:c r="I204"/>
    </x:row>
    <x:row r="205">
      <x:c r="A205"/>
      <x:c r="B205"/>
      <x:c r="C205"/>
      <x:c r="D205"/>
      <x:c r="E205"/>
      <x:c r="F205"/>
      <x:c r="G205"/>
      <x:c r="H205"/>
      <x:c r="I205"/>
    </x:row>
    <x:row r="206">
      <x:c r="A206"/>
      <x:c r="B206"/>
      <x:c r="C206"/>
      <x:c r="D206"/>
      <x:c r="E206"/>
      <x:c r="F206"/>
      <x:c r="G206"/>
      <x:c r="H206"/>
      <x:c r="I206"/>
    </x:row>
    <x:row r="207">
      <x:c r="A207"/>
      <x:c r="B207"/>
      <x:c r="C207"/>
      <x:c r="D207"/>
      <x:c r="E207"/>
      <x:c r="F207"/>
      <x:c r="G207"/>
      <x:c r="H207"/>
      <x:c r="I207"/>
    </x:row>
    <x:row r="208">
      <x:c r="A208"/>
      <x:c r="B208"/>
      <x:c r="C208"/>
      <x:c r="D208"/>
      <x:c r="E208"/>
      <x:c r="F208"/>
      <x:c r="G208"/>
      <x:c r="H208"/>
      <x:c r="I208"/>
    </x:row>
    <x:row r="209">
      <x:c r="A209"/>
      <x:c r="B209"/>
      <x:c r="C209"/>
      <x:c r="D209"/>
      <x:c r="E209"/>
      <x:c r="F209"/>
      <x:c r="G209"/>
      <x:c r="H209"/>
      <x:c r="I209"/>
    </x:row>
    <x:row r="210">
      <x:c r="A210"/>
      <x:c r="B210"/>
      <x:c r="C210"/>
      <x:c r="D210"/>
      <x:c r="E210"/>
      <x:c r="F210"/>
      <x:c r="G210"/>
      <x:c r="H210"/>
      <x:c r="I210"/>
    </x:row>
    <x:row r="211">
      <x:c r="A211"/>
      <x:c r="B211"/>
      <x:c r="C211"/>
      <x:c r="D211"/>
      <x:c r="E211"/>
      <x:c r="F211"/>
      <x:c r="G211"/>
      <x:c r="H211"/>
      <x:c r="I211"/>
    </x:row>
    <x:row r="212">
      <x:c r="A212"/>
      <x:c r="B212"/>
      <x:c r="C212"/>
      <x:c r="D212"/>
      <x:c r="E212"/>
      <x:c r="F212"/>
      <x:c r="G212"/>
      <x:c r="H212"/>
      <x:c r="I212"/>
    </x:row>
    <x:row r="213">
      <x:c r="A213"/>
      <x:c r="B213"/>
      <x:c r="C213"/>
      <x:c r="D213"/>
      <x:c r="E213"/>
      <x:c r="F213"/>
      <x:c r="G213"/>
      <x:c r="H213"/>
      <x:c r="I213"/>
    </x:row>
    <x:row r="214">
      <x:c r="A214"/>
      <x:c r="B214"/>
      <x:c r="C214"/>
      <x:c r="D214"/>
      <x:c r="E214"/>
      <x:c r="F214"/>
      <x:c r="G214"/>
      <x:c r="H214"/>
      <x:c r="I214"/>
    </x:row>
    <x:row r="215">
      <x:c r="A215"/>
      <x:c r="B215"/>
      <x:c r="C215"/>
      <x:c r="D215"/>
      <x:c r="E215"/>
      <x:c r="F215"/>
      <x:c r="G215"/>
      <x:c r="H215"/>
      <x:c r="I215"/>
    </x:row>
    <x:row r="216">
      <x:c r="A216"/>
      <x:c r="B216"/>
      <x:c r="C216"/>
      <x:c r="D216"/>
      <x:c r="E216"/>
      <x:c r="F216"/>
      <x:c r="G216"/>
      <x:c r="H216"/>
      <x:c r="I216"/>
    </x:row>
    <x:row r="217">
      <x:c r="A217"/>
      <x:c r="B217"/>
      <x:c r="C217"/>
      <x:c r="D217"/>
      <x:c r="E217"/>
      <x:c r="F217"/>
      <x:c r="G217"/>
      <x:c r="H217"/>
      <x:c r="I217"/>
    </x:row>
    <x:row r="218">
      <x:c r="A218"/>
      <x:c r="B218"/>
      <x:c r="C218"/>
      <x:c r="D218"/>
      <x:c r="E218"/>
      <x:c r="F218"/>
      <x:c r="G218"/>
      <x:c r="H218"/>
      <x:c r="I218"/>
    </x:row>
    <x:row r="219">
      <x:c r="A219"/>
      <x:c r="B219"/>
      <x:c r="C219"/>
      <x:c r="D219"/>
      <x:c r="E219"/>
      <x:c r="F219"/>
      <x:c r="G219"/>
      <x:c r="H219"/>
      <x:c r="I219"/>
    </x:row>
    <x:row r="220">
      <x:c r="A220"/>
      <x:c r="B220"/>
      <x:c r="C220"/>
      <x:c r="D220"/>
      <x:c r="E220"/>
      <x:c r="F220"/>
      <x:c r="G220"/>
      <x:c r="H220"/>
      <x:c r="I220"/>
    </x:row>
    <x:row r="221">
      <x:c r="A221"/>
      <x:c r="B221"/>
      <x:c r="C221"/>
      <x:c r="D221"/>
      <x:c r="E221"/>
      <x:c r="F221"/>
      <x:c r="G221"/>
      <x:c r="H221"/>
      <x:c r="I221"/>
    </x:row>
    <x:row r="222">
      <x:c r="A222"/>
      <x:c r="B222"/>
      <x:c r="C222"/>
      <x:c r="D222"/>
      <x:c r="E222"/>
      <x:c r="F222"/>
      <x:c r="G222"/>
      <x:c r="H222"/>
      <x:c r="I222"/>
    </x:row>
    <x:row r="223">
      <x:c r="A223"/>
      <x:c r="B223"/>
      <x:c r="C223"/>
      <x:c r="D223"/>
      <x:c r="E223"/>
      <x:c r="F223"/>
      <x:c r="G223"/>
      <x:c r="H223"/>
      <x:c r="I223"/>
    </x:row>
    <x:row r="224">
      <x:c r="A224"/>
      <x:c r="B224"/>
      <x:c r="C224"/>
      <x:c r="D224"/>
      <x:c r="E224"/>
      <x:c r="F224"/>
      <x:c r="G224"/>
      <x:c r="H224"/>
      <x:c r="I224"/>
    </x:row>
  </x:sheetData>
  <x:mergeCells>
    <x:mergeCell ref="A42:D42"/>
    <x:mergeCell ref="F42:G42"/>
    <x:mergeCell ref="A3:D3"/>
    <x:mergeCell ref="E3:G3"/>
    <x:mergeCell ref="H3:J3"/>
    <x:mergeCell ref="K3:N3"/>
    <x:mergeCell ref="A1:N1"/>
    <x:mergeCell ref="A2:N2"/>
  </x:mergeCells>
  <x:conditionalFormatting sqref="H5:H224">
    <x:cfRule type="containsText" dxfId="19" priority="1" operator="containsText" text="已配置"/>
    <x:cfRule type="containsText" dxfId="20" priority="2" operator="containsText" text="待校准"/>
  </x:conditionalFormatting>
  <x:pageMargins left="0.7" right="0.7" top="0.75" bottom="0.75" header="0.3" footer="0.3"/>
  <x:tableParts count="1">
    <x:tablePart xmlns:r="http://schemas.openxmlformats.org/officeDocument/2006/relationships" r:id="R99fd43458e37410e"/>
  </x:tableParts>
</x:worksheet>
</file>