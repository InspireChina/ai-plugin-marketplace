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需求故事" sheetId="1" state="visible" r:id="rId1"/>
    <sheet name="02-任务清单" sheetId="2" state="visible" r:id="rId2"/>
    <sheet name="90-填写选项" sheetId="3" state="visible" r:id="rId3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0"/>
    </font>
    <font>
      <name val="Microsoft YaHei"/>
      <color rgb="001F2937"/>
      <sz val="10"/>
    </font>
    <font>
      <name val="Microsoft YaHe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1F4F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applyProtection="1" pivotButton="0" quotePrefix="0" xfId="0">
      <alignment vertical="center" wrapText="1"/>
      <protection locked="0" hidden="0"/>
    </xf>
    <xf numFmtId="0" fontId="3" fillId="6" borderId="1" applyAlignment="1" applyProtection="1" pivotButton="0" quotePrefix="0" xfId="0">
      <alignment vertical="center" wrapText="1"/>
      <protection locked="1" hidden="1"/>
    </xf>
    <xf numFmtId="0" fontId="4" fillId="2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OWStoryTable" displayName="SOWStoryTable" ref="A4:I5" headerRowCount="1">
  <autoFilter ref="A4:I5"/>
  <tableColumns count="9">
    <tableColumn id="1" name="需求"/>
    <tableColumn id="2" name="子需求"/>
    <tableColumn id="3" name="故事"/>
    <tableColumn id="4" name="UAT适用"/>
    <tableColumn id="5" name="验收条件"/>
    <tableColumn id="6" name="备注"/>
    <tableColumn id="7" name="任务列表">
      <calculatedColumnFormula array="1">IF($I5="","",IFERROR(_xlfn.TEXTJOIN(CHAR(10),TRUE,IF('02-任务清单'!$A$5:INDEX('02-任务清单'!$A:$A,MAX(5,COUNTA('02-任务清单'!$A:$A)+1))=$I5,"• "&amp;'02-任务清单'!$B$5:INDEX('02-任务清单'!$B:$B,MAX(5,COUNTA('02-任务清单'!$A:$A)+1)),"")),""))</calculatedColumnFormula>
    </tableColumn>
    <tableColumn id="8" name="校验结果">
      <calculatedColumnFormula>IF(COUNTA($A5:$F5)=0,"",IF(OR($A5="",$B5="",$C5="",$D5="",$E5=""),"必填项缺失",IF(COUNTIF($C:$C,$C5)&gt;1,"故事名称重复",IF(COUNTIF($I:$I,$I5)&gt;1,"故事路径重复",IF(COUNTIFS($B:$B,$B5,$A:$A,"&lt;&gt;"&amp;$A5)&gt;0,"子需求父级冲突",IF(AND($D5&lt;&gt;"是",$D5&lt;&gt;"否"),"UAT适用值非法",IF(COUNTIF('02-任务清单'!$A:$A,$I5)=0,"故事缺少任务","通过")))))))</calculatedColumnFormula>
    </tableColumn>
    <tableColumn id="9" name="故事路径">
      <calculatedColumnFormula>IF(OR($A5="",$B5="",$C5=""),"",$A5&amp;" &gt; "&amp;$B5&amp;" &gt; "&amp;$C5)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skTable" displayName="TaskTable" ref="A4:G5" headerRowCount="1">
  <autoFilter ref="A4:G5"/>
  <tableColumns count="7">
    <tableColumn id="1" name="所属故事"/>
    <tableColumn id="2" name="任务名称"/>
    <tableColumn id="3" name="任务类型"/>
    <tableColumn id="4" name="工作方式"/>
    <tableColumn id="5" name="复杂度"/>
    <tableColumn id="6" name="备注"/>
    <tableColumn id="7" name="校验结果">
      <calculatedColumnFormula>IF(COUNTA($A5:$F5)=0,"",IF(OR($A5="",$B5="",$C5="",$D5="",$E5=""),"必填项缺失",IF(COUNTIF($B:$B,$B5)&gt;1,"任务名称重复",IF(COUNTIF('01-需求故事'!$I:$I,$A5)&lt;&gt;1,"所属故事未知",IF(AND($E5&lt;&gt;"S",$E5&lt;&gt;"M",$E5&lt;&gt;"L"),"复杂度非法",IF(COUNTIF('90-填写选项'!$B$5:$B$41,$C5)=0,"任务类型未知",IF(AND($D5&lt;&gt;"新建",$D5&lt;&gt;"调整",$D5&lt;&gt;"接入复用"),"工作方式非法",IF(SUMPRODUCT(('90-填写选项'!$B$5:$B$41=$C5)*ISNUMBER(SEARCH("|"&amp;$D5&amp;"|","|"&amp;'90-填写选项'!$D$5:$D$41&amp;"|")))=0,"任务类型与工作方式不适用","通过"))))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pplierTaskOptionTable" displayName="SupplierTaskOptionTable" ref="A4:D41" headerRowCount="1">
  <autoFilter ref="A4:D41"/>
  <tableColumns count="4">
    <tableColumn id="1" name="基础单元ID"/>
    <tableColumn id="2" name="任务类型"/>
    <tableColumn id="3" name="任务族"/>
    <tableColumn id="4" name="允许工作方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pplierComplexityOptionTable" displayName="SupplierComplexityOptionTable" ref="F4:F7" headerRowCount="1">
  <autoFilter ref="F4:F7"/>
  <tableColumns count="1">
    <tableColumn id="6" name="复杂度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pplierUATOptionTable" displayName="SupplierUATOptionTable" ref="H4:H6" headerRowCount="1">
  <autoFilter ref="H4:H6"/>
  <tableColumns count="1">
    <tableColumn id="8" name="UAT适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12" customWidth="1" min="4" max="4"/>
    <col width="46" customWidth="1" min="5" max="5"/>
    <col width="30" customWidth="1" min="6" max="6"/>
    <col width="38" customWidth="1" min="7" max="7"/>
    <col width="24" customWidth="1" min="8" max="8"/>
    <col hidden="1" width="44" customWidth="1" min="9" max="9"/>
  </cols>
  <sheetData>
    <row r="1" ht="30" customHeight="1">
      <c r="A1" s="1" t="inlineStr">
        <is>
          <t>需求故事</t>
        </is>
      </c>
    </row>
    <row r="2" ht="30" customHeight="1">
      <c r="A2" s="2">
        <f>"问题数："&amp;COUNTIFS(SOWStoryTable[需求],"&lt;&gt;",SOWStoryTable[校验结果],"&lt;&gt;通过")</f>
        <v/>
      </c>
    </row>
    <row r="4" ht="30" customHeight="1">
      <c r="A4" s="3" t="inlineStr">
        <is>
          <t>需求</t>
        </is>
      </c>
      <c r="B4" s="3" t="inlineStr">
        <is>
          <t>子需求</t>
        </is>
      </c>
      <c r="C4" s="3" t="inlineStr">
        <is>
          <t>故事</t>
        </is>
      </c>
      <c r="D4" s="3" t="inlineStr">
        <is>
          <t>UAT适用</t>
        </is>
      </c>
      <c r="E4" s="3" t="inlineStr">
        <is>
          <t>验收条件</t>
        </is>
      </c>
      <c r="F4" s="3" t="inlineStr">
        <is>
          <t>备注</t>
        </is>
      </c>
      <c r="G4" s="3" t="inlineStr">
        <is>
          <t>任务列表</t>
        </is>
      </c>
      <c r="H4" s="3" t="inlineStr">
        <is>
          <t>校验结果</t>
        </is>
      </c>
      <c r="I4" s="3" t="inlineStr">
        <is>
          <t>故事路径</t>
        </is>
      </c>
    </row>
    <row r="5" ht="42" customHeight="1">
      <c r="A5" s="4" t="n"/>
      <c r="B5" s="4" t="n"/>
      <c r="C5" s="4" t="n"/>
      <c r="D5" s="4" t="n"/>
      <c r="E5" s="4" t="n"/>
      <c r="F5" s="4" t="n"/>
      <c r="G5" s="5">
        <f t="array" ref="G5">IF($I5="","",IFERROR(_xlfn.TEXTJOIN(CHAR(10),TRUE,IF('02-任务清单'!$A$5:INDEX('02-任务清单'!$A:$A,MAX(5,COUNTA('02-任务清单'!$A:$A)+1))=$I5,"• "&amp;'02-任务清单'!$B$5:INDEX('02-任务清单'!$B:$B,MAX(5,COUNTA('02-任务清单'!$A:$A)+1)),"")),""))</f>
        <v/>
      </c>
      <c r="H5" s="5">
        <f>IF(COUNTA($A5:$F5)=0,"",IF(OR($A5="",$B5="",$C5="",$D5="",$E5=""),"必填项缺失",IF(COUNTIF($C:$C,$C5)&gt;1,"故事名称重复",IF(COUNTIF($I:$I,$I5)&gt;1,"故事路径重复",IF(COUNTIFS($B:$B,$B5,$A:$A,"&lt;&gt;"&amp;$A5)&gt;0,"子需求父级冲突",IF(AND($D5&lt;&gt;"是",$D5&lt;&gt;"否"),"UAT适用值非法",IF(COUNTIF('02-任务清单'!$A:$A,$I5)=0,"故事缺少任务","通过")))))))</f>
        <v/>
      </c>
      <c r="I5" s="5">
        <f>IF(OR($A5="",$B5="",$C5=""),"",$A5&amp;" &gt; "&amp;$B5&amp;" &gt; "&amp;$C5)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mergeCells count="2">
    <mergeCell ref="A1:I1"/>
    <mergeCell ref="A2:I2"/>
  </mergeCells>
  <conditionalFormatting sqref="H5:H1048576">
    <cfRule type="expression" priority="1" dxfId="0">
      <formula>AND($H5&lt;&gt;"",$H5&lt;&gt;"通过")</formula>
    </cfRule>
  </conditionalFormatting>
  <dataValidations count="1">
    <dataValidation sqref="D5:D1048576" showDropDown="0" showInputMessage="1" showErrorMessage="1" allowBlank="1" errorTitle="输入值不受支持" error="请选择受支持的值；粘贴数据后仍需运行补全 Skill 严格校验。" promptTitle="填写提示" prompt="请从下拉选项中选择。" type="list">
      <formula1>=INDIRECT("SupplierUATOptionTable[UAT适用]")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24" customWidth="1" min="3" max="3"/>
    <col width="12" customWidth="1" min="4" max="4"/>
    <col width="10" customWidth="1" min="5" max="5"/>
    <col width="40" customWidth="1" min="6" max="6"/>
    <col width="28" customWidth="1" min="7" max="7"/>
  </cols>
  <sheetData>
    <row r="1" ht="30" customHeight="1">
      <c r="A1" s="1" t="inlineStr">
        <is>
          <t>任务清单</t>
        </is>
      </c>
    </row>
    <row r="2" ht="30" customHeight="1">
      <c r="A2" s="2">
        <f>"问题数："&amp;COUNTIFS(TaskTable[所属故事],"&lt;&gt;",TaskTable[校验结果],"&lt;&gt;通过")</f>
        <v/>
      </c>
    </row>
    <row r="4" ht="30" customHeight="1">
      <c r="A4" s="3" t="inlineStr">
        <is>
          <t>所属故事</t>
        </is>
      </c>
      <c r="B4" s="3" t="inlineStr">
        <is>
          <t>任务名称</t>
        </is>
      </c>
      <c r="C4" s="3" t="inlineStr">
        <is>
          <t>任务类型</t>
        </is>
      </c>
      <c r="D4" s="3" t="inlineStr">
        <is>
          <t>工作方式</t>
        </is>
      </c>
      <c r="E4" s="3" t="inlineStr">
        <is>
          <t>复杂度</t>
        </is>
      </c>
      <c r="F4" s="3" t="inlineStr">
        <is>
          <t>备注</t>
        </is>
      </c>
      <c r="G4" s="3" t="inlineStr">
        <is>
          <t>校验结果</t>
        </is>
      </c>
    </row>
    <row r="5" ht="42" customHeight="1">
      <c r="A5" s="4" t="n"/>
      <c r="B5" s="4" t="n"/>
      <c r="C5" s="4" t="n"/>
      <c r="D5" s="4" t="n"/>
      <c r="E5" s="4" t="n"/>
      <c r="F5" s="4" t="n"/>
      <c r="G5" s="5">
        <f>IF(COUNTA($A5:$F5)=0,"",IF(OR($A5="",$B5="",$C5="",$D5="",$E5=""),"必填项缺失",IF(COUNTIF($B:$B,$B5)&gt;1,"任务名称重复",IF(COUNTIF('01-需求故事'!$I:$I,$A5)&lt;&gt;1,"所属故事未知",IF(AND($E5&lt;&gt;"S",$E5&lt;&gt;"M",$E5&lt;&gt;"L"),"复杂度非法",IF(COUNTIF('90-填写选项'!$B$5:$B$41,$C5)=0,"任务类型未知",IF(AND($D5&lt;&gt;"新建",$D5&lt;&gt;"调整",$D5&lt;&gt;"接入复用"),"工作方式非法",IF(SUMPRODUCT(('90-填写选项'!$B$5:$B$41=$C5)*ISNUMBER(SEARCH("|"&amp;$D5&amp;"|","|"&amp;'90-填写选项'!$D$5:$D$41&amp;"|")))=0,"任务类型与工作方式不适用","通过"))))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mergeCells count="2">
    <mergeCell ref="A2:G2"/>
    <mergeCell ref="A1:G1"/>
  </mergeCells>
  <conditionalFormatting sqref="G5:G1048576">
    <cfRule type="expression" priority="1" dxfId="0">
      <formula>AND($G5&lt;&gt;"",$G5&lt;&gt;"通过")</formula>
    </cfRule>
  </conditionalFormatting>
  <dataValidations count="4">
    <dataValidation sqref="A5:A1048576" showDropDown="0" showInputMessage="1" showErrorMessage="1" allowBlank="1" errorTitle="输入值不受支持" error="请选择受支持的值；粘贴数据后仍需运行补全 Skill 严格校验。" promptTitle="填写提示" prompt="请从下拉选项中选择。" type="list">
      <formula1>=INDIRECT("SOWStoryTable[故事路径]")</formula1>
    </dataValidation>
    <dataValidation sqref="C5:C1048576" showDropDown="0" showInputMessage="1" showErrorMessage="1" allowBlank="1" errorTitle="输入值不受支持" error="请选择受支持的值；粘贴数据后仍需运行补全 Skill 严格校验。" promptTitle="填写提示" prompt="请从下拉选项中选择。" type="list">
      <formula1>=INDIRECT("SupplierTaskOptionTable[任务类型]")</formula1>
    </dataValidation>
    <dataValidation sqref="D5:D1048576" showDropDown="0" showInputMessage="1" showErrorMessage="1" allowBlank="1" errorTitle="输入值不受支持" error="请选择受支持的值；粘贴数据后仍需运行补全 Skill 严格校验。" promptTitle="填写提示" prompt="请从下拉选项中选择。" type="list">
      <formula1>"新建,调整,接入复用"</formula1>
    </dataValidation>
    <dataValidation sqref="E5:E1048576" showDropDown="0" showInputMessage="1" showErrorMessage="1" allowBlank="1" errorTitle="输入值不受支持" error="请选择受支持的值；粘贴数据后仍需运行补全 Skill 严格校验。" promptTitle="填写提示" prompt="请从下拉选项中选择。" type="list">
      <formula1>=INDIRECT("SupplierComplexityOptionTable[复杂度]")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12" customWidth="1" min="6" max="6"/>
    <col width="12" customWidth="1" min="8" max="8"/>
  </cols>
  <sheetData>
    <row r="1">
      <c r="A1" s="6" t="inlineStr">
        <is>
          <t>简易模板合同版本</t>
        </is>
      </c>
      <c r="B1" s="6" t="inlineStr">
        <is>
          <t>supplier-estimate-input-v1</t>
        </is>
      </c>
    </row>
    <row r="4" ht="30" customHeight="1">
      <c r="A4" s="3" t="inlineStr">
        <is>
          <t>基础单元ID</t>
        </is>
      </c>
      <c r="B4" s="3" t="inlineStr">
        <is>
          <t>任务类型</t>
        </is>
      </c>
      <c r="C4" s="3" t="inlineStr">
        <is>
          <t>任务族</t>
        </is>
      </c>
      <c r="D4" s="3" t="inlineStr">
        <is>
          <t>允许工作方式</t>
        </is>
      </c>
      <c r="F4" s="3" t="inlineStr">
        <is>
          <t>复杂度</t>
        </is>
      </c>
      <c r="H4" s="3" t="inlineStr">
        <is>
          <t>UAT适用</t>
        </is>
      </c>
    </row>
    <row r="5" ht="42" customHeight="1">
      <c r="A5" s="7" t="inlineStr">
        <is>
          <t>BU-UI-INTERACTION</t>
        </is>
      </c>
      <c r="B5" s="7" t="inlineStr">
        <is>
          <t>界面与交互</t>
        </is>
      </c>
      <c r="C5" s="7" t="inlineStr">
        <is>
          <t>前端</t>
        </is>
      </c>
      <c r="D5" s="7" t="inlineStr">
        <is>
          <t>新建|调整</t>
        </is>
      </c>
      <c r="F5" s="7" t="inlineStr">
        <is>
          <t>S</t>
        </is>
      </c>
      <c r="H5" s="7" t="inlineStr">
        <is>
          <t>是</t>
        </is>
      </c>
    </row>
    <row r="6" ht="42" customHeight="1">
      <c r="A6" s="7" t="inlineStr">
        <is>
          <t>BU-UI-COMPONENT</t>
        </is>
      </c>
      <c r="B6" s="7" t="inlineStr">
        <is>
          <t>通用界面组件</t>
        </is>
      </c>
      <c r="C6" s="7" t="inlineStr">
        <is>
          <t>前端</t>
        </is>
      </c>
      <c r="D6" s="7" t="inlineStr">
        <is>
          <t>新建|调整|接入复用</t>
        </is>
      </c>
      <c r="F6" s="7" t="inlineStr">
        <is>
          <t>M</t>
        </is>
      </c>
      <c r="H6" s="7" t="inlineStr">
        <is>
          <t>否</t>
        </is>
      </c>
    </row>
    <row r="7" ht="42" customHeight="1">
      <c r="A7" s="7" t="inlineStr">
        <is>
          <t>BU-BUSINESS-SERVICE-API</t>
        </is>
      </c>
      <c r="B7" s="7" t="inlineStr">
        <is>
          <t>业务服务与接口</t>
        </is>
      </c>
      <c r="C7" s="7" t="inlineStr">
        <is>
          <t>后端</t>
        </is>
      </c>
      <c r="D7" s="7" t="inlineStr">
        <is>
          <t>新建|调整</t>
        </is>
      </c>
      <c r="F7" s="7" t="inlineStr">
        <is>
          <t>L</t>
        </is>
      </c>
    </row>
    <row r="8" ht="42" customHeight="1">
      <c r="A8" s="7" t="inlineStr">
        <is>
          <t>BU-BACKGROUND-JOB</t>
        </is>
      </c>
      <c r="B8" s="7" t="inlineStr">
        <is>
          <t>后台任务</t>
        </is>
      </c>
      <c r="C8" s="7" t="inlineStr">
        <is>
          <t>后端</t>
        </is>
      </c>
      <c r="D8" s="7" t="inlineStr">
        <is>
          <t>新建|调整</t>
        </is>
      </c>
    </row>
    <row r="9" ht="42" customHeight="1">
      <c r="A9" s="7" t="inlineStr">
        <is>
          <t>BU-EVENT-MESSAGE</t>
        </is>
      </c>
      <c r="B9" s="7" t="inlineStr">
        <is>
          <t>事件与消息处理</t>
        </is>
      </c>
      <c r="C9" s="7" t="inlineStr">
        <is>
          <t>后端</t>
        </is>
      </c>
      <c r="D9" s="7" t="inlineStr">
        <is>
          <t>新建|调整</t>
        </is>
      </c>
    </row>
    <row r="10" ht="42" customHeight="1">
      <c r="A10" s="7" t="inlineStr">
        <is>
          <t>BU-DATA-MODEL</t>
        </is>
      </c>
      <c r="B10" s="7" t="inlineStr">
        <is>
          <t>数据模型与存储结构</t>
        </is>
      </c>
      <c r="C10" s="7" t="inlineStr">
        <is>
          <t>数据与报表</t>
        </is>
      </c>
      <c r="D10" s="7" t="inlineStr">
        <is>
          <t>新建|调整</t>
        </is>
      </c>
    </row>
    <row r="11" ht="42" customHeight="1">
      <c r="A11" s="7" t="inlineStr">
        <is>
          <t>BU-REPORT-METRIC</t>
        </is>
      </c>
      <c r="B11" s="7" t="inlineStr">
        <is>
          <t>报表与指标</t>
        </is>
      </c>
      <c r="C11" s="7" t="inlineStr">
        <is>
          <t>数据与报表</t>
        </is>
      </c>
      <c r="D11" s="7" t="inlineStr">
        <is>
          <t>新建|调整</t>
        </is>
      </c>
    </row>
    <row r="12" ht="42" customHeight="1">
      <c r="A12" s="7" t="inlineStr">
        <is>
          <t>BU-DATA-PIPELINE</t>
        </is>
      </c>
      <c r="B12" s="7" t="inlineStr">
        <is>
          <t>数据处理流程</t>
        </is>
      </c>
      <c r="C12" s="7" t="inlineStr">
        <is>
          <t>数据与报表</t>
        </is>
      </c>
      <c r="D12" s="7" t="inlineStr">
        <is>
          <t>新建|调整</t>
        </is>
      </c>
    </row>
    <row r="13" ht="42" customHeight="1">
      <c r="A13" s="7" t="inlineStr">
        <is>
          <t>BU-INTERNAL-INTEGRATION</t>
        </is>
      </c>
      <c r="B13" s="7" t="inlineStr">
        <is>
          <t>内部系统对接</t>
        </is>
      </c>
      <c r="C13" s="7" t="inlineStr">
        <is>
          <t>系统集成</t>
        </is>
      </c>
      <c r="D13" s="7" t="inlineStr">
        <is>
          <t>新建|调整|接入复用</t>
        </is>
      </c>
    </row>
    <row r="14" ht="42" customHeight="1">
      <c r="A14" s="7" t="inlineStr">
        <is>
          <t>BU-EXTERNAL-INTEGRATION</t>
        </is>
      </c>
      <c r="B14" s="7" t="inlineStr">
        <is>
          <t>外部系统对接</t>
        </is>
      </c>
      <c r="C14" s="7" t="inlineStr">
        <is>
          <t>系统集成</t>
        </is>
      </c>
      <c r="D14" s="7" t="inlineStr">
        <is>
          <t>新建|调整|接入复用</t>
        </is>
      </c>
    </row>
    <row r="15" ht="42" customHeight="1">
      <c r="A15" s="7" t="inlineStr">
        <is>
          <t>BU-MANUAL-TESTING</t>
        </is>
      </c>
      <c r="B15" s="7" t="inlineStr">
        <is>
          <t>人工测试</t>
        </is>
      </c>
      <c r="C15" s="7" t="inlineStr">
        <is>
          <t>质量验证</t>
        </is>
      </c>
      <c r="D15" s="7" t="inlineStr">
        <is>
          <t>新建|调整</t>
        </is>
      </c>
    </row>
    <row r="16" ht="42" customHeight="1">
      <c r="A16" s="7" t="inlineStr">
        <is>
          <t>BU-AUTOMATION-FRAMEWORK</t>
        </is>
      </c>
      <c r="B16" s="7" t="inlineStr">
        <is>
          <t>自动化测试框架</t>
        </is>
      </c>
      <c r="C16" s="7" t="inlineStr">
        <is>
          <t>质量验证</t>
        </is>
      </c>
      <c r="D16" s="7" t="inlineStr">
        <is>
          <t>新建|调整|接入复用</t>
        </is>
      </c>
    </row>
    <row r="17" ht="42" customHeight="1">
      <c r="A17" s="7" t="inlineStr">
        <is>
          <t>BU-AUTOMATION-CASES</t>
        </is>
      </c>
      <c r="B17" s="7" t="inlineStr">
        <is>
          <t>自动化测试用例</t>
        </is>
      </c>
      <c r="C17" s="7" t="inlineStr">
        <is>
          <t>质量验证</t>
        </is>
      </c>
      <c r="D17" s="7" t="inlineStr">
        <is>
          <t>新建|调整</t>
        </is>
      </c>
    </row>
    <row r="18" ht="42" customHeight="1">
      <c r="A18" s="7" t="inlineStr">
        <is>
          <t>BU-PERFORMANCE-TESTING</t>
        </is>
      </c>
      <c r="B18" s="7" t="inlineStr">
        <is>
          <t>性能与容量测试</t>
        </is>
      </c>
      <c r="C18" s="7" t="inlineStr">
        <is>
          <t>质量验证</t>
        </is>
      </c>
      <c r="D18" s="7" t="inlineStr">
        <is>
          <t>新建|调整</t>
        </is>
      </c>
    </row>
    <row r="19" ht="42" customHeight="1">
      <c r="A19" s="7" t="inlineStr">
        <is>
          <t>BU-SECURITY-PRIVACY-TESTING</t>
        </is>
      </c>
      <c r="B19" s="7" t="inlineStr">
        <is>
          <t>安全与隐私测试</t>
        </is>
      </c>
      <c r="C19" s="7" t="inlineStr">
        <is>
          <t>质量验证</t>
        </is>
      </c>
      <c r="D19" s="7" t="inlineStr">
        <is>
          <t>新建|调整</t>
        </is>
      </c>
    </row>
    <row r="20" ht="42" customHeight="1">
      <c r="A20" s="7" t="inlineStr">
        <is>
          <t>BU-COMPATIBILITY-ACCESSIBILITY-TESTING</t>
        </is>
      </c>
      <c r="B20" s="7" t="inlineStr">
        <is>
          <t>兼容性与无障碍测试</t>
        </is>
      </c>
      <c r="C20" s="7" t="inlineStr">
        <is>
          <t>质量验证</t>
        </is>
      </c>
      <c r="D20" s="7" t="inlineStr">
        <is>
          <t>新建|调整</t>
        </is>
      </c>
    </row>
    <row r="21" ht="42" customHeight="1">
      <c r="A21" s="7" t="inlineStr">
        <is>
          <t>BU-I18N</t>
        </is>
      </c>
      <c r="B21" s="7" t="inlineStr">
        <is>
          <t>国际化支持</t>
        </is>
      </c>
      <c r="C21" s="7" t="inlineStr">
        <is>
          <t>共性技术能力</t>
        </is>
      </c>
      <c r="D21" s="7" t="inlineStr">
        <is>
          <t>新建|调整|接入复用</t>
        </is>
      </c>
    </row>
    <row r="22" ht="42" customHeight="1">
      <c r="A22" s="7" t="inlineStr">
        <is>
          <t>BU-IDENTITY-ACCESS</t>
        </is>
      </c>
      <c r="B22" s="7" t="inlineStr">
        <is>
          <t>身份与权限管理</t>
        </is>
      </c>
      <c r="C22" s="7" t="inlineStr">
        <is>
          <t>共性技术能力</t>
        </is>
      </c>
      <c r="D22" s="7" t="inlineStr">
        <is>
          <t>新建|调整|接入复用</t>
        </is>
      </c>
    </row>
    <row r="23" ht="42" customHeight="1">
      <c r="A23" s="7" t="inlineStr">
        <is>
          <t>BU-SECURITY-PRIVACY</t>
        </is>
      </c>
      <c r="B23" s="7" t="inlineStr">
        <is>
          <t>安全与隐私保护</t>
        </is>
      </c>
      <c r="C23" s="7" t="inlineStr">
        <is>
          <t>共性技术能力</t>
        </is>
      </c>
      <c r="D23" s="7" t="inlineStr">
        <is>
          <t>新建|调整|接入复用</t>
        </is>
      </c>
    </row>
    <row r="24" ht="42" customHeight="1">
      <c r="A24" s="7" t="inlineStr">
        <is>
          <t>BU-OBSERVABILITY-AUDIT</t>
        </is>
      </c>
      <c r="B24" s="7" t="inlineStr">
        <is>
          <t>监控、追踪与审计</t>
        </is>
      </c>
      <c r="C24" s="7" t="inlineStr">
        <is>
          <t>共性技术能力</t>
        </is>
      </c>
      <c r="D24" s="7" t="inlineStr">
        <is>
          <t>新建|调整|接入复用</t>
        </is>
      </c>
    </row>
    <row r="25" ht="42" customHeight="1">
      <c r="A25" s="7" t="inlineStr">
        <is>
          <t>BU-PERFORMANCE-RELIABILITY</t>
        </is>
      </c>
      <c r="B25" s="7" t="inlineStr">
        <is>
          <t>性能与稳定性保障</t>
        </is>
      </c>
      <c r="C25" s="7" t="inlineStr">
        <is>
          <t>共性技术能力</t>
        </is>
      </c>
      <c r="D25" s="7" t="inlineStr">
        <is>
          <t>新建|调整|接入复用</t>
        </is>
      </c>
    </row>
    <row r="26" ht="42" customHeight="1">
      <c r="A26" s="7" t="inlineStr">
        <is>
          <t>BU-SHARED-TECH-COMPONENT</t>
        </is>
      </c>
      <c r="B26" s="7" t="inlineStr">
        <is>
          <t>公共技术组件</t>
        </is>
      </c>
      <c r="C26" s="7" t="inlineStr">
        <is>
          <t>共性技术能力</t>
        </is>
      </c>
      <c r="D26" s="7" t="inlineStr">
        <is>
          <t>新建|调整|接入复用</t>
        </is>
      </c>
    </row>
    <row r="27" ht="42" customHeight="1">
      <c r="A27" s="7" t="inlineStr">
        <is>
          <t>BU-CONFIG-FEATURE-FLAG</t>
        </is>
      </c>
      <c r="B27" s="7" t="inlineStr">
        <is>
          <t>配置与功能开关</t>
        </is>
      </c>
      <c r="C27" s="7" t="inlineStr">
        <is>
          <t>共性技术能力</t>
        </is>
      </c>
      <c r="D27" s="7" t="inlineStr">
        <is>
          <t>新建|调整|接入复用</t>
        </is>
      </c>
    </row>
    <row r="28" ht="42" customHeight="1">
      <c r="A28" s="7" t="inlineStr">
        <is>
          <t>BU-APP-BOOTSTRAP</t>
        </is>
      </c>
      <c r="B28" s="7" t="inlineStr">
        <is>
          <t>应用工程初始化</t>
        </is>
      </c>
      <c r="C28" s="7" t="inlineStr">
        <is>
          <t>工程平台</t>
        </is>
      </c>
      <c r="D28" s="7" t="inlineStr">
        <is>
          <t>新建|调整|接入复用</t>
        </is>
      </c>
    </row>
    <row r="29" ht="42" customHeight="1">
      <c r="A29" s="7" t="inlineStr">
        <is>
          <t>BU-BUILD-DEPLOY-PIPELINE</t>
        </is>
      </c>
      <c r="B29" s="7" t="inlineStr">
        <is>
          <t>构建与部署流水线</t>
        </is>
      </c>
      <c r="C29" s="7" t="inlineStr">
        <is>
          <t>工程平台</t>
        </is>
      </c>
      <c r="D29" s="7" t="inlineStr">
        <is>
          <t>新建|调整|接入复用</t>
        </is>
      </c>
    </row>
    <row r="30" ht="42" customHeight="1">
      <c r="A30" s="7" t="inlineStr">
        <is>
          <t>BU-RUNTIME-ENV</t>
        </is>
      </c>
      <c r="B30" s="7" t="inlineStr">
        <is>
          <t>运行环境</t>
        </is>
      </c>
      <c r="C30" s="7" t="inlineStr">
        <is>
          <t>工程平台</t>
        </is>
      </c>
      <c r="D30" s="7" t="inlineStr">
        <is>
          <t>新建|调整|接入复用</t>
        </is>
      </c>
    </row>
    <row r="31" ht="42" customHeight="1">
      <c r="A31" s="7" t="inlineStr">
        <is>
          <t>BU-INFRA-RESOURCE</t>
        </is>
      </c>
      <c r="B31" s="7" t="inlineStr">
        <is>
          <t>基础设施资源</t>
        </is>
      </c>
      <c r="C31" s="7" t="inlineStr">
        <is>
          <t>工程平台</t>
        </is>
      </c>
      <c r="D31" s="7" t="inlineStr">
        <is>
          <t>新建|调整|接入复用</t>
        </is>
      </c>
    </row>
    <row r="32" ht="42" customHeight="1">
      <c r="A32" s="7" t="inlineStr">
        <is>
          <t>BU-DEV-TOOLS-STANDARDS</t>
        </is>
      </c>
      <c r="B32" s="7" t="inlineStr">
        <is>
          <t>开发工具与工程规范</t>
        </is>
      </c>
      <c r="C32" s="7" t="inlineStr">
        <is>
          <t>工程平台</t>
        </is>
      </c>
      <c r="D32" s="7" t="inlineStr">
        <is>
          <t>新建|调整|接入复用</t>
        </is>
      </c>
    </row>
    <row r="33" ht="42" customHeight="1">
      <c r="A33" s="7" t="inlineStr">
        <is>
          <t>BU-DATA-MIGRATION</t>
        </is>
      </c>
      <c r="B33" s="7" t="inlineStr">
        <is>
          <t>数据迁移</t>
        </is>
      </c>
      <c r="C33" s="7" t="inlineStr">
        <is>
          <t>数据迁移</t>
        </is>
      </c>
      <c r="D33" s="7" t="inlineStr">
        <is>
          <t>新建|调整</t>
        </is>
      </c>
    </row>
    <row r="34" ht="42" customHeight="1">
      <c r="A34" s="7" t="inlineStr">
        <is>
          <t>BU-RELEASE-CUTOVER</t>
        </is>
      </c>
      <c r="B34" s="7" t="inlineStr">
        <is>
          <t>发布切换</t>
        </is>
      </c>
      <c r="C34" s="7" t="inlineStr">
        <is>
          <t>发布与切换</t>
        </is>
      </c>
      <c r="D34" s="7" t="inlineStr">
        <is>
          <t>新建|调整</t>
        </is>
      </c>
    </row>
    <row r="35" ht="42" customHeight="1">
      <c r="A35" s="7" t="inlineStr">
        <is>
          <t>BU-SYSTEM-RETIREMENT</t>
        </is>
      </c>
      <c r="B35" s="7" t="inlineStr">
        <is>
          <t>系统功能下线</t>
        </is>
      </c>
      <c r="C35" s="7" t="inlineStr">
        <is>
          <t>发布与切换</t>
        </is>
      </c>
      <c r="D35" s="7" t="inlineStr">
        <is>
          <t>新建</t>
        </is>
      </c>
    </row>
    <row r="36" ht="42" customHeight="1">
      <c r="A36" s="7" t="inlineStr">
        <is>
          <t>BU-ROOT-CAUSE-REMEDIATION</t>
        </is>
      </c>
      <c r="B36" s="7" t="inlineStr">
        <is>
          <t>同一根因问题整改</t>
        </is>
      </c>
      <c r="C36" s="7" t="inlineStr">
        <is>
          <t>问题处理</t>
        </is>
      </c>
      <c r="D36" s="7" t="inlineStr">
        <is>
          <t>新建</t>
        </is>
      </c>
    </row>
    <row r="37" ht="42" customHeight="1">
      <c r="A37" s="7" t="inlineStr">
        <is>
          <t>BU-ARCHITECTURE-DESIGN</t>
        </is>
      </c>
      <c r="B37" s="7" t="inlineStr">
        <is>
          <t>架构方案设计</t>
        </is>
      </c>
      <c r="C37" s="7" t="inlineStr">
        <is>
          <t>架构设计</t>
        </is>
      </c>
      <c r="D37" s="7" t="inlineStr">
        <is>
          <t>新建|调整</t>
        </is>
      </c>
    </row>
    <row r="38" ht="42" customHeight="1">
      <c r="A38" s="7" t="inlineStr">
        <is>
          <t>BU-RESEARCH</t>
        </is>
      </c>
      <c r="B38" s="7" t="inlineStr">
        <is>
          <t>专题调研</t>
        </is>
      </c>
      <c r="C38" s="7" t="inlineStr">
        <is>
          <t>分析与调研</t>
        </is>
      </c>
      <c r="D38" s="7" t="inlineStr">
        <is>
          <t>新建</t>
        </is>
      </c>
    </row>
    <row r="39" ht="42" customHeight="1">
      <c r="A39" s="7" t="inlineStr">
        <is>
          <t>BU-TECH-SUPPORT</t>
        </is>
      </c>
      <c r="B39" s="7" t="inlineStr">
        <is>
          <t>问题诊断与恢复</t>
        </is>
      </c>
      <c r="C39" s="7" t="inlineStr">
        <is>
          <t>问题处理</t>
        </is>
      </c>
      <c r="D39" s="7" t="inlineStr">
        <is>
          <t>新建</t>
        </is>
      </c>
    </row>
    <row r="40" ht="42" customHeight="1">
      <c r="A40" s="7" t="inlineStr">
        <is>
          <t>BU-OPS-HANDOVER</t>
        </is>
      </c>
      <c r="B40" s="7" t="inlineStr">
        <is>
          <t>运维交接与操作手册</t>
        </is>
      </c>
      <c r="C40" s="7" t="inlineStr">
        <is>
          <t>交付与移交</t>
        </is>
      </c>
      <c r="D40" s="7" t="inlineStr">
        <is>
          <t>新建|调整</t>
        </is>
      </c>
    </row>
    <row r="41" ht="42" customHeight="1">
      <c r="A41" s="7" t="inlineStr">
        <is>
          <t>BU-USER-TRAINING</t>
        </is>
      </c>
      <c r="B41" s="7" t="inlineStr">
        <is>
          <t>用户培训与使用材料</t>
        </is>
      </c>
      <c r="C41" s="7" t="inlineStr">
        <is>
          <t>交付与移交</t>
        </is>
      </c>
      <c r="D41" s="7" t="inlineStr">
        <is>
          <t>新建|调整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landscape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 SOW</dc:creator>
  <dc:title>AI SOW 供应商估算输入模板</dc:title>
  <dc:description>供应商输入合同 supplier-estimate-input-v1</dc:description>
  <dcterms:created xsi:type="dcterms:W3CDTF">2000-01-01T00:00:00Z</dcterms:created>
  <dcterms:modified xsi:type="dcterms:W3CDTF">2000-01-01T00:00:00Z</dcterms:modified>
  <cp:lastModifiedBy>AI SOW</cp:lastModifiedBy>
</cp:coreProperties>
</file>