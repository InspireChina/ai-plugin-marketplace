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2">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5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xf numFmtId="0" fontId="44" fillId="120" borderId="26" applyAlignment="1" pivotButton="0" quotePrefix="0" xfId="0">
      <alignment horizontal="left" vertical="center" wrapText="1"/>
    </xf>
    <xf numFmtId="0" fontId="44" fillId="120" borderId="26" applyAlignment="1" pivotButton="0" quotePrefix="0" xfId="0">
      <alignment horizontal="center" vertical="center"/>
    </xf>
    <xf numFmtId="0" fontId="44" fillId="121" borderId="26" applyAlignment="1" pivotButton="0" quotePrefix="0" xfId="0">
      <alignment horizontal="left" vertical="center" wrapText="1"/>
    </xf>
    <xf numFmtId="0" fontId="44" fillId="121" borderId="26" applyAlignment="1" pivotButton="0" quotePrefix="0" xfId="0">
      <alignment horizontal="center" vertical="center"/>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39">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IF(C5="","",IFERROR(_xlfn.TEXTJOIN(CHAR(10),TRUE,_xlfn._xlws.FILTER(AcceptanceCriterionTable[验收条件名称],AcceptanceCriterionTable[故事名称]=C5,"")),""))</calculatedColumnFormula>
    </tableColumn>
    <tableColumn id="6" name="任务明细">
      <calculatedColumnFormula>IF(C5="","",IFERROR(_xlfn.TEXTJOIN(CHAR(10),TRUE,_xlfn._xlws.FILTER("• "&amp;TaskTable[任务名称],TaskTable[故事名称]=C5,"")),""))</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系统现状名称"/>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TopicTable" displayName="AsIsTopicTable" ref="A4:G13" headerRowCount="1" totalsRowCount="0" totalsRowShown="0">
  <autoFilter ref="A4:G13"/>
  <tableColumns count="7">
    <tableColumn id="1" name="主题名称"/>
    <tableColumn id="2" name="评估状态"/>
    <tableColumn id="3" name="结论"/>
    <tableColumn id="4" name="当前事实数"/>
    <tableColumn id="5" name="承诺数"/>
    <tableColumn id="6" name="有效起点数"/>
    <tableColumn id="7" name="未决数"/>
  </tableColumns>
  <tableStyleInfo name="TableStyleMedium2" showFirstColumn="0" showLastColumn="0" showRowStripes="1" showColumnStripes="0"/>
</table>
</file>

<file path=xl/tables/table10.xml><?xml version="1.0" encoding="utf-8"?>
<table xmlns="http://schemas.openxmlformats.org/spreadsheetml/2006/main" id="10" name="AsIsDetailTable" displayName="AsIsDetailTable" ref="A17:G66" headerRowCount="1" totalsRowCount="0" totalsRowShown="0">
  <autoFilter ref="A17:G66"/>
  <tableColumns count="7">
    <tableColumn id="1" name="主题名称"/>
    <tableColumn id="2" name="记录类型"/>
    <tableColumn id="3" name="记录名称"/>
    <tableColumn id="4" name="分类/状态"/>
    <tableColumn id="5" name="摘要/理由"/>
    <tableColumn id="6" name="关系/流向"/>
    <tableColumn id="7" name="关联对象"/>
  </tableColumns>
  <tableStyleInfo name="TableStyleMedium2" showFirstColumn="0" showLastColumn="0" showRowStripes="1" showColumnStripes="0"/>
</table>
</file>

<file path=xl/tables/table11.xml><?xml version="1.0" encoding="utf-8"?>
<table xmlns="http://schemas.openxmlformats.org/spreadsheetml/2006/main" id="11"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2.xml><?xml version="1.0" encoding="utf-8"?>
<table xmlns="http://schemas.openxmlformats.org/spreadsheetml/2006/main" id="12"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系统现状名称 / 判断依据与备注</t>
        </is>
      </c>
      <c r="C28" s="950" t="inlineStr">
        <is>
          <t>故事名称 / 任务名称 / 基础单元名称 / 工作模式及理由 / 复杂度及理由 / 系统现状名称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动态系统现状投影</t>
        </is>
      </c>
      <c r="C32" s="950" t="inlineStr">
        <is>
          <t>主题 / 当前事实 / 承诺 / 有效起点 / 子需求覆盖 / 未决事项 / 证据</t>
        </is>
      </c>
      <c r="D32" s="950" t="inlineStr">
        <is>
          <t>无</t>
        </is>
      </c>
      <c r="E32" s="1000" t="inlineStr">
        <is>
          <t>九主题完整；有效起点名称唯一且可供任务选择；证据引用保留在结构化数据中</t>
        </is>
      </c>
      <c r="F32" s="950" t="inlineStr">
        <is>
          <t>project.json / asis.json</t>
        </is>
      </c>
      <c r="G32" s="950" t="inlineStr">
        <is>
          <t>设计 / 故事 / 任务 / 审计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e82bed56bfdeef7657145d894f813eec584179277812152eaa0b93cf36cf26ce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0aeb3baff7024ba001b3206c687c3f35bb09436c579f4be4de14cd178d3271ed</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0" t="inlineStr">
        <is>
          <t>会员与客户管理</t>
        </is>
      </c>
      <c r="B5" s="1051" t="inlineStr">
        <is>
          <t>业务</t>
        </is>
      </c>
      <c r="C5" s="1050" t="inlineStr">
        <is>
          <t>统一会员身份、档案、等级与授权边界。</t>
        </is>
      </c>
      <c r="D5" s="1050" t="inlineStr">
        <is>
          <t>会员门户、会员主数据、授权中心 / customer_profile、member_tier</t>
        </is>
      </c>
      <c r="E5" s="1050" t="inlineStr">
        <is>
          <t>会员信息跨渠道一致，等级与授权过程可追溯</t>
        </is>
      </c>
      <c r="F5" s="1050" t="inlineStr">
        <is>
          <t>不迁移授权主数据，不改造现有授权中心</t>
        </is>
      </c>
    </row>
    <row r="6" ht="32" customHeight="1" s="1025">
      <c r="A6" s="1050" t="inlineStr">
        <is>
          <t>订单与履约</t>
        </is>
      </c>
      <c r="B6" s="1051" t="inlineStr">
        <is>
          <t>业务</t>
        </is>
      </c>
      <c r="C6" s="1050" t="inlineStr">
        <is>
          <t>统一订单受理、库存预占、状态流转与退货退款。</t>
        </is>
      </c>
      <c r="D6" s="1050" t="inlineStr">
        <is>
          <t>订单服务、ERP、支付网关 / order、inventory_reservation、refund</t>
        </is>
      </c>
      <c r="E6" s="1050" t="inlineStr">
        <is>
          <t>门店与线上订单按同一规则履约且异常可恢复</t>
        </is>
      </c>
      <c r="F6" s="1050" t="inlineStr">
        <is>
          <t>不替换 ERP 库存核算与支付清算能力</t>
        </is>
      </c>
    </row>
    <row r="7" ht="32" customHeight="1" s="1025">
      <c r="A7" s="1050" t="inlineStr">
        <is>
          <t>全渠道运营</t>
        </is>
      </c>
      <c r="B7" s="1051" t="inlineStr">
        <is>
          <t>业务</t>
        </is>
      </c>
      <c r="C7" s="1050" t="inlineStr">
        <is>
          <t>为门店、顾客和客服提供一致的订单操作与信息。</t>
        </is>
      </c>
      <c r="D7" s="1050" t="inlineStr">
        <is>
          <t>门店工作台、会员门户、消息中心 / store_order、order_timeline</t>
        </is>
      </c>
      <c r="E7" s="1050" t="inlineStr">
        <is>
          <t>门店处理效率与顾客订单可视性提升</t>
        </is>
      </c>
      <c r="F7" s="1050" t="inlineStr">
        <is>
          <t>不改造消息中心通道策略与营销触达规则</t>
        </is>
      </c>
    </row>
    <row r="8" ht="32" customHeight="1" s="1025">
      <c r="A8" s="1050" t="inlineStr">
        <is>
          <t>财务结算与经营分析</t>
        </is>
      </c>
      <c r="B8" s="1051" t="inlineStr">
        <is>
          <t>业务</t>
        </is>
      </c>
      <c r="C8" s="1050" t="inlineStr">
        <is>
          <t>建立支付、退款、发票和经营指标的日结闭环。</t>
        </is>
      </c>
      <c r="D8" s="1050" t="inlineStr">
        <is>
          <t>订单服务、支付网关、电子发票平台、财务数据集市</t>
        </is>
      </c>
      <c r="E8" s="1050" t="inlineStr">
        <is>
          <t>财务差异可定位、发票可追踪、经营指标口径一致</t>
        </is>
      </c>
      <c r="F8" s="1050" t="inlineStr">
        <is>
          <t>不改造总账系统，不包含税务筹划与历史会计调整</t>
        </is>
      </c>
    </row>
    <row r="9" ht="32" customHeight="1" s="1025">
      <c r="A9" s="1050" t="inlineStr">
        <is>
          <t>平台与服务边界</t>
        </is>
      </c>
      <c r="B9" s="1051" t="inlineStr">
        <is>
          <t>技术</t>
        </is>
      </c>
      <c r="C9" s="1050" t="inlineStr">
        <is>
          <t>明确会员、订单与生产发布所需的稳定技术边界。</t>
        </is>
      </c>
      <c r="D9" s="1050" t="inlineStr">
        <is>
          <t>会员门户、订单服务、API 网关、生产平台</t>
        </is>
      </c>
      <c r="E9" s="1050" t="inlineStr">
        <is>
          <t>服务职责清晰、发布可回滚、生产范围可签署</t>
        </is>
      </c>
      <c r="F9" s="1050" t="inlineStr">
        <is>
          <t>不替换企业级网关、Kubernetes 平台与 CI/CD 产品</t>
        </is>
      </c>
    </row>
    <row r="10" ht="32" customHeight="1" s="1025">
      <c r="A10" s="1050" t="inlineStr">
        <is>
          <t>上线与质量保障</t>
        </is>
      </c>
      <c r="B10" s="1051" t="inlineStr">
        <is>
          <t>技术</t>
        </is>
      </c>
      <c r="C10" s="1050" t="inlineStr">
        <is>
          <t>将数据迁移、监控运维、质量验证和责任边界纳入可估算交付。</t>
        </is>
      </c>
      <c r="D10" s="1050" t="inlineStr">
        <is>
          <t>迁移作业、统一监控平台、测试资产、运维知识库</t>
        </is>
      </c>
      <c r="E10" s="1050" t="inlineStr">
        <is>
          <t>上线过程可验证、可回退、可运维并可审计</t>
        </is>
      </c>
      <c r="F10" s="1050"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0" t="inlineStr">
        <is>
          <t>会员与客户管理</t>
        </is>
      </c>
      <c r="B5" s="1050" t="inlineStr">
        <is>
          <t>创建并查看客户档案</t>
        </is>
      </c>
      <c r="C5" s="1050" t="inlineStr">
        <is>
          <t>用户创建或维护客户档案后，各渠道可查看授权范围内的最新信息。</t>
        </is>
      </c>
      <c r="D5" s="1050" t="inlineStr">
        <is>
          <t>会员门户、会员主数据 / customer_profile</t>
        </is>
      </c>
      <c r="E5" s="1050" t="inlineStr">
        <is>
          <t>档案查询 P95 小于 300ms；敏感字段按角色脱敏</t>
        </is>
      </c>
      <c r="F5" s="1051" t="inlineStr">
        <is>
          <t>来源输入</t>
        </is>
      </c>
      <c r="G5" s="1050" t="inlineStr"/>
    </row>
    <row r="6" ht="34" customHeight="1" s="1025">
      <c r="A6" s="1050" t="inlineStr">
        <is>
          <t>会员与客户管理</t>
        </is>
      </c>
      <c r="B6" s="1050" t="inlineStr">
        <is>
          <t>会员等级计算与版本</t>
        </is>
      </c>
      <c r="C6" s="1050" t="inlineStr">
        <is>
          <t>按有效消费额计算等级，并记录规则版本、生效日和调整原因。</t>
        </is>
      </c>
      <c r="D6" s="1050" t="inlineStr">
        <is>
          <t>会员主数据、订单服务 / member_tier_rule、member_tier_history</t>
        </is>
      </c>
      <c r="E6" s="1050" t="inlineStr">
        <is>
          <t>同一会员同一时点仅有一个生效等级</t>
        </is>
      </c>
      <c r="F6" s="1051" t="inlineStr">
        <is>
          <t>来源输入</t>
        </is>
      </c>
      <c r="G6" s="1050" t="inlineStr"/>
    </row>
    <row r="7" ht="34" customHeight="1" s="1025">
      <c r="A7" s="1050" t="inlineStr">
        <is>
          <t>会员与客户管理</t>
        </is>
      </c>
      <c r="B7" s="1050" t="inlineStr">
        <is>
          <t>会员授权与撤回复用</t>
        </is>
      </c>
      <c r="C7" s="1050" t="inlineStr">
        <is>
          <t>复用授权中心的授权、撤回与查询能力。</t>
        </is>
      </c>
      <c r="D7" s="1050" t="inlineStr">
        <is>
          <t>授权中心 / consent_record、consent_audit</t>
        </is>
      </c>
      <c r="E7" s="1050" t="inlineStr">
        <is>
          <t>渠道不复制授权主数据，查询留痕保存 36 个月</t>
        </is>
      </c>
      <c r="F7" s="1051" t="inlineStr">
        <is>
          <t>来源输入</t>
        </is>
      </c>
      <c r="G7" s="1050" t="inlineStr"/>
    </row>
    <row r="8" ht="34" customHeight="1" s="1025">
      <c r="A8" s="1050" t="inlineStr">
        <is>
          <t>订单与履约</t>
        </is>
      </c>
      <c r="B8" s="1050" t="inlineStr">
        <is>
          <t>统一订单编排与状态机</t>
        </is>
      </c>
      <c r="C8" s="1050" t="inlineStr">
        <is>
          <t>接收门店与线上订单，执行价格、权益和履约校验并驱动状态流转。</t>
        </is>
      </c>
      <c r="D8" s="1050" t="inlineStr">
        <is>
          <t>订单服务、门店工作台、会员门户 / order、order_state</t>
        </is>
      </c>
      <c r="E8" s="1050" t="inlineStr">
        <is>
          <t>订单状态变更幂等且全链路可追踪</t>
        </is>
      </c>
      <c r="F8" s="1051" t="inlineStr">
        <is>
          <t>来源输入</t>
        </is>
      </c>
      <c r="G8" s="1050" t="inlineStr"/>
    </row>
    <row r="9" ht="34" customHeight="1" s="1025">
      <c r="A9" s="1050" t="inlineStr">
        <is>
          <t>订单与履约</t>
        </is>
      </c>
      <c r="B9" s="1050" t="inlineStr">
        <is>
          <t>库存预占与释放</t>
        </is>
      </c>
      <c r="C9" s="1050" t="inlineStr">
        <is>
          <t>订单确认前通过 ERP 预占库存，取消或超时后释放。</t>
        </is>
      </c>
      <c r="D9" s="1050" t="inlineStr">
        <is>
          <t>订单服务、ERP / inventory_reservation</t>
        </is>
      </c>
      <c r="E9" s="1050" t="inlineStr">
        <is>
          <t>接口重试不得重复预占；调用超时 3 秒</t>
        </is>
      </c>
      <c r="F9" s="1051" t="inlineStr">
        <is>
          <t>来源输入</t>
        </is>
      </c>
      <c r="G9" s="1050" t="inlineStr"/>
    </row>
    <row r="10" ht="34" customHeight="1" s="1025">
      <c r="A10" s="1050" t="inlineStr">
        <is>
          <t>订单与履约</t>
        </is>
      </c>
      <c r="B10" s="1050" t="inlineStr">
        <is>
          <t>退货退款闭环</t>
        </is>
      </c>
      <c r="C10" s="1050" t="inlineStr">
        <is>
          <t>核验可退数量，生成退货单并调用支付网关退款。</t>
        </is>
      </c>
      <c r="D10" s="1050" t="inlineStr">
        <is>
          <t>门店工作台、订单服务、支付网关 / return_order、refund</t>
        </is>
      </c>
      <c r="E10" s="1050" t="inlineStr">
        <is>
          <t>退款请求幂等，支付结果与订单差异可审计</t>
        </is>
      </c>
      <c r="F10" s="1051" t="inlineStr">
        <is>
          <t>来源输入</t>
        </is>
      </c>
      <c r="G10" s="1050" t="inlineStr"/>
    </row>
    <row r="11" ht="34" customHeight="1" s="1025">
      <c r="A11" s="1050" t="inlineStr">
        <is>
          <t>全渠道运营</t>
        </is>
      </c>
      <c r="B11" s="1050" t="inlineStr">
        <is>
          <t>门店接单工作台</t>
        </is>
      </c>
      <c r="C11" s="1050" t="inlineStr">
        <is>
          <t>展示待处理订单、缺货替代与交接信息并按门店权限操作。</t>
        </is>
      </c>
      <c r="D11" s="1050" t="inlineStr">
        <is>
          <t>门店工作台、订单服务 / store_order_queue</t>
        </is>
      </c>
      <c r="E11" s="1050" t="inlineStr">
        <is>
          <t>仅授权门店可查看和操作本店订单</t>
        </is>
      </c>
      <c r="F11" s="1051" t="inlineStr">
        <is>
          <t>来源输入</t>
        </is>
      </c>
      <c r="G11" s="1050" t="inlineStr"/>
    </row>
    <row r="12" ht="34" customHeight="1" s="1025">
      <c r="A12" s="1050" t="inlineStr">
        <is>
          <t>全渠道运营</t>
        </is>
      </c>
      <c r="B12" s="1050" t="inlineStr">
        <is>
          <t>订单状态与履约轨迹</t>
        </is>
      </c>
      <c r="C12" s="1050" t="inlineStr">
        <is>
          <t>顾客和客服查看一致的状态、履约节点与异常原因。</t>
        </is>
      </c>
      <c r="D12" s="1050" t="inlineStr">
        <is>
          <t>会员门户、客服工作台、订单服务 / order_timeline</t>
        </is>
      </c>
      <c r="E12" s="1050" t="inlineStr">
        <is>
          <t>关键状态变更 60 秒内可见</t>
        </is>
      </c>
      <c r="F12" s="1051" t="inlineStr">
        <is>
          <t>来源输入</t>
        </is>
      </c>
      <c r="G12" s="1050" t="inlineStr"/>
    </row>
    <row r="13" ht="34" customHeight="1" s="1025">
      <c r="A13" s="1050" t="inlineStr">
        <is>
          <t>全渠道运营</t>
        </is>
      </c>
      <c r="B13" s="1050" t="inlineStr">
        <is>
          <t>订单节点通知复用</t>
        </is>
      </c>
      <c r="C13" s="1050" t="inlineStr">
        <is>
          <t>复用消息中心消费标准订单事件并发送通知。</t>
        </is>
      </c>
      <c r="D13" s="1050" t="inlineStr">
        <is>
          <t>消息中心、订单事件总线 / notification_event</t>
        </is>
      </c>
      <c r="E13" s="1050" t="inlineStr">
        <is>
          <t>不新增通知渠道和营销模板</t>
        </is>
      </c>
      <c r="F13" s="1051" t="inlineStr">
        <is>
          <t>来源输入</t>
        </is>
      </c>
      <c r="G13" s="1050" t="inlineStr"/>
    </row>
    <row r="14" ht="34" customHeight="1" s="1025">
      <c r="A14" s="1050" t="inlineStr">
        <is>
          <t>财务结算与经营分析</t>
        </is>
      </c>
      <c r="B14" s="1050" t="inlineStr">
        <is>
          <t>支付退款日结对账</t>
        </is>
      </c>
      <c r="C14" s="1050" t="inlineStr">
        <is>
          <t>按渠道、门店和订单核对实收、退款与手续费差异。</t>
        </is>
      </c>
      <c r="D14" s="1050" t="inlineStr">
        <is>
          <t>订单服务、支付网关、财务数据集市 / payment_reconciliation</t>
        </is>
      </c>
      <c r="E14" s="1050" t="inlineStr">
        <is>
          <t>每日 07:00 前完成前一自然日对账</t>
        </is>
      </c>
      <c r="F14" s="1051" t="inlineStr">
        <is>
          <t>来源输入</t>
        </is>
      </c>
      <c r="G14" s="1050" t="inlineStr"/>
    </row>
    <row r="15" ht="34" customHeight="1" s="1025">
      <c r="A15" s="1050" t="inlineStr">
        <is>
          <t>财务结算与经营分析</t>
        </is>
      </c>
      <c r="B15" s="1050" t="inlineStr">
        <is>
          <t>电子发票申请与状态</t>
        </is>
      </c>
      <c r="C15" s="1050" t="inlineStr">
        <is>
          <t>调用电子发票平台开票并保存号码、状态和失败原因。</t>
        </is>
      </c>
      <c r="D15" s="1050" t="inlineStr">
        <is>
          <t>订单服务、电子发票平台 / invoice_application</t>
        </is>
      </c>
      <c r="E15" s="1050" t="inlineStr">
        <is>
          <t>开票失败可重试且不得重复开票</t>
        </is>
      </c>
      <c r="F15" s="1051" t="inlineStr">
        <is>
          <t>来源输入</t>
        </is>
      </c>
      <c r="G15" s="1050" t="inlineStr"/>
    </row>
    <row r="16" ht="34" customHeight="1" s="1025">
      <c r="A16" s="1050" t="inlineStr">
        <is>
          <t>财务结算与经营分析</t>
        </is>
      </c>
      <c r="B16" s="1050" t="inlineStr">
        <is>
          <t>财务经营报表</t>
        </is>
      </c>
      <c r="C16" s="1050" t="inlineStr">
        <is>
          <t>按日、区域和渠道展示销售、退款、优惠与未对账金额。</t>
        </is>
      </c>
      <c r="D16" s="1050" t="inlineStr">
        <is>
          <t>财务数据集市 / finance_daily_metric</t>
        </is>
      </c>
      <c r="E16" s="1050" t="inlineStr">
        <is>
          <t>指标与对账规则同源，支持追溯到订单</t>
        </is>
      </c>
      <c r="F16" s="1051" t="inlineStr">
        <is>
          <t>来源输入</t>
        </is>
      </c>
      <c r="G16" s="1050" t="inlineStr"/>
    </row>
    <row r="17" ht="34" customHeight="1" s="1025">
      <c r="A17" s="1050" t="inlineStr">
        <is>
          <t>平台与服务边界</t>
        </is>
      </c>
      <c r="B17" s="1050" t="inlineStr">
        <is>
          <t>客户档案操作 API</t>
        </is>
      </c>
      <c r="C17" s="1050" t="inlineStr">
        <is>
          <t>通过稳定 API 创建、维护和检索客户档案，并隔离渠道与会员主数据。</t>
        </is>
      </c>
      <c r="D17" s="1050" t="inlineStr">
        <is>
          <t>会员门户、会员主数据 / customer-profile-api</t>
        </is>
      </c>
      <c r="E17" s="1050" t="inlineStr">
        <is>
          <t>API P95 小于 300ms；写操作使用幂等键；敏感字段按权限返回</t>
        </is>
      </c>
      <c r="F17" s="1051" t="inlineStr">
        <is>
          <t>设计派生</t>
        </is>
      </c>
      <c r="G17" s="1050"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0" t="inlineStr">
        <is>
          <t>平台与服务边界</t>
        </is>
      </c>
      <c r="B18" s="1050" t="inlineStr">
        <is>
          <t>生产准备、切换与验证</t>
        </is>
      </c>
      <c r="C18" s="1050" t="inlineStr">
        <is>
          <t>完成环境配置、发布清单、切换回滚和生产验证，并形成签署证据。</t>
        </is>
      </c>
      <c r="D18" s="1050" t="inlineStr">
        <is>
          <t>Kubernetes 生产环境、CI/CD、功能开关、发布清单</t>
        </is>
      </c>
      <c r="E18" s="1050" t="inlineStr">
        <is>
          <t>业务中断不超过 15 分钟；回滚路径在切换前完成演练</t>
        </is>
      </c>
      <c r="F18" s="1051" t="inlineStr">
        <is>
          <t>来源输入</t>
        </is>
      </c>
      <c r="G18" s="1050" t="inlineStr"/>
    </row>
    <row r="19" ht="34" customHeight="1" s="1025">
      <c r="A19" s="1050" t="inlineStr">
        <is>
          <t>平台与服务边界</t>
        </is>
      </c>
      <c r="B19" s="1050" t="inlineStr">
        <is>
          <t>上线后支持与旧系统退役边界</t>
        </is>
      </c>
      <c r="C19" s="1050" t="inlineStr">
        <is>
          <t>明确上线后驻场支持和旧系统退役不在本期固定范围内。</t>
        </is>
      </c>
      <c r="D19" s="1050" t="inlineStr">
        <is>
          <t>旧会员门户、旧订单查询服务</t>
        </is>
      </c>
      <c r="E19" s="1050" t="inlineStr">
        <is>
          <t>如需实施必须单独立项并重新确认基线</t>
        </is>
      </c>
      <c r="F19" s="1051" t="inlineStr">
        <is>
          <t>来源输入</t>
        </is>
      </c>
      <c r="G19" s="1050" t="inlineStr"/>
    </row>
    <row r="20" ht="34" customHeight="1" s="1025">
      <c r="A20" s="1050" t="inlineStr">
        <is>
          <t>上线与质量保障</t>
        </is>
      </c>
      <c r="B20" s="1050" t="inlineStr">
        <is>
          <t>会员与订单数据迁移</t>
        </is>
      </c>
      <c r="C20" s="1050" t="inlineStr">
        <is>
          <t>迁移会员扩展字段与两年内历史订单，执行校验、补偿与留痕。</t>
        </is>
      </c>
      <c r="D20" s="1050" t="inlineStr">
        <is>
          <t>会员主数据、订单库 / customer_profile、order、order_item</t>
        </is>
      </c>
      <c r="E20" s="1050" t="inlineStr">
        <is>
          <t>迁移前后关键字段一致率 100%，业务主键重复为 0</t>
        </is>
      </c>
      <c r="F20" s="1051" t="inlineStr">
        <is>
          <t>来源输入</t>
        </is>
      </c>
      <c r="G20" s="1050" t="inlineStr"/>
    </row>
    <row r="21" ht="34" customHeight="1" s="1025">
      <c r="A21" s="1050" t="inlineStr">
        <is>
          <t>上线与质量保障</t>
        </is>
      </c>
      <c r="B21" s="1050" t="inlineStr">
        <is>
          <t>监控、运维交接与用户赋能</t>
        </is>
      </c>
      <c r="C21" s="1050" t="inlineStr">
        <is>
          <t>建设关键指标和告警，完成运维手册、交接演练与业务用户培训。</t>
        </is>
      </c>
      <c r="D21" s="1050" t="inlineStr">
        <is>
          <t>统一监控平台、运维知识库、培训材料</t>
        </is>
      </c>
      <c r="E21" s="1050" t="inlineStr">
        <is>
          <t>核心交易告警 5 分钟内触发；交接与培训均需签到和验收记录</t>
        </is>
      </c>
      <c r="F21" s="1051" t="inlineStr">
        <is>
          <t>来源输入</t>
        </is>
      </c>
      <c r="G21" s="1050" t="inlineStr"/>
    </row>
    <row r="22" ht="34" customHeight="1" s="1025">
      <c r="A22" s="1050" t="inlineStr">
        <is>
          <t>上线与质量保障</t>
        </is>
      </c>
      <c r="B22" s="1050" t="inlineStr">
        <is>
          <t>自动化、性能与生产质量验证</t>
        </is>
      </c>
      <c r="C22" s="1050" t="inlineStr">
        <is>
          <t>调整既有测试资产，覆盖回归、性能、安全、兼容性和生产烟测。</t>
        </is>
      </c>
      <c r="D22" s="1050" t="inlineStr">
        <is>
          <t>API 自动化框架、测试用例库、负载模型、兼容矩阵</t>
        </is>
      </c>
      <c r="E22" s="1050" t="inlineStr">
        <is>
          <t>P0/P1 用例通过率 100%，核心查询峰值 500 TPS</t>
        </is>
      </c>
      <c r="F22" s="1051" t="inlineStr">
        <is>
          <t>来源输入</t>
        </is>
      </c>
      <c r="G22" s="1050"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0" t="inlineStr">
        <is>
          <t>创建并查看客户档案</t>
        </is>
      </c>
      <c r="C5" s="1050" t="inlineStr">
        <is>
          <t>创建并查看客户档案</t>
        </is>
      </c>
      <c r="D5" s="1051" t="inlineStr">
        <is>
          <t>是</t>
        </is>
      </c>
      <c r="E5" s="926">
        <f>IF(C5="","",IFERROR(_xlfn.TEXTJOIN(CHAR(10),TRUE,_xlfn._xlws.FILTER(AcceptanceCriterionTable[验收条件名称],AcceptanceCriterionTable[故事名称]=C5,"")),""))</f>
        <v/>
      </c>
      <c r="F5" s="928">
        <f>IF(C5="","",IFERROR(_xlfn.TEXTJOIN(CHAR(10),TRUE,_xlfn._xlws.FILTER("• "&amp;TaskTable[任务名称],TaskTable[故事名称]=C5,"")),""))</f>
        <v/>
      </c>
      <c r="G5" s="929">
        <f>IF(C5="","",CEILING(SUMIF(TaskTable[故事名称],C5,TaskTable[人天小计]),INDEX(ProjectParameterTable[值],MATCH("ROUND_STORY",ProjectParameterTable[参数代码],0))))</f>
        <v/>
      </c>
      <c r="H5" s="1050"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0" t="inlineStr">
        <is>
          <t>客户档案操作 API</t>
        </is>
      </c>
      <c r="C6" s="1050" t="inlineStr">
        <is>
          <t>提供客户档案操作</t>
        </is>
      </c>
      <c r="D6" s="1051" t="inlineStr">
        <is>
          <t>是</t>
        </is>
      </c>
      <c r="E6" s="926">
        <f>IF(C6="","",IFERROR(_xlfn.TEXTJOIN(CHAR(10),TRUE,_xlfn._xlws.FILTER(AcceptanceCriterionTable[验收条件名称],AcceptanceCriterionTable[故事名称]=C6,"")),""))</f>
        <v/>
      </c>
      <c r="F6" s="928">
        <f>IF(C6="","",IFERROR(_xlfn.TEXTJOIN(CHAR(10),TRUE,_xlfn._xlws.FILTER("• "&amp;TaskTable[任务名称],TaskTable[故事名称]=C6,"")),""))</f>
        <v/>
      </c>
      <c r="G6" s="929">
        <f>IF(C6="","",CEILING(SUMIF(TaskTable[故事名称],C6,TaskTable[人天小计]),INDEX(ProjectParameterTable[值],MATCH("ROUND_STORY",ProjectParameterTable[参数代码],0))))</f>
        <v/>
      </c>
      <c r="H6" s="1050"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0" t="inlineStr">
        <is>
          <t>客户档案操作 API</t>
        </is>
      </c>
      <c r="C7" s="1050" t="inlineStr">
        <is>
          <t>集成会员主数据查询</t>
        </is>
      </c>
      <c r="D7" s="1051" t="inlineStr">
        <is>
          <t>是</t>
        </is>
      </c>
      <c r="E7" s="926">
        <f>IF(C7="","",IFERROR(_xlfn.TEXTJOIN(CHAR(10),TRUE,_xlfn._xlws.FILTER(AcceptanceCriterionTable[验收条件名称],AcceptanceCriterionTable[故事名称]=C7,"")),""))</f>
        <v/>
      </c>
      <c r="F7" s="928">
        <f>IF(C7="","",IFERROR(_xlfn.TEXTJOIN(CHAR(10),TRUE,_xlfn._xlws.FILTER("• "&amp;TaskTable[任务名称],TaskTable[故事名称]=C7,"")),""))</f>
        <v/>
      </c>
      <c r="G7" s="929">
        <f>IF(C7="","",CEILING(SUMIF(TaskTable[故事名称],C7,TaskTable[人天小计]),INDEX(ProjectParameterTable[值],MATCH("ROUND_STORY",ProjectParameterTable[参数代码],0))))</f>
        <v/>
      </c>
      <c r="H7" s="1050"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0" t="inlineStr">
        <is>
          <t>会员等级计算与版本</t>
        </is>
      </c>
      <c r="C8" s="1050" t="inlineStr">
        <is>
          <t>计算并追溯会员等级</t>
        </is>
      </c>
      <c r="D8" s="1051" t="inlineStr">
        <is>
          <t>是</t>
        </is>
      </c>
      <c r="E8" s="926">
        <f>IF(C8="","",IFERROR(_xlfn.TEXTJOIN(CHAR(10),TRUE,_xlfn._xlws.FILTER(AcceptanceCriterionTable[验收条件名称],AcceptanceCriterionTable[故事名称]=C8,"")),""))</f>
        <v/>
      </c>
      <c r="F8" s="928">
        <f>IF(C8="","",IFERROR(_xlfn.TEXTJOIN(CHAR(10),TRUE,_xlfn._xlws.FILTER("• "&amp;TaskTable[任务名称],TaskTable[故事名称]=C8,"")),""))</f>
        <v/>
      </c>
      <c r="G8" s="929">
        <f>IF(C8="","",CEILING(SUMIF(TaskTable[故事名称],C8,TaskTable[人天小计]),INDEX(ProjectParameterTable[值],MATCH("ROUND_STORY",ProjectParameterTable[参数代码],0))))</f>
        <v/>
      </c>
      <c r="H8" s="1050"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0" t="inlineStr">
        <is>
          <t>统一订单编排与状态机</t>
        </is>
      </c>
      <c r="C9" s="1050" t="inlineStr">
        <is>
          <t>统一创建全渠道订单</t>
        </is>
      </c>
      <c r="D9" s="1051" t="inlineStr">
        <is>
          <t>是</t>
        </is>
      </c>
      <c r="E9" s="926">
        <f>IF(C9="","",IFERROR(_xlfn.TEXTJOIN(CHAR(10),TRUE,_xlfn._xlws.FILTER(AcceptanceCriterionTable[验收条件名称],AcceptanceCriterionTable[故事名称]=C9,"")),""))</f>
        <v/>
      </c>
      <c r="F9" s="928">
        <f>IF(C9="","",IFERROR(_xlfn.TEXTJOIN(CHAR(10),TRUE,_xlfn._xlws.FILTER("• "&amp;TaskTable[任务名称],TaskTable[故事名称]=C9,"")),""))</f>
        <v/>
      </c>
      <c r="G9" s="929">
        <f>IF(C9="","",CEILING(SUMIF(TaskTable[故事名称],C9,TaskTable[人天小计]),INDEX(ProjectParameterTable[值],MATCH("ROUND_STORY",ProjectParameterTable[参数代码],0))))</f>
        <v/>
      </c>
      <c r="H9" s="1050"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0" t="inlineStr">
        <is>
          <t>统一订单编排与状态机</t>
        </is>
      </c>
      <c r="C10" s="1050" t="inlineStr">
        <is>
          <t>驱动订单状态与事件</t>
        </is>
      </c>
      <c r="D10" s="1051" t="inlineStr">
        <is>
          <t>是</t>
        </is>
      </c>
      <c r="E10" s="926">
        <f>IF(C10="","",IFERROR(_xlfn.TEXTJOIN(CHAR(10),TRUE,_xlfn._xlws.FILTER(AcceptanceCriterionTable[验收条件名称],AcceptanceCriterionTable[故事名称]=C10,"")),""))</f>
        <v/>
      </c>
      <c r="F10" s="928">
        <f>IF(C10="","",IFERROR(_xlfn.TEXTJOIN(CHAR(10),TRUE,_xlfn._xlws.FILTER("• "&amp;TaskTable[任务名称],TaskTable[故事名称]=C10,"")),""))</f>
        <v/>
      </c>
      <c r="G10" s="929">
        <f>IF(C10="","",CEILING(SUMIF(TaskTable[故事名称],C10,TaskTable[人天小计]),INDEX(ProjectParameterTable[值],MATCH("ROUND_STORY",ProjectParameterTable[参数代码],0))))</f>
        <v/>
      </c>
      <c r="H10" s="1050"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0" t="inlineStr">
        <is>
          <t>库存预占与释放</t>
        </is>
      </c>
      <c r="C11" s="1050" t="inlineStr">
        <is>
          <t>预占和释放 ERP 库存</t>
        </is>
      </c>
      <c r="D11" s="1051" t="inlineStr">
        <is>
          <t>是</t>
        </is>
      </c>
      <c r="E11" s="926">
        <f>IF(C11="","",IFERROR(_xlfn.TEXTJOIN(CHAR(10),TRUE,_xlfn._xlws.FILTER(AcceptanceCriterionTable[验收条件名称],AcceptanceCriterionTable[故事名称]=C11,"")),""))</f>
        <v/>
      </c>
      <c r="F11" s="928">
        <f>IF(C11="","",IFERROR(_xlfn.TEXTJOIN(CHAR(10),TRUE,_xlfn._xlws.FILTER("• "&amp;TaskTable[任务名称],TaskTable[故事名称]=C11,"")),""))</f>
        <v/>
      </c>
      <c r="G11" s="929">
        <f>IF(C11="","",CEILING(SUMIF(TaskTable[故事名称],C11,TaskTable[人天小计]),INDEX(ProjectParameterTable[值],MATCH("ROUND_STORY",ProjectParameterTable[参数代码],0))))</f>
        <v/>
      </c>
      <c r="H11" s="1050"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0" t="inlineStr">
        <is>
          <t>退货退款闭环</t>
        </is>
      </c>
      <c r="C12" s="1050" t="inlineStr">
        <is>
          <t>提交并审核退货申请</t>
        </is>
      </c>
      <c r="D12" s="1051" t="inlineStr">
        <is>
          <t>是</t>
        </is>
      </c>
      <c r="E12" s="926">
        <f>IF(C12="","",IFERROR(_xlfn.TEXTJOIN(CHAR(10),TRUE,_xlfn._xlws.FILTER(AcceptanceCriterionTable[验收条件名称],AcceptanceCriterionTable[故事名称]=C12,"")),""))</f>
        <v/>
      </c>
      <c r="F12" s="928">
        <f>IF(C12="","",IFERROR(_xlfn.TEXTJOIN(CHAR(10),TRUE,_xlfn._xlws.FILTER("• "&amp;TaskTable[任务名称],TaskTable[故事名称]=C12,"")),""))</f>
        <v/>
      </c>
      <c r="G12" s="929">
        <f>IF(C12="","",CEILING(SUMIF(TaskTable[故事名称],C12,TaskTable[人天小计]),INDEX(ProjectParameterTable[值],MATCH("ROUND_STORY",ProjectParameterTable[参数代码],0))))</f>
        <v/>
      </c>
      <c r="H12" s="1050"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0" t="inlineStr">
        <is>
          <t>退货退款闭环</t>
        </is>
      </c>
      <c r="C13" s="1050" t="inlineStr">
        <is>
          <t>发起退款并回写结果</t>
        </is>
      </c>
      <c r="D13" s="1051" t="inlineStr">
        <is>
          <t>是</t>
        </is>
      </c>
      <c r="E13" s="926">
        <f>IF(C13="","",IFERROR(_xlfn.TEXTJOIN(CHAR(10),TRUE,_xlfn._xlws.FILTER(AcceptanceCriterionTable[验收条件名称],AcceptanceCriterionTable[故事名称]=C13,"")),""))</f>
        <v/>
      </c>
      <c r="F13" s="928">
        <f>IF(C13="","",IFERROR(_xlfn.TEXTJOIN(CHAR(10),TRUE,_xlfn._xlws.FILTER("• "&amp;TaskTable[任务名称],TaskTable[故事名称]=C13,"")),""))</f>
        <v/>
      </c>
      <c r="G13" s="929">
        <f>IF(C13="","",CEILING(SUMIF(TaskTable[故事名称],C13,TaskTable[人天小计]),INDEX(ProjectParameterTable[值],MATCH("ROUND_STORY",ProjectParameterTable[参数代码],0))))</f>
        <v/>
      </c>
      <c r="H13" s="1050"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0" t="inlineStr">
        <is>
          <t>门店接单工作台</t>
        </is>
      </c>
      <c r="C14" s="1050" t="inlineStr">
        <is>
          <t>门店处理订单与交接</t>
        </is>
      </c>
      <c r="D14" s="1051" t="inlineStr">
        <is>
          <t>是</t>
        </is>
      </c>
      <c r="E14" s="926">
        <f>IF(C14="","",IFERROR(_xlfn.TEXTJOIN(CHAR(10),TRUE,_xlfn._xlws.FILTER(AcceptanceCriterionTable[验收条件名称],AcceptanceCriterionTable[故事名称]=C14,"")),""))</f>
        <v/>
      </c>
      <c r="F14" s="928">
        <f>IF(C14="","",IFERROR(_xlfn.TEXTJOIN(CHAR(10),TRUE,_xlfn._xlws.FILTER("• "&amp;TaskTable[任务名称],TaskTable[故事名称]=C14,"")),""))</f>
        <v/>
      </c>
      <c r="G14" s="929">
        <f>IF(C14="","",CEILING(SUMIF(TaskTable[故事名称],C14,TaskTable[人天小计]),INDEX(ProjectParameterTable[值],MATCH("ROUND_STORY",ProjectParameterTable[参数代码],0))))</f>
        <v/>
      </c>
      <c r="H14" s="1050"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0" t="inlineStr">
        <is>
          <t>订单状态与履约轨迹</t>
        </is>
      </c>
      <c r="C15" s="1050" t="inlineStr">
        <is>
          <t>查看统一履约轨迹</t>
        </is>
      </c>
      <c r="D15" s="1051" t="inlineStr">
        <is>
          <t>是</t>
        </is>
      </c>
      <c r="E15" s="926">
        <f>IF(C15="","",IFERROR(_xlfn.TEXTJOIN(CHAR(10),TRUE,_xlfn._xlws.FILTER(AcceptanceCriterionTable[验收条件名称],AcceptanceCriterionTable[故事名称]=C15,"")),""))</f>
        <v/>
      </c>
      <c r="F15" s="928">
        <f>IF(C15="","",IFERROR(_xlfn.TEXTJOIN(CHAR(10),TRUE,_xlfn._xlws.FILTER("• "&amp;TaskTable[任务名称],TaskTable[故事名称]=C15,"")),""))</f>
        <v/>
      </c>
      <c r="G15" s="929">
        <f>IF(C15="","",CEILING(SUMIF(TaskTable[故事名称],C15,TaskTable[人天小计]),INDEX(ProjectParameterTable[值],MATCH("ROUND_STORY",ProjectParameterTable[参数代码],0))))</f>
        <v/>
      </c>
      <c r="H15" s="1050"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0" t="inlineStr">
        <is>
          <t>支付退款日结对账</t>
        </is>
      </c>
      <c r="C16" s="1050" t="inlineStr">
        <is>
          <t>执行支付退款日结对账</t>
        </is>
      </c>
      <c r="D16" s="1051" t="inlineStr">
        <is>
          <t>是</t>
        </is>
      </c>
      <c r="E16" s="926">
        <f>IF(C16="","",IFERROR(_xlfn.TEXTJOIN(CHAR(10),TRUE,_xlfn._xlws.FILTER(AcceptanceCriterionTable[验收条件名称],AcceptanceCriterionTable[故事名称]=C16,"")),""))</f>
        <v/>
      </c>
      <c r="F16" s="928">
        <f>IF(C16="","",IFERROR(_xlfn.TEXTJOIN(CHAR(10),TRUE,_xlfn._xlws.FILTER("• "&amp;TaskTable[任务名称],TaskTable[故事名称]=C16,"")),""))</f>
        <v/>
      </c>
      <c r="G16" s="929">
        <f>IF(C16="","",CEILING(SUMIF(TaskTable[故事名称],C16,TaskTable[人天小计]),INDEX(ProjectParameterTable[值],MATCH("ROUND_STORY",ProjectParameterTable[参数代码],0))))</f>
        <v/>
      </c>
      <c r="H16" s="1050"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0" t="inlineStr">
        <is>
          <t>电子发票申请与状态</t>
        </is>
      </c>
      <c r="C17" s="1050" t="inlineStr">
        <is>
          <t>申请并追踪电子发票</t>
        </is>
      </c>
      <c r="D17" s="1051" t="inlineStr">
        <is>
          <t>是</t>
        </is>
      </c>
      <c r="E17" s="926">
        <f>IF(C17="","",IFERROR(_xlfn.TEXTJOIN(CHAR(10),TRUE,_xlfn._xlws.FILTER(AcceptanceCriterionTable[验收条件名称],AcceptanceCriterionTable[故事名称]=C17,"")),""))</f>
        <v/>
      </c>
      <c r="F17" s="928">
        <f>IF(C17="","",IFERROR(_xlfn.TEXTJOIN(CHAR(10),TRUE,_xlfn._xlws.FILTER("• "&amp;TaskTable[任务名称],TaskTable[故事名称]=C17,"")),""))</f>
        <v/>
      </c>
      <c r="G17" s="929">
        <f>IF(C17="","",CEILING(SUMIF(TaskTable[故事名称],C17,TaskTable[人天小计]),INDEX(ProjectParameterTable[值],MATCH("ROUND_STORY",ProjectParameterTable[参数代码],0))))</f>
        <v/>
      </c>
      <c r="H17" s="1050"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0" t="inlineStr">
        <is>
          <t>财务经营报表</t>
        </is>
      </c>
      <c r="C18" s="1050" t="inlineStr">
        <is>
          <t>查看财务经营日报</t>
        </is>
      </c>
      <c r="D18" s="1051" t="inlineStr">
        <is>
          <t>是</t>
        </is>
      </c>
      <c r="E18" s="926">
        <f>IF(C18="","",IFERROR(_xlfn.TEXTJOIN(CHAR(10),TRUE,_xlfn._xlws.FILTER(AcceptanceCriterionTable[验收条件名称],AcceptanceCriterionTable[故事名称]=C18,"")),""))</f>
        <v/>
      </c>
      <c r="F18" s="928">
        <f>IF(C18="","",IFERROR(_xlfn.TEXTJOIN(CHAR(10),TRUE,_xlfn._xlws.FILTER("• "&amp;TaskTable[任务名称],TaskTable[故事名称]=C18,"")),""))</f>
        <v/>
      </c>
      <c r="G18" s="929">
        <f>IF(C18="","",CEILING(SUMIF(TaskTable[故事名称],C18,TaskTable[人天小计]),INDEX(ProjectParameterTable[值],MATCH("ROUND_STORY",ProjectParameterTable[参数代码],0))))</f>
        <v/>
      </c>
      <c r="H18" s="1050"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0" t="inlineStr">
        <is>
          <t>生产准备、切换与验证</t>
        </is>
      </c>
      <c r="C19" s="1050" t="inlineStr">
        <is>
          <t>准备生产环境和发布流水线</t>
        </is>
      </c>
      <c r="D19" s="1051" t="inlineStr">
        <is>
          <t>否</t>
        </is>
      </c>
      <c r="E19" s="926">
        <f>IF(C19="","",IFERROR(_xlfn.TEXTJOIN(CHAR(10),TRUE,_xlfn._xlws.FILTER(AcceptanceCriterionTable[验收条件名称],AcceptanceCriterionTable[故事名称]=C19,"")),""))</f>
        <v/>
      </c>
      <c r="F19" s="928">
        <f>IF(C19="","",IFERROR(_xlfn.TEXTJOIN(CHAR(10),TRUE,_xlfn._xlws.FILTER("• "&amp;TaskTable[任务名称],TaskTable[故事名称]=C19,"")),""))</f>
        <v/>
      </c>
      <c r="G19" s="929">
        <f>IF(C19="","",CEILING(SUMIF(TaskTable[故事名称],C19,TaskTable[人天小计]),INDEX(ProjectParameterTable[值],MATCH("ROUND_STORY",ProjectParameterTable[参数代码],0))))</f>
        <v/>
      </c>
      <c r="H19" s="1050"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0" t="inlineStr">
        <is>
          <t>生产准备、切换与验证</t>
        </is>
      </c>
      <c r="C20" s="1050" t="inlineStr">
        <is>
          <t>执行生产切换与回滚演练</t>
        </is>
      </c>
      <c r="D20" s="1051" t="inlineStr">
        <is>
          <t>否</t>
        </is>
      </c>
      <c r="E20" s="926">
        <f>IF(C20="","",IFERROR(_xlfn.TEXTJOIN(CHAR(10),TRUE,_xlfn._xlws.FILTER(AcceptanceCriterionTable[验收条件名称],AcceptanceCriterionTable[故事名称]=C20,"")),""))</f>
        <v/>
      </c>
      <c r="F20" s="928">
        <f>IF(C20="","",IFERROR(_xlfn.TEXTJOIN(CHAR(10),TRUE,_xlfn._xlws.FILTER("• "&amp;TaskTable[任务名称],TaskTable[故事名称]=C20,"")),""))</f>
        <v/>
      </c>
      <c r="G20" s="929">
        <f>IF(C20="","",CEILING(SUMIF(TaskTable[故事名称],C20,TaskTable[人天小计]),INDEX(ProjectParameterTable[值],MATCH("ROUND_STORY",ProjectParameterTable[参数代码],0))))</f>
        <v/>
      </c>
      <c r="H20" s="1050"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0" t="inlineStr">
        <is>
          <t>生产准备、切换与验证</t>
        </is>
      </c>
      <c r="C21" s="1050" t="inlineStr">
        <is>
          <t>完成生产烟测与业务确认</t>
        </is>
      </c>
      <c r="D21" s="1051" t="inlineStr">
        <is>
          <t>是</t>
        </is>
      </c>
      <c r="E21" s="926">
        <f>IF(C21="","",IFERROR(_xlfn.TEXTJOIN(CHAR(10),TRUE,_xlfn._xlws.FILTER(AcceptanceCriterionTable[验收条件名称],AcceptanceCriterionTable[故事名称]=C21,"")),""))</f>
        <v/>
      </c>
      <c r="F21" s="928">
        <f>IF(C21="","",IFERROR(_xlfn.TEXTJOIN(CHAR(10),TRUE,_xlfn._xlws.FILTER("• "&amp;TaskTable[任务名称],TaskTable[故事名称]=C21,"")),""))</f>
        <v/>
      </c>
      <c r="G21" s="929">
        <f>IF(C21="","",CEILING(SUMIF(TaskTable[故事名称],C21,TaskTable[人天小计]),INDEX(ProjectParameterTable[值],MATCH("ROUND_STORY",ProjectParameterTable[参数代码],0))))</f>
        <v/>
      </c>
      <c r="H21" s="1050"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0" t="inlineStr">
        <is>
          <t>会员与订单数据迁移</t>
        </is>
      </c>
      <c r="C22" s="1050" t="inlineStr">
        <is>
          <t>迁移会员与历史订单数据</t>
        </is>
      </c>
      <c r="D22" s="1051" t="inlineStr">
        <is>
          <t>否</t>
        </is>
      </c>
      <c r="E22" s="926">
        <f>IF(C22="","",IFERROR(_xlfn.TEXTJOIN(CHAR(10),TRUE,_xlfn._xlws.FILTER(AcceptanceCriterionTable[验收条件名称],AcceptanceCriterionTable[故事名称]=C22,"")),""))</f>
        <v/>
      </c>
      <c r="F22" s="928">
        <f>IF(C22="","",IFERROR(_xlfn.TEXTJOIN(CHAR(10),TRUE,_xlfn._xlws.FILTER("• "&amp;TaskTable[任务名称],TaskTable[故事名称]=C22,"")),""))</f>
        <v/>
      </c>
      <c r="G22" s="929">
        <f>IF(C22="","",CEILING(SUMIF(TaskTable[故事名称],C22,TaskTable[人天小计]),INDEX(ProjectParameterTable[值],MATCH("ROUND_STORY",ProjectParameterTable[参数代码],0))))</f>
        <v/>
      </c>
      <c r="H22" s="1050"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0" t="inlineStr">
        <is>
          <t>监控、运维交接与用户赋能</t>
        </is>
      </c>
      <c r="C23" s="1050" t="inlineStr">
        <is>
          <t>监控核心交易与财务作业</t>
        </is>
      </c>
      <c r="D23" s="1051" t="inlineStr">
        <is>
          <t>否</t>
        </is>
      </c>
      <c r="E23" s="926">
        <f>IF(C23="","",IFERROR(_xlfn.TEXTJOIN(CHAR(10),TRUE,_xlfn._xlws.FILTER(AcceptanceCriterionTable[验收条件名称],AcceptanceCriterionTable[故事名称]=C23,"")),""))</f>
        <v/>
      </c>
      <c r="F23" s="928">
        <f>IF(C23="","",IFERROR(_xlfn.TEXTJOIN(CHAR(10),TRUE,_xlfn._xlws.FILTER("• "&amp;TaskTable[任务名称],TaskTable[故事名称]=C23,"")),""))</f>
        <v/>
      </c>
      <c r="G23" s="929">
        <f>IF(C23="","",CEILING(SUMIF(TaskTable[故事名称],C23,TaskTable[人天小计]),INDEX(ProjectParameterTable[值],MATCH("ROUND_STORY",ProjectParameterTable[参数代码],0))))</f>
        <v/>
      </c>
      <c r="H23" s="1050"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0" t="inlineStr">
        <is>
          <t>监控、运维交接与用户赋能</t>
        </is>
      </c>
      <c r="C24" s="1050" t="inlineStr">
        <is>
          <t>完成运维交接与演练</t>
        </is>
      </c>
      <c r="D24" s="1051" t="inlineStr">
        <is>
          <t>否</t>
        </is>
      </c>
      <c r="E24" s="926">
        <f>IF(C24="","",IFERROR(_xlfn.TEXTJOIN(CHAR(10),TRUE,_xlfn._xlws.FILTER(AcceptanceCriterionTable[验收条件名称],AcceptanceCriterionTable[故事名称]=C24,"")),""))</f>
        <v/>
      </c>
      <c r="F24" s="928">
        <f>IF(C24="","",IFERROR(_xlfn.TEXTJOIN(CHAR(10),TRUE,_xlfn._xlws.FILTER("• "&amp;TaskTable[任务名称],TaskTable[故事名称]=C24,"")),""))</f>
        <v/>
      </c>
      <c r="G24" s="929">
        <f>IF(C24="","",CEILING(SUMIF(TaskTable[故事名称],C24,TaskTable[人天小计]),INDEX(ProjectParameterTable[值],MATCH("ROUND_STORY",ProjectParameterTable[参数代码],0))))</f>
        <v/>
      </c>
      <c r="H24" s="1050"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0" t="inlineStr">
        <is>
          <t>监控、运维交接与用户赋能</t>
        </is>
      </c>
      <c r="C25" s="1050" t="inlineStr">
        <is>
          <t>培训门店、客服和财务用户</t>
        </is>
      </c>
      <c r="D25" s="1051" t="inlineStr">
        <is>
          <t>是</t>
        </is>
      </c>
      <c r="E25" s="926">
        <f>IF(C25="","",IFERROR(_xlfn.TEXTJOIN(CHAR(10),TRUE,_xlfn._xlws.FILTER(AcceptanceCriterionTable[验收条件名称],AcceptanceCriterionTable[故事名称]=C25,"")),""))</f>
        <v/>
      </c>
      <c r="F25" s="928">
        <f>IF(C25="","",IFERROR(_xlfn.TEXTJOIN(CHAR(10),TRUE,_xlfn._xlws.FILTER("• "&amp;TaskTable[任务名称],TaskTable[故事名称]=C25,"")),""))</f>
        <v/>
      </c>
      <c r="G25" s="929">
        <f>IF(C25="","",CEILING(SUMIF(TaskTable[故事名称],C25,TaskTable[人天小计]),INDEX(ProjectParameterTable[值],MATCH("ROUND_STORY",ProjectParameterTable[参数代码],0))))</f>
        <v/>
      </c>
      <c r="H25" s="1050"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0" t="inlineStr">
        <is>
          <t>自动化、性能与生产质量验证</t>
        </is>
      </c>
      <c r="C26" s="1050" t="inlineStr">
        <is>
          <t>扩展自动化与性能验证</t>
        </is>
      </c>
      <c r="D26" s="1051" t="inlineStr">
        <is>
          <t>否</t>
        </is>
      </c>
      <c r="E26" s="926">
        <f>IF(C26="","",IFERROR(_xlfn.TEXTJOIN(CHAR(10),TRUE,_xlfn._xlws.FILTER(AcceptanceCriterionTable[验收条件名称],AcceptanceCriterionTable[故事名称]=C26,"")),""))</f>
        <v/>
      </c>
      <c r="F26" s="928">
        <f>IF(C26="","",IFERROR(_xlfn.TEXTJOIN(CHAR(10),TRUE,_xlfn._xlws.FILTER("• "&amp;TaskTable[任务名称],TaskTable[故事名称]=C26,"")),""))</f>
        <v/>
      </c>
      <c r="G26" s="929">
        <f>IF(C26="","",CEILING(SUMIF(TaskTable[故事名称],C26,TaskTable[人天小计]),INDEX(ProjectParameterTable[值],MATCH("ROUND_STORY",ProjectParameterTable[参数代码],0))))</f>
        <v/>
      </c>
      <c r="H26" s="1050"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0" t="inlineStr">
        <is>
          <t>自动化、性能与生产质量验证</t>
        </is>
      </c>
      <c r="C27" s="1050" t="inlineStr">
        <is>
          <t>执行兼容性与工程回归</t>
        </is>
      </c>
      <c r="D27" s="1051" t="inlineStr">
        <is>
          <t>否</t>
        </is>
      </c>
      <c r="E27" s="926">
        <f>IF(C27="","",IFERROR(_xlfn.TEXTJOIN(CHAR(10),TRUE,_xlfn._xlws.FILTER(AcceptanceCriterionTable[验收条件名称],AcceptanceCriterionTable[故事名称]=C27,"")),""))</f>
        <v/>
      </c>
      <c r="F27" s="928">
        <f>IF(C27="","",IFERROR(_xlfn.TEXTJOIN(CHAR(10),TRUE,_xlfn._xlws.FILTER("• "&amp;TaskTable[任务名称],TaskTable[故事名称]=C27,"")),""))</f>
        <v/>
      </c>
      <c r="G27" s="929">
        <f>IF(C27="","",CEILING(SUMIF(TaskTable[故事名称],C27,TaskTable[人天小计]),INDEX(ProjectParameterTable[值],MATCH("ROUND_STORY",ProjectParameterTable[参数代码],0))))</f>
        <v/>
      </c>
      <c r="H27" s="1050"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0" t="inlineStr">
        <is>
          <t>创建并查看客户档案</t>
        </is>
      </c>
      <c r="D5" s="1050"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0" t="inlineStr">
        <is>
          <t>创建并查看客户档案</t>
        </is>
      </c>
      <c r="D6" s="1050"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0" t="inlineStr">
        <is>
          <t>提供客户档案操作</t>
        </is>
      </c>
      <c r="D7" s="1050"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0" t="inlineStr">
        <is>
          <t>提供客户档案操作</t>
        </is>
      </c>
      <c r="D8" s="1050"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0" t="inlineStr">
        <is>
          <t>集成会员主数据查询</t>
        </is>
      </c>
      <c r="D9" s="1050"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0" t="inlineStr">
        <is>
          <t>计算并追溯会员等级</t>
        </is>
      </c>
      <c r="D10" s="1050"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0" t="inlineStr">
        <is>
          <t>计算并追溯会员等级</t>
        </is>
      </c>
      <c r="D11" s="1050"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0" t="inlineStr">
        <is>
          <t>统一创建全渠道订单</t>
        </is>
      </c>
      <c r="D12" s="1050"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0" t="inlineStr">
        <is>
          <t>统一创建全渠道订单</t>
        </is>
      </c>
      <c r="D13" s="1050"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0" t="inlineStr">
        <is>
          <t>驱动订单状态与事件</t>
        </is>
      </c>
      <c r="D14" s="1050"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0" t="inlineStr">
        <is>
          <t>预占和释放 ERP 库存</t>
        </is>
      </c>
      <c r="D15" s="1050"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0" t="inlineStr">
        <is>
          <t>预占和释放 ERP 库存</t>
        </is>
      </c>
      <c r="D16" s="1050"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0" t="inlineStr">
        <is>
          <t>提交并审核退货申请</t>
        </is>
      </c>
      <c r="D17" s="1050"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0" t="inlineStr">
        <is>
          <t>发起退款并回写结果</t>
        </is>
      </c>
      <c r="D18" s="1050"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0" t="inlineStr">
        <is>
          <t>门店处理订单与交接</t>
        </is>
      </c>
      <c r="D19" s="1050"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0" t="inlineStr">
        <is>
          <t>查看统一履约轨迹</t>
        </is>
      </c>
      <c r="D20" s="1050"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0" t="inlineStr">
        <is>
          <t>执行支付退款日结对账</t>
        </is>
      </c>
      <c r="D21" s="1050"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0" t="inlineStr">
        <is>
          <t>执行支付退款日结对账</t>
        </is>
      </c>
      <c r="D22" s="1050"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0" t="inlineStr">
        <is>
          <t>申请并追踪电子发票</t>
        </is>
      </c>
      <c r="D23" s="1050"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0" t="inlineStr">
        <is>
          <t>申请并追踪电子发票</t>
        </is>
      </c>
      <c r="D24" s="1050"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0" t="inlineStr">
        <is>
          <t>查看财务经营日报</t>
        </is>
      </c>
      <c r="D25" s="1050"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0" t="inlineStr">
        <is>
          <t>查看财务经营日报</t>
        </is>
      </c>
      <c r="D26" s="1050"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0" t="inlineStr">
        <is>
          <t>准备生产环境和发布流水线</t>
        </is>
      </c>
      <c r="D27" s="1050"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0" t="inlineStr">
        <is>
          <t>执行生产切换与回滚演练</t>
        </is>
      </c>
      <c r="D28" s="1050"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0" t="inlineStr">
        <is>
          <t>完成生产烟测与业务确认</t>
        </is>
      </c>
      <c r="D29" s="1050"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0" t="inlineStr">
        <is>
          <t>迁移会员与历史订单数据</t>
        </is>
      </c>
      <c r="D30" s="1050"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0" t="inlineStr">
        <is>
          <t>监控核心交易与财务作业</t>
        </is>
      </c>
      <c r="D31" s="1050"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0" t="inlineStr">
        <is>
          <t>完成运维交接与演练</t>
        </is>
      </c>
      <c r="D32" s="1050"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0" t="inlineStr">
        <is>
          <t>培训门店、客服和财务用户</t>
        </is>
      </c>
      <c r="D33" s="1050"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0" t="inlineStr">
        <is>
          <t>扩展自动化与性能验证</t>
        </is>
      </c>
      <c r="D34" s="1050"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0" t="inlineStr">
        <is>
          <t>执行兼容性与工程回归</t>
        </is>
      </c>
      <c r="D35" s="1050"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系统现状名称</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52" t="inlineStr">
        <is>
          <t>创建并查看客户档案</t>
        </is>
      </c>
      <c r="D5" s="1052" t="inlineStr">
        <is>
          <t>调整客户档案页面和状态</t>
        </is>
      </c>
      <c r="E5" s="1052" t="inlineStr">
        <is>
          <t>界面与交互</t>
        </is>
      </c>
      <c r="F5" s="945">
        <f>IF(E5="","",IFERROR(INDEX(BaseUnitCatalogTable[任务族名称],MATCH(E5,BaseUnitCatalogTable[基础单元名称],0)),""))</f>
        <v/>
      </c>
      <c r="G5" s="1053" t="inlineStr">
        <is>
          <t>调整</t>
        </is>
      </c>
      <c r="H5" s="1052" t="inlineStr">
        <is>
          <t>沿用可复用的客户档案框架及其页面入口，修改本次交付范围内的界面状态和校验。</t>
        </is>
      </c>
      <c r="I5" s="1053" t="inlineStr">
        <is>
          <t>S</t>
        </is>
      </c>
      <c r="J5" s="1052" t="inlineStr">
        <is>
          <t>仅一个界面和单一路径，使用成熟组件，无复杂权限或跨界面状态恢复。</t>
        </is>
      </c>
      <c r="K5" s="1052" t="inlineStr">
        <is>
          <t>可复用的客户档案框架</t>
        </is>
      </c>
      <c r="L5" s="1052"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52" t="inlineStr">
        <is>
          <t>提供客户档案操作</t>
        </is>
      </c>
      <c r="D6" s="1052" t="inlineStr">
        <is>
          <t>调整客户档案业务服务与接口</t>
        </is>
      </c>
      <c r="E6" s="1052" t="inlineStr">
        <is>
          <t>业务服务与接口</t>
        </is>
      </c>
      <c r="F6" s="945">
        <f>IF(E6="","",IFERROR(INDEX(BaseUnitCatalogTable[任务族名称],MATCH(E6,BaseUnitCatalogTable[基础单元名称],0)),""))</f>
        <v/>
      </c>
      <c r="G6" s="1053" t="inlineStr">
        <is>
          <t>调整</t>
        </is>
      </c>
      <c r="H6" s="1052" t="inlineStr">
        <is>
          <t>保留可复用的客户档案框架对应的服务边界，扩展创建和检索规则及接口。</t>
        </is>
      </c>
      <c r="I6" s="1053" t="inlineStr">
        <is>
          <t>M</t>
        </is>
      </c>
      <c r="J6" s="1052" t="inlineStr"/>
      <c r="K6" s="1052" t="inlineStr">
        <is>
          <t>可复用的客户档案框架</t>
        </is>
      </c>
      <c r="L6" s="1052"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52" t="inlineStr">
        <is>
          <t>集成会员主数据查询</t>
        </is>
      </c>
      <c r="D7" s="1052" t="inlineStr">
        <is>
          <t>接入内部客户档案 API</t>
        </is>
      </c>
      <c r="E7" s="1052" t="inlineStr">
        <is>
          <t>内部系统对接</t>
        </is>
      </c>
      <c r="F7" s="945">
        <f>IF(E7="","",IFERROR(INDEX(BaseUnitCatalogTable[任务族名称],MATCH(E7,BaseUnitCatalogTable[基础单元名称],0)),""))</f>
        <v/>
      </c>
      <c r="G7" s="1053" t="inlineStr">
        <is>
          <t>接入复用</t>
        </is>
      </c>
      <c r="H7" s="1052" t="inlineStr">
        <is>
          <t>可复用的客户档案框架保持不变；本项目负责并交付：认证、映射、适配。</t>
        </is>
      </c>
      <c r="I7" s="1053" t="inlineStr">
        <is>
          <t>S</t>
        </is>
      </c>
      <c r="J7" s="1052" t="inlineStr">
        <is>
          <t>同组织稳定接口、单向查询和简单字段映射，不涉及对端改造。</t>
        </is>
      </c>
      <c r="K7" s="1052" t="inlineStr">
        <is>
          <t>可复用的客户档案框架</t>
        </is>
      </c>
      <c r="L7" s="1052"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52" t="inlineStr">
        <is>
          <t>创建并查看客户档案</t>
        </is>
      </c>
      <c r="D8" s="1052" t="inlineStr">
        <is>
          <t>调整可复用的客户档案框架字段模型</t>
        </is>
      </c>
      <c r="E8" s="1052" t="inlineStr">
        <is>
          <t>数据模型与存储结构</t>
        </is>
      </c>
      <c r="F8" s="945">
        <f>IF(E8="","",IFERROR(INDEX(BaseUnitCatalogTable[任务族名称],MATCH(E8,BaseUnitCatalogTable[基础单元名称],0)),""))</f>
        <v/>
      </c>
      <c r="G8" s="1053" t="inlineStr">
        <is>
          <t>调整</t>
        </is>
      </c>
      <c r="H8" s="1052" t="inlineStr">
        <is>
          <t>在可复用的客户档案框架中增加一期顺延字段、授权标识和变更审计列。</t>
        </is>
      </c>
      <c r="I8" s="1053" t="inlineStr">
        <is>
          <t>M</t>
        </is>
      </c>
      <c r="J8" s="1052" t="inlineStr"/>
      <c r="K8" s="1052" t="inlineStr">
        <is>
          <t>可复用的客户档案框架</t>
        </is>
      </c>
      <c r="L8" s="1052"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52" t="inlineStr">
        <is>
          <t>提供客户档案操作</t>
        </is>
      </c>
      <c r="D9" s="1052" t="inlineStr">
        <is>
          <t>建立档案 API 身份与字段权限</t>
        </is>
      </c>
      <c r="E9" s="1052" t="inlineStr">
        <is>
          <t>身份与权限管理</t>
        </is>
      </c>
      <c r="F9" s="945">
        <f>IF(E9="","",IFERROR(INDEX(BaseUnitCatalogTable[任务族名称],MATCH(E9,BaseUnitCatalogTable[基础单元名称],0)),""))</f>
        <v/>
      </c>
      <c r="G9" s="1053" t="inlineStr">
        <is>
          <t>新建</t>
        </is>
      </c>
      <c r="H9" s="1052" t="inlineStr">
        <is>
          <t>为档案 API 新增角色、权限范围和敏感字段过滤规则。</t>
        </is>
      </c>
      <c r="I9" s="1053" t="inlineStr">
        <is>
          <t>M</t>
        </is>
      </c>
      <c r="J9" s="1052" t="inlineStr"/>
      <c r="K9" s="1052" t="inlineStr"/>
      <c r="L9" s="1052"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52" t="inlineStr">
        <is>
          <t>计算并追溯会员等级</t>
        </is>
      </c>
      <c r="D10" s="1052" t="inlineStr">
        <is>
          <t>调整既有会员主数据模型的等级计算服务</t>
        </is>
      </c>
      <c r="E10" s="1052" t="inlineStr">
        <is>
          <t>业务服务与接口</t>
        </is>
      </c>
      <c r="F10" s="945">
        <f>IF(E10="","",IFERROR(INDEX(BaseUnitCatalogTable[任务族名称],MATCH(E10,BaseUnitCatalogTable[基础单元名称],0)),""))</f>
        <v/>
      </c>
      <c r="G10" s="1053" t="inlineStr">
        <is>
          <t>调整</t>
        </is>
      </c>
      <c r="H10" s="1052" t="inlineStr">
        <is>
          <t>基于既有会员主数据模型新增等级试算、生效和查询操作。</t>
        </is>
      </c>
      <c r="I10" s="1053" t="inlineStr">
        <is>
          <t>M</t>
        </is>
      </c>
      <c r="J10" s="1052" t="inlineStr"/>
      <c r="K10" s="1052" t="inlineStr">
        <is>
          <t>既有会员主数据模型</t>
        </is>
      </c>
      <c r="L10" s="1052"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52" t="inlineStr">
        <is>
          <t>计算并追溯会员等级</t>
        </is>
      </c>
      <c r="D11" s="1052" t="inlineStr">
        <is>
          <t>调整既有会员主数据模型的等级历史</t>
        </is>
      </c>
      <c r="E11" s="1052" t="inlineStr">
        <is>
          <t>数据模型与存储结构</t>
        </is>
      </c>
      <c r="F11" s="945">
        <f>IF(E11="","",IFERROR(INDEX(BaseUnitCatalogTable[任务族名称],MATCH(E11,BaseUnitCatalogTable[基础单元名称],0)),""))</f>
        <v/>
      </c>
      <c r="G11" s="1053" t="inlineStr">
        <is>
          <t>调整</t>
        </is>
      </c>
      <c r="H11" s="1052" t="inlineStr">
        <is>
          <t>扩展既有会员主数据模型，增加规则版本、生效区间和等级变更历史。</t>
        </is>
      </c>
      <c r="I11" s="1053" t="inlineStr">
        <is>
          <t>S</t>
        </is>
      </c>
      <c r="J11" s="1052" t="inlineStr">
        <is>
          <t>新增两张关系清晰的历史表和唯一性约束，不涉及分区或跨库事务。</t>
        </is>
      </c>
      <c r="K11" s="1052" t="inlineStr">
        <is>
          <t>既有会员主数据模型</t>
        </is>
      </c>
      <c r="L11" s="1052"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52" t="inlineStr">
        <is>
          <t>统一创建全渠道订单</t>
        </is>
      </c>
      <c r="D12" s="1052" t="inlineStr">
        <is>
          <t>新建全渠道订单创建交互</t>
        </is>
      </c>
      <c r="E12" s="1052" t="inlineStr">
        <is>
          <t>界面与交互</t>
        </is>
      </c>
      <c r="F12" s="945">
        <f>IF(E12="","",IFERROR(INDEX(BaseUnitCatalogTable[任务族名称],MATCH(E12,BaseUnitCatalogTable[基础单元名称],0)),""))</f>
        <v/>
      </c>
      <c r="G12" s="1053" t="inlineStr">
        <is>
          <t>新建</t>
        </is>
      </c>
      <c r="H12" s="1052" t="inlineStr">
        <is>
          <t>新增门店与线上共用的价格、权益和履约方式校验交互。</t>
        </is>
      </c>
      <c r="I12" s="1053" t="inlineStr">
        <is>
          <t>M</t>
        </is>
      </c>
      <c r="J12" s="1052" t="inlineStr"/>
      <c r="K12" s="1052" t="inlineStr"/>
      <c r="L12" s="1052"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52" t="inlineStr">
        <is>
          <t>统一创建全渠道订单</t>
        </is>
      </c>
      <c r="D13" s="1052" t="inlineStr">
        <is>
          <t>新建全渠道订单创建服务</t>
        </is>
      </c>
      <c r="E13" s="1052" t="inlineStr">
        <is>
          <t>业务服务与接口</t>
        </is>
      </c>
      <c r="F13" s="945">
        <f>IF(E13="","",IFERROR(INDEX(BaseUnitCatalogTable[任务族名称],MATCH(E13,BaseUnitCatalogTable[基础单元名称],0)),""))</f>
        <v/>
      </c>
      <c r="G13" s="1053" t="inlineStr">
        <is>
          <t>新建</t>
        </is>
      </c>
      <c r="H13" s="1052" t="inlineStr">
        <is>
          <t>新增跨渠道订单创建、价格快照、权益核验和幂等控制。</t>
        </is>
      </c>
      <c r="I13" s="1053" t="inlineStr">
        <is>
          <t>L</t>
        </is>
      </c>
      <c r="J13" s="1052" t="inlineStr">
        <is>
          <t>涉及门店与线上两类渠道、四项业务校验、跨域价格权益快照和并发幂等。</t>
        </is>
      </c>
      <c r="K13" s="1052" t="inlineStr"/>
      <c r="L13" s="1052"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52" t="inlineStr">
        <is>
          <t>驱动订单状态与事件</t>
        </is>
      </c>
      <c r="D14" s="1052" t="inlineStr">
        <is>
          <t>调整既有订单服务与状态机</t>
        </is>
      </c>
      <c r="E14" s="1052" t="inlineStr">
        <is>
          <t>业务服务与接口</t>
        </is>
      </c>
      <c r="F14" s="945">
        <f>IF(E14="","",IFERROR(INDEX(BaseUnitCatalogTable[任务族名称],MATCH(E14,BaseUnitCatalogTable[基础单元名称],0)),""))</f>
        <v/>
      </c>
      <c r="G14" s="1053" t="inlineStr">
        <is>
          <t>调整</t>
        </is>
      </c>
      <c r="H14" s="1052" t="inlineStr">
        <is>
          <t>扩展既有订单服务与状态机，增加门店接单、退货、退款和开票状态。</t>
        </is>
      </c>
      <c r="I14" s="1053" t="inlineStr">
        <is>
          <t>M</t>
        </is>
      </c>
      <c r="J14" s="1052" t="inlineStr"/>
      <c r="K14" s="1052" t="inlineStr">
        <is>
          <t>既有订单服务与状态机</t>
        </is>
      </c>
      <c r="L14" s="1052"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52" t="inlineStr">
        <is>
          <t>驱动订单状态与事件</t>
        </is>
      </c>
      <c r="D15" s="1052" t="inlineStr">
        <is>
          <t>新建订单状态事件处理</t>
        </is>
      </c>
      <c r="E15" s="1052" t="inlineStr">
        <is>
          <t>事件与消息处理</t>
        </is>
      </c>
      <c r="F15" s="945">
        <f>IF(E15="","",IFERROR(INDEX(BaseUnitCatalogTable[任务族名称],MATCH(E15,BaseUnitCatalogTable[基础单元名称],0)),""))</f>
        <v/>
      </c>
      <c r="G15" s="1053" t="inlineStr">
        <is>
          <t>新建</t>
        </is>
      </c>
      <c r="H15" s="1052" t="inlineStr">
        <is>
          <t>新增带事件编号、业务键和重放保护的订单状态事件。</t>
        </is>
      </c>
      <c r="I15" s="1053" t="inlineStr">
        <is>
          <t>L</t>
        </is>
      </c>
      <c r="J15" s="1052" t="inlineStr">
        <is>
          <t>覆盖九类状态事件、顺序保证、重复消费和失败重放，并被多个下游订阅。</t>
        </is>
      </c>
      <c r="K15" s="1052" t="inlineStr"/>
      <c r="L15" s="1052"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52" t="inlineStr">
        <is>
          <t>预占和释放 ERP 库存</t>
        </is>
      </c>
      <c r="D16" s="1052" t="inlineStr">
        <is>
          <t>接入既有 ERP 库存接口</t>
        </is>
      </c>
      <c r="E16" s="1052" t="inlineStr">
        <is>
          <t>内部系统对接</t>
        </is>
      </c>
      <c r="F16" s="945">
        <f>IF(E16="","",IFERROR(INDEX(BaseUnitCatalogTable[任务族名称],MATCH(E16,BaseUnitCatalogTable[基础单元名称],0)),""))</f>
        <v/>
      </c>
      <c r="G16" s="1053" t="inlineStr">
        <is>
          <t>接入复用</t>
        </is>
      </c>
      <c r="H16" s="1052" t="inlineStr">
        <is>
          <t>既有 ERP 库存接口保持不变；本项目负责并交付：映射、适配、认证、专项验证。</t>
        </is>
      </c>
      <c r="I16" s="1053" t="inlineStr">
        <is>
          <t>M</t>
        </is>
      </c>
      <c r="J16" s="1052" t="inlineStr"/>
      <c r="K16" s="1052" t="inlineStr">
        <is>
          <t>既有 ERP 库存接口</t>
        </is>
      </c>
      <c r="L16" s="1052"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52" t="inlineStr">
        <is>
          <t>预占和释放 ERP 库存</t>
        </is>
      </c>
      <c r="D17" s="1052" t="inlineStr">
        <is>
          <t>验证库存预占幂等与补偿</t>
        </is>
      </c>
      <c r="E17" s="1052" t="inlineStr">
        <is>
          <t>人工测试</t>
        </is>
      </c>
      <c r="F17" s="945">
        <f>IF(E17="","",IFERROR(INDEX(BaseUnitCatalogTable[任务族名称],MATCH(E17,BaseUnitCatalogTable[基础单元名称],0)),""))</f>
        <v/>
      </c>
      <c r="G17" s="1053" t="inlineStr">
        <is>
          <t>新建</t>
        </is>
      </c>
      <c r="H17" s="1052" t="inlineStr">
        <is>
          <t>新增 ERP 超时、重试、重复请求和释放失败的人工验证场景。</t>
        </is>
      </c>
      <c r="I17" s="1053" t="inlineStr">
        <is>
          <t>S</t>
        </is>
      </c>
      <c r="J17" s="1052" t="inlineStr">
        <is>
          <t>集中验证四个已定义异常场景，数据准备简单且无需跨设备矩阵。</t>
        </is>
      </c>
      <c r="K17" s="1052" t="inlineStr"/>
      <c r="L17" s="1052"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52" t="inlineStr">
        <is>
          <t>提交并审核退货申请</t>
        </is>
      </c>
      <c r="D18" s="1052" t="inlineStr">
        <is>
          <t>新建退货申请与审核交互</t>
        </is>
      </c>
      <c r="E18" s="1052" t="inlineStr">
        <is>
          <t>界面与交互</t>
        </is>
      </c>
      <c r="F18" s="945">
        <f>IF(E18="","",IFERROR(INDEX(BaseUnitCatalogTable[任务族名称],MATCH(E18,BaseUnitCatalogTable[基础单元名称],0)),""))</f>
        <v/>
      </c>
      <c r="G18" s="1053" t="inlineStr">
        <is>
          <t>新建</t>
        </is>
      </c>
      <c r="H18" s="1052" t="inlineStr">
        <is>
          <t>新增门店和客服使用的退货明细、可退校验和审核反馈。</t>
        </is>
      </c>
      <c r="I18" s="1053" t="inlineStr">
        <is>
          <t>M</t>
        </is>
      </c>
      <c r="J18" s="1052" t="inlineStr"/>
      <c r="K18" s="1052" t="inlineStr"/>
      <c r="L18" s="1052"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52" t="inlineStr">
        <is>
          <t>提交并审核退货申请</t>
        </is>
      </c>
      <c r="D19" s="1052" t="inlineStr">
        <is>
          <t>调整既有订单服务与状态机的退货规则</t>
        </is>
      </c>
      <c r="E19" s="1052" t="inlineStr">
        <is>
          <t>业务服务与接口</t>
        </is>
      </c>
      <c r="F19" s="945">
        <f>IF(E19="","",IFERROR(INDEX(BaseUnitCatalogTable[任务族名称],MATCH(E19,BaseUnitCatalogTable[基础单元名称],0)),""))</f>
        <v/>
      </c>
      <c r="G19" s="1053" t="inlineStr">
        <is>
          <t>调整</t>
        </is>
      </c>
      <c r="H19" s="1052" t="inlineStr">
        <is>
          <t>在既有订单服务与状态机中增加可退数量、退货审核和退货单状态。</t>
        </is>
      </c>
      <c r="I19" s="1053" t="inlineStr">
        <is>
          <t>M</t>
        </is>
      </c>
      <c r="J19" s="1052" t="inlineStr"/>
      <c r="K19" s="1052" t="inlineStr">
        <is>
          <t>既有订单服务与状态机</t>
        </is>
      </c>
      <c r="L19" s="1052"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52" t="inlineStr">
        <is>
          <t>发起退款并回写结果</t>
        </is>
      </c>
      <c r="D20" s="1052" t="inlineStr">
        <is>
          <t>接入既有支付网关租户</t>
        </is>
      </c>
      <c r="E20" s="1052" t="inlineStr">
        <is>
          <t>外部系统对接</t>
        </is>
      </c>
      <c r="F20" s="945">
        <f>IF(E20="","",IFERROR(INDEX(BaseUnitCatalogTable[任务族名称],MATCH(E20,BaseUnitCatalogTable[基础单元名称],0)),""))</f>
        <v/>
      </c>
      <c r="G20" s="1053" t="inlineStr">
        <is>
          <t>接入复用</t>
        </is>
      </c>
      <c r="H20" s="1052" t="inlineStr">
        <is>
          <t>既有支付网关租户保持不变；本项目负责并交付：配置、映射、适配、认证、专项验证。</t>
        </is>
      </c>
      <c r="I20" s="1053" t="inlineStr">
        <is>
          <t>L</t>
        </is>
      </c>
      <c r="J20" s="1052" t="inlineStr">
        <is>
          <t>涉及外部认证、同步申请与异步回调、金额幂等、供应商错误码和认证窗口。</t>
        </is>
      </c>
      <c r="K20" s="1052" t="inlineStr">
        <is>
          <t>既有支付网关租户</t>
        </is>
      </c>
      <c r="L20" s="1052"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52" t="inlineStr">
        <is>
          <t>发起退款并回写结果</t>
        </is>
      </c>
      <c r="D21" s="1052" t="inlineStr">
        <is>
          <t>验证退款签名与隐私保护</t>
        </is>
      </c>
      <c r="E21" s="1052" t="inlineStr">
        <is>
          <t>安全与隐私测试</t>
        </is>
      </c>
      <c r="F21" s="945">
        <f>IF(E21="","",IFERROR(INDEX(BaseUnitCatalogTable[任务族名称],MATCH(E21,BaseUnitCatalogTable[基础单元名称],0)),""))</f>
        <v/>
      </c>
      <c r="G21" s="1053" t="inlineStr">
        <is>
          <t>新建</t>
        </is>
      </c>
      <c r="H21" s="1052" t="inlineStr">
        <is>
          <t>新增退款回调签名、重放攻击、敏感字段和越权场景验证。</t>
        </is>
      </c>
      <c r="I21" s="1053" t="inlineStr">
        <is>
          <t>M</t>
        </is>
      </c>
      <c r="J21" s="1052" t="inlineStr"/>
      <c r="K21" s="1052" t="inlineStr"/>
      <c r="L21" s="1052"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52" t="inlineStr">
        <is>
          <t>门店处理订单与交接</t>
        </is>
      </c>
      <c r="D22" s="1052" t="inlineStr">
        <is>
          <t>新建门店订单队列与交接界面</t>
        </is>
      </c>
      <c r="E22" s="1052" t="inlineStr">
        <is>
          <t>界面与交互</t>
        </is>
      </c>
      <c r="F22" s="945">
        <f>IF(E22="","",IFERROR(INDEX(BaseUnitCatalogTable[任务族名称],MATCH(E22,BaseUnitCatalogTable[基础单元名称],0)),""))</f>
        <v/>
      </c>
      <c r="G22" s="1053" t="inlineStr">
        <is>
          <t>新建</t>
        </is>
      </c>
      <c r="H22" s="1052" t="inlineStr">
        <is>
          <t>新增门店待处理队列、缺货替代、备注和班次交接交互。</t>
        </is>
      </c>
      <c r="I22" s="1053" t="inlineStr">
        <is>
          <t>M</t>
        </is>
      </c>
      <c r="J22" s="1052" t="inlineStr"/>
      <c r="K22" s="1052" t="inlineStr"/>
      <c r="L22" s="1052"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52" t="inlineStr">
        <is>
          <t>门店处理订单与交接</t>
        </is>
      </c>
      <c r="D23" s="1052" t="inlineStr">
        <is>
          <t>新建门店接单与交接服务</t>
        </is>
      </c>
      <c r="E23" s="1052" t="inlineStr">
        <is>
          <t>业务服务与接口</t>
        </is>
      </c>
      <c r="F23" s="945">
        <f>IF(E23="","",IFERROR(INDEX(BaseUnitCatalogTable[任务族名称],MATCH(E23,BaseUnitCatalogTable[基础单元名称],0)),""))</f>
        <v/>
      </c>
      <c r="G23" s="1053" t="inlineStr">
        <is>
          <t>新建</t>
        </is>
      </c>
      <c r="H23" s="1052" t="inlineStr">
        <is>
          <t>交付一期顺延的门店接单、缺货替代、权限校验和交接操作。</t>
        </is>
      </c>
      <c r="I23" s="1053" t="inlineStr">
        <is>
          <t>L</t>
        </is>
      </c>
      <c r="J23" s="1052" t="inlineStr">
        <is>
          <t>涉及门店数据隔离、并发抢单、缺货替代和跨班次交接四类复杂规则。</t>
        </is>
      </c>
      <c r="K23" s="1052" t="inlineStr"/>
      <c r="L23" s="1052"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52" t="inlineStr">
        <is>
          <t>查看统一履约轨迹</t>
        </is>
      </c>
      <c r="D24" s="1052" t="inlineStr">
        <is>
          <t>新建统一订单履约轨迹</t>
        </is>
      </c>
      <c r="E24" s="1052" t="inlineStr">
        <is>
          <t>界面与交互</t>
        </is>
      </c>
      <c r="F24" s="945">
        <f>IF(E24="","",IFERROR(INDEX(BaseUnitCatalogTable[任务族名称],MATCH(E24,BaseUnitCatalogTable[基础单元名称],0)),""))</f>
        <v/>
      </c>
      <c r="G24" s="1053" t="inlineStr">
        <is>
          <t>新建</t>
        </is>
      </c>
      <c r="H24" s="1052" t="inlineStr">
        <is>
          <t>新增顾客与客服共用的状态、履约节点和异常原因时间轴。</t>
        </is>
      </c>
      <c r="I24" s="1053" t="inlineStr">
        <is>
          <t>S</t>
        </is>
      </c>
      <c r="J24" s="1052" t="inlineStr">
        <is>
          <t>单一只读时间轴，复用现有列表组件且无复杂编辑状态。</t>
        </is>
      </c>
      <c r="K24" s="1052" t="inlineStr"/>
      <c r="L24" s="1052"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52" t="inlineStr">
        <is>
          <t>查看统一履约轨迹</t>
        </is>
      </c>
      <c r="D25" s="1052" t="inlineStr">
        <is>
          <t>新建履约轨迹事件投影</t>
        </is>
      </c>
      <c r="E25" s="1052" t="inlineStr">
        <is>
          <t>事件与消息处理</t>
        </is>
      </c>
      <c r="F25" s="945">
        <f>IF(E25="","",IFERROR(INDEX(BaseUnitCatalogTable[任务族名称],MATCH(E25,BaseUnitCatalogTable[基础单元名称],0)),""))</f>
        <v/>
      </c>
      <c r="G25" s="1053" t="inlineStr">
        <is>
          <t>新建</t>
        </is>
      </c>
      <c r="H25" s="1052" t="inlineStr">
        <is>
          <t>新增订单状态事件到渠道可读轨迹的投影与延迟补偿。</t>
        </is>
      </c>
      <c r="I25" s="1053" t="inlineStr">
        <is>
          <t>M</t>
        </is>
      </c>
      <c r="J25" s="1052" t="inlineStr"/>
      <c r="K25" s="1052" t="inlineStr"/>
      <c r="L25" s="1052"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52" t="inlineStr">
        <is>
          <t>执行支付退款日结对账</t>
        </is>
      </c>
      <c r="D26" s="1052" t="inlineStr">
        <is>
          <t>新建支付退款日结作业</t>
        </is>
      </c>
      <c r="E26" s="1052" t="inlineStr">
        <is>
          <t>后台任务</t>
        </is>
      </c>
      <c r="F26" s="945">
        <f>IF(E26="","",IFERROR(INDEX(BaseUnitCatalogTable[任务族名称],MATCH(E26,BaseUnitCatalogTable[基础单元名称],0)),""))</f>
        <v/>
      </c>
      <c r="G26" s="1053" t="inlineStr">
        <is>
          <t>新建</t>
        </is>
      </c>
      <c r="H26" s="1052" t="inlineStr">
        <is>
          <t>新增每日交易归集、手续费计算、差异识别和失败重跑作业。</t>
        </is>
      </c>
      <c r="I26" s="1053" t="inlineStr">
        <is>
          <t>M</t>
        </is>
      </c>
      <c r="J26" s="1052" t="inlineStr"/>
      <c r="K26" s="1052" t="inlineStr"/>
      <c r="L26" s="1052"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52" t="inlineStr">
        <is>
          <t>执行支付退款日结对账</t>
        </is>
      </c>
      <c r="D27" s="1052" t="inlineStr">
        <is>
          <t>新建支付差异复核视图</t>
        </is>
      </c>
      <c r="E27" s="1052" t="inlineStr">
        <is>
          <t>报表与指标</t>
        </is>
      </c>
      <c r="F27" s="945">
        <f>IF(E27="","",IFERROR(INDEX(BaseUnitCatalogTable[任务族名称],MATCH(E27,BaseUnitCatalogTable[基础单元名称],0)),""))</f>
        <v/>
      </c>
      <c r="G27" s="1053" t="inlineStr">
        <is>
          <t>新建</t>
        </is>
      </c>
      <c r="H27" s="1052" t="inlineStr">
        <is>
          <t>新增按渠道、门店和订单查看实收、退款与手续费差异的财务视图。</t>
        </is>
      </c>
      <c r="I27" s="1053" t="inlineStr">
        <is>
          <t>M</t>
        </is>
      </c>
      <c r="J27" s="1052" t="inlineStr"/>
      <c r="K27" s="1052" t="inlineStr"/>
      <c r="L27" s="1052"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52" t="inlineStr">
        <is>
          <t>申请并追踪电子发票</t>
        </is>
      </c>
      <c r="D28" s="1052" t="inlineStr">
        <is>
          <t>接入既有电子发票通道</t>
        </is>
      </c>
      <c r="E28" s="1052" t="inlineStr">
        <is>
          <t>外部系统对接</t>
        </is>
      </c>
      <c r="F28" s="945">
        <f>IF(E28="","",IFERROR(INDEX(BaseUnitCatalogTable[任务族名称],MATCH(E28,BaseUnitCatalogTable[基础单元名称],0)),""))</f>
        <v/>
      </c>
      <c r="G28" s="1053" t="inlineStr">
        <is>
          <t>接入复用</t>
        </is>
      </c>
      <c r="H28" s="1052" t="inlineStr">
        <is>
          <t>既有电子发票通道保持不变；本项目负责并交付：配置、映射、适配、认证、租户设置、专项验证。</t>
        </is>
      </c>
      <c r="I28" s="1053" t="inlineStr">
        <is>
          <t>M</t>
        </is>
      </c>
      <c r="J28" s="1052" t="inlineStr"/>
      <c r="K28" s="1052" t="inlineStr">
        <is>
          <t>既有电子发票通道</t>
        </is>
      </c>
      <c r="L28" s="1052"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52" t="inlineStr">
        <is>
          <t>申请并追踪电子发票</t>
        </is>
      </c>
      <c r="D29" s="1052" t="inlineStr">
        <is>
          <t>新建发票状态补偿作业</t>
        </is>
      </c>
      <c r="E29" s="1052" t="inlineStr">
        <is>
          <t>后台任务</t>
        </is>
      </c>
      <c r="F29" s="945">
        <f>IF(E29="","",IFERROR(INDEX(BaseUnitCatalogTable[任务族名称],MATCH(E29,BaseUnitCatalogTable[基础单元名称],0)),""))</f>
        <v/>
      </c>
      <c r="G29" s="1053" t="inlineStr">
        <is>
          <t>新建</t>
        </is>
      </c>
      <c r="H29" s="1052" t="inlineStr">
        <is>
          <t>新增开票状态轮询、失败重试、重复申请拦截和结果回写作业。</t>
        </is>
      </c>
      <c r="I29" s="1053" t="inlineStr">
        <is>
          <t>M</t>
        </is>
      </c>
      <c r="J29" s="1052" t="inlineStr"/>
      <c r="K29" s="1052" t="inlineStr"/>
      <c r="L29" s="1052"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52" t="inlineStr">
        <is>
          <t>查看财务经营日报</t>
        </is>
      </c>
      <c r="D30" s="1052" t="inlineStr">
        <is>
          <t>新建财务经营日报</t>
        </is>
      </c>
      <c r="E30" s="1052" t="inlineStr">
        <is>
          <t>报表与指标</t>
        </is>
      </c>
      <c r="F30" s="945">
        <f>IF(E30="","",IFERROR(INDEX(BaseUnitCatalogTable[任务族名称],MATCH(E30,BaseUnitCatalogTable[基础单元名称],0)),""))</f>
        <v/>
      </c>
      <c r="G30" s="1053" t="inlineStr">
        <is>
          <t>新建</t>
        </is>
      </c>
      <c r="H30" s="1052" t="inlineStr">
        <is>
          <t>新增销售、退款、优惠和未对账金额的多维指标与下钻。</t>
        </is>
      </c>
      <c r="I30" s="1053" t="inlineStr">
        <is>
          <t>L</t>
        </is>
      </c>
      <c r="J30" s="1052" t="inlineStr">
        <is>
          <t>包含四类金额、日期区域渠道三维切片、逐笔下钻和财务口径校验。</t>
        </is>
      </c>
      <c r="K30" s="1052" t="inlineStr"/>
      <c r="L30" s="1052"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52" t="inlineStr">
        <is>
          <t>查看财务经营日报</t>
        </is>
      </c>
      <c r="D31" s="1052" t="inlineStr">
        <is>
          <t>新建财务指标处理流程</t>
        </is>
      </c>
      <c r="E31" s="1052" t="inlineStr">
        <is>
          <t>数据处理流程</t>
        </is>
      </c>
      <c r="F31" s="945">
        <f>IF(E31="","",IFERROR(INDEX(BaseUnitCatalogTable[任务族名称],MATCH(E31,BaseUnitCatalogTable[基础单元名称],0)),""))</f>
        <v/>
      </c>
      <c r="G31" s="1053" t="inlineStr">
        <is>
          <t>新建</t>
        </is>
      </c>
      <c r="H31" s="1052" t="inlineStr">
        <is>
          <t>新增订单、支付、退款和发票明细的清洗、关联与日汇总流程。</t>
        </is>
      </c>
      <c r="I31" s="1053" t="inlineStr">
        <is>
          <t>M</t>
        </is>
      </c>
      <c r="J31" s="1052" t="inlineStr"/>
      <c r="K31" s="1052" t="inlineStr"/>
      <c r="L31" s="1052"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52" t="inlineStr">
        <is>
          <t>准备生产环境和发布流水线</t>
        </is>
      </c>
      <c r="D32" s="1052" t="inlineStr">
        <is>
          <t>调整既有生产环境与发布流水线的运行配置</t>
        </is>
      </c>
      <c r="E32" s="1052" t="inlineStr">
        <is>
          <t>运行环境</t>
        </is>
      </c>
      <c r="F32" s="945">
        <f>IF(E32="","",IFERROR(INDEX(BaseUnitCatalogTable[任务族名称],MATCH(E32,BaseUnitCatalogTable[基础单元名称],0)),""))</f>
        <v/>
      </c>
      <c r="G32" s="1053" t="inlineStr">
        <is>
          <t>调整</t>
        </is>
      </c>
      <c r="H32" s="1052" t="inlineStr">
        <is>
          <t>在既有生产环境与发布流水线中增加会员、订单、批处理和外部证书配置。</t>
        </is>
      </c>
      <c r="I32" s="1053" t="inlineStr">
        <is>
          <t>M</t>
        </is>
      </c>
      <c r="J32" s="1052" t="inlineStr"/>
      <c r="K32" s="1052" t="inlineStr">
        <is>
          <t>既有生产环境与发布流水线</t>
        </is>
      </c>
      <c r="L32" s="1052"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52" t="inlineStr">
        <is>
          <t>准备生产环境和发布流水线</t>
        </is>
      </c>
      <c r="D33" s="1052" t="inlineStr">
        <is>
          <t>调整既有生产环境与发布流水线的部署步骤</t>
        </is>
      </c>
      <c r="E33" s="1052" t="inlineStr">
        <is>
          <t>构建与部署流水线</t>
        </is>
      </c>
      <c r="F33" s="945">
        <f>IF(E33="","",IFERROR(INDEX(BaseUnitCatalogTable[任务族名称],MATCH(E33,BaseUnitCatalogTable[基础单元名称],0)),""))</f>
        <v/>
      </c>
      <c r="G33" s="1053" t="inlineStr">
        <is>
          <t>调整</t>
        </is>
      </c>
      <c r="H33" s="1052" t="inlineStr">
        <is>
          <t>扩展既有生产环境与发布流水线，增加迁移前检查、分步发布和验证门禁。</t>
        </is>
      </c>
      <c r="I33" s="1053" t="inlineStr">
        <is>
          <t>M</t>
        </is>
      </c>
      <c r="J33" s="1052" t="inlineStr"/>
      <c r="K33" s="1052" t="inlineStr">
        <is>
          <t>既有生产环境与发布流水线</t>
        </is>
      </c>
      <c r="L33" s="1052"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52" t="inlineStr">
        <is>
          <t>准备生产环境和发布流水线</t>
        </is>
      </c>
      <c r="D34" s="1052" t="inlineStr">
        <is>
          <t>调整既有生产环境与发布流水线的功能开关</t>
        </is>
      </c>
      <c r="E34" s="1052" t="inlineStr">
        <is>
          <t>配置与功能开关</t>
        </is>
      </c>
      <c r="F34" s="945">
        <f>IF(E34="","",IFERROR(INDEX(BaseUnitCatalogTable[任务族名称],MATCH(E34,BaseUnitCatalogTable[基础单元名称],0)),""))</f>
        <v/>
      </c>
      <c r="G34" s="1053" t="inlineStr">
        <is>
          <t>调整</t>
        </is>
      </c>
      <c r="H34" s="1052" t="inlineStr">
        <is>
          <t>在既有生产环境与发布流水线中配置渠道切流、退款和开票功能开关。</t>
        </is>
      </c>
      <c r="I34" s="1053" t="inlineStr">
        <is>
          <t>S</t>
        </is>
      </c>
      <c r="J34" s="1052" t="inlineStr">
        <is>
          <t>三个独立布尔开关及默认值，沿用现有配置中心且无复杂灰度算法。</t>
        </is>
      </c>
      <c r="K34" s="1052" t="inlineStr">
        <is>
          <t>既有生产环境与发布流水线</t>
        </is>
      </c>
      <c r="L34" s="1052"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52" t="inlineStr">
        <is>
          <t>执行生产切换与回滚演练</t>
        </is>
      </c>
      <c r="D35" s="1052" t="inlineStr">
        <is>
          <t>执行生产切换与回滚</t>
        </is>
      </c>
      <c r="E35" s="1052" t="inlineStr">
        <is>
          <t>发布切换</t>
        </is>
      </c>
      <c r="F35" s="945">
        <f>IF(E35="","",IFERROR(INDEX(BaseUnitCatalogTable[任务族名称],MATCH(E35,BaseUnitCatalogTable[基础单元名称],0)),""))</f>
        <v/>
      </c>
      <c r="G35" s="1053" t="inlineStr">
        <is>
          <t>新建</t>
        </is>
      </c>
      <c r="H35" s="1052" t="inlineStr">
        <is>
          <t>基于既有生产环境与发布流水线编制并执行分步切流、检查点和回滚清单。</t>
        </is>
      </c>
      <c r="I35" s="1053" t="inlineStr">
        <is>
          <t>L</t>
        </is>
      </c>
      <c r="J35" s="1052" t="inlineStr">
        <is>
          <t>涉及会员、订单、四个集成链路、迁移窗口、三次继续回滚决策和多团队协同。</t>
        </is>
      </c>
      <c r="K35" s="1052" t="inlineStr">
        <is>
          <t>既有生产环境与发布流水线</t>
        </is>
      </c>
      <c r="L35" s="1052"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52" t="inlineStr">
        <is>
          <t>执行生产切换与回滚演练</t>
        </is>
      </c>
      <c r="D36" s="1052" t="inlineStr">
        <is>
          <t>验证切换与回滚检查清单</t>
        </is>
      </c>
      <c r="E36" s="1052" t="inlineStr">
        <is>
          <t>人工测试</t>
        </is>
      </c>
      <c r="F36" s="945">
        <f>IF(E36="","",IFERROR(INDEX(BaseUnitCatalogTable[任务族名称],MATCH(E36,BaseUnitCatalogTable[基础单元名称],0)),""))</f>
        <v/>
      </c>
      <c r="G36" s="1053" t="inlineStr">
        <is>
          <t>新建</t>
        </is>
      </c>
      <c r="H36" s="1052" t="inlineStr">
        <is>
          <t>新增切换前置条件、检查点、回滚触发器和联系人桌面演练。</t>
        </is>
      </c>
      <c r="I36" s="1053" t="inlineStr">
        <is>
          <t>S</t>
        </is>
      </c>
      <c r="J36" s="1052" t="inlineStr">
        <is>
          <t>一次桌面演练和一套固定清单，不涉及额外环境或大规模数据准备。</t>
        </is>
      </c>
      <c r="K36" s="1052" t="inlineStr"/>
      <c r="L36" s="1052"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52" t="inlineStr">
        <is>
          <t>完成生产烟测与业务确认</t>
        </is>
      </c>
      <c r="D37" s="1052" t="inlineStr">
        <is>
          <t>执行核心查询性能验证</t>
        </is>
      </c>
      <c r="E37" s="1052" t="inlineStr">
        <is>
          <t>性能与容量测试</t>
        </is>
      </c>
      <c r="F37" s="945">
        <f>IF(E37="","",IFERROR(INDEX(BaseUnitCatalogTable[任务族名称],MATCH(E37,BaseUnitCatalogTable[基础单元名称],0)),""))</f>
        <v/>
      </c>
      <c r="G37" s="1053" t="inlineStr">
        <is>
          <t>新建</t>
        </is>
      </c>
      <c r="H37" s="1052" t="inlineStr">
        <is>
          <t>新增档案查询、订单创建和轨迹查询的峰值负载与稳定性验证。</t>
        </is>
      </c>
      <c r="I37" s="1053" t="inlineStr">
        <is>
          <t>L</t>
        </is>
      </c>
      <c r="J37" s="1052" t="inlineStr">
        <is>
          <t>三条核心链路、500 TPS 峰值、两小时稳定性和容量拐点分析需要多轮调优。</t>
        </is>
      </c>
      <c r="K37" s="1052" t="inlineStr"/>
      <c r="L37" s="1052"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52" t="inlineStr">
        <is>
          <t>完成生产烟测与业务确认</t>
        </is>
      </c>
      <c r="D38" s="1052" t="inlineStr">
        <is>
          <t>执行生产权限与证书验证</t>
        </is>
      </c>
      <c r="E38" s="1052" t="inlineStr">
        <is>
          <t>安全与隐私测试</t>
        </is>
      </c>
      <c r="F38" s="945">
        <f>IF(E38="","",IFERROR(INDEX(BaseUnitCatalogTable[任务族名称],MATCH(E38,BaseUnitCatalogTable[基础单元名称],0)),""))</f>
        <v/>
      </c>
      <c r="G38" s="1053" t="inlineStr">
        <is>
          <t>新建</t>
        </is>
      </c>
      <c r="H38" s="1052" t="inlineStr">
        <is>
          <t>新增生产角色最小权限、外部证书、密钥轮换和敏感字段脱敏检查。</t>
        </is>
      </c>
      <c r="I38" s="1053" t="inlineStr">
        <is>
          <t>M</t>
        </is>
      </c>
      <c r="J38" s="1052" t="inlineStr"/>
      <c r="K38" s="1052" t="inlineStr"/>
      <c r="L38" s="1052"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52" t="inlineStr">
        <is>
          <t>完成生产烟测与业务确认</t>
        </is>
      </c>
      <c r="D39" s="1052" t="inlineStr">
        <is>
          <t>执行五条生产业务烟测</t>
        </is>
      </c>
      <c r="E39" s="1052" t="inlineStr">
        <is>
          <t>人工测试</t>
        </is>
      </c>
      <c r="F39" s="945">
        <f>IF(E39="","",IFERROR(INDEX(BaseUnitCatalogTable[任务族名称],MATCH(E39,BaseUnitCatalogTable[基础单元名称],0)),""))</f>
        <v/>
      </c>
      <c r="G39" s="1053" t="inlineStr">
        <is>
          <t>新建</t>
        </is>
      </c>
      <c r="H39" s="1052" t="inlineStr">
        <is>
          <t>新增档案、下单、退款、开票和对账五条生产烟测并留存证据。</t>
        </is>
      </c>
      <c r="I39" s="1053" t="inlineStr">
        <is>
          <t>M</t>
        </is>
      </c>
      <c r="J39" s="1052" t="inlineStr"/>
      <c r="K39" s="1052" t="inlineStr"/>
      <c r="L39" s="1052"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52" t="inlineStr">
        <is>
          <t>迁移会员与历史订单数据</t>
        </is>
      </c>
      <c r="D40" s="1052" t="inlineStr">
        <is>
          <t>迁移会员与两年历史订单</t>
        </is>
      </c>
      <c r="E40" s="1052" t="inlineStr">
        <is>
          <t>数据迁移</t>
        </is>
      </c>
      <c r="F40" s="945">
        <f>IF(E40="","",IFERROR(INDEX(BaseUnitCatalogTable[任务族名称],MATCH(E40,BaseUnitCatalogTable[基础单元名称],0)),""))</f>
        <v/>
      </c>
      <c r="G40" s="1053" t="inlineStr">
        <is>
          <t>新建</t>
        </is>
      </c>
      <c r="H40" s="1052" t="inlineStr">
        <is>
          <t>从既有会员主数据模型和既有订单服务与状态机抽取数据，执行映射、加载、校验和补偿。</t>
        </is>
      </c>
      <c r="I40" s="1053" t="inlineStr">
        <is>
          <t>L</t>
        </is>
      </c>
      <c r="J40" s="1052" t="inlineStr">
        <is>
          <t>涉及两类源数据、约 1200 万订单行、历史状态映射、增量窗口和失败补偿。</t>
        </is>
      </c>
      <c r="K40" s="1052" t="inlineStr">
        <is>
          <t>既有会员主数据模型</t>
        </is>
      </c>
      <c r="L40" s="1052"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52" t="inlineStr">
        <is>
          <t>迁移会员与历史订单数据</t>
        </is>
      </c>
      <c r="D41" s="1052" t="inlineStr">
        <is>
          <t>新建迁移抽取转换流程</t>
        </is>
      </c>
      <c r="E41" s="1052" t="inlineStr">
        <is>
          <t>数据处理流程</t>
        </is>
      </c>
      <c r="F41" s="945">
        <f>IF(E41="","",IFERROR(INDEX(BaseUnitCatalogTable[任务族名称],MATCH(E41,BaseUnitCatalogTable[基础单元名称],0)),""))</f>
        <v/>
      </c>
      <c r="G41" s="1053" t="inlineStr">
        <is>
          <t>新建</t>
        </is>
      </c>
      <c r="H41" s="1052" t="inlineStr">
        <is>
          <t>新增全量与增量抽取、字段标准化、状态映射和失败重放流程。</t>
        </is>
      </c>
      <c r="I41" s="1053" t="inlineStr">
        <is>
          <t>L</t>
        </is>
      </c>
      <c r="J41" s="1052" t="inlineStr">
        <is>
          <t>包含全量与增量两条路径、跨版本状态映射、断点续传和可重复执行控制。</t>
        </is>
      </c>
      <c r="K41" s="1052" t="inlineStr"/>
      <c r="L41" s="1052"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52" t="inlineStr">
        <is>
          <t>迁移会员与历史订单数据</t>
        </is>
      </c>
      <c r="D42" s="1052" t="inlineStr">
        <is>
          <t>验证迁移数量与关键字段</t>
        </is>
      </c>
      <c r="E42" s="1052" t="inlineStr">
        <is>
          <t>人工测试</t>
        </is>
      </c>
      <c r="F42" s="945">
        <f>IF(E42="","",IFERROR(INDEX(BaseUnitCatalogTable[任务族名称],MATCH(E42,BaseUnitCatalogTable[基础单元名称],0)),""))</f>
        <v/>
      </c>
      <c r="G42" s="1053" t="inlineStr">
        <is>
          <t>新建</t>
        </is>
      </c>
      <c r="H42" s="1052" t="inlineStr">
        <is>
          <t>新增数量、金额、业务主键、抽样字段和失败补偿核对场景。</t>
        </is>
      </c>
      <c r="I42" s="1053" t="inlineStr">
        <is>
          <t>M</t>
        </is>
      </c>
      <c r="J42" s="1052" t="inlineStr"/>
      <c r="K42" s="1052" t="inlineStr"/>
      <c r="L42" s="1052"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52" t="inlineStr">
        <is>
          <t>监控核心交易与财务作业</t>
        </is>
      </c>
      <c r="D43" s="1052" t="inlineStr">
        <is>
          <t>调整既有统一监控平台的交易与财务看板</t>
        </is>
      </c>
      <c r="E43" s="1052" t="inlineStr">
        <is>
          <t>监控、追踪与审计</t>
        </is>
      </c>
      <c r="F43" s="945">
        <f>IF(E43="","",IFERROR(INDEX(BaseUnitCatalogTable[任务族名称],MATCH(E43,BaseUnitCatalogTable[基础单元名称],0)),""))</f>
        <v/>
      </c>
      <c r="G43" s="1053" t="inlineStr">
        <is>
          <t>调整</t>
        </is>
      </c>
      <c r="H43" s="1052" t="inlineStr">
        <is>
          <t>在既有统一监控平台新增订单成功率、退款失败、开票积压和对账延迟指标。</t>
        </is>
      </c>
      <c r="I43" s="1053" t="inlineStr">
        <is>
          <t>M</t>
        </is>
      </c>
      <c r="J43" s="1052" t="inlineStr"/>
      <c r="K43" s="1052" t="inlineStr">
        <is>
          <t>既有统一监控平台</t>
        </is>
      </c>
      <c r="L43" s="1052"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52" t="inlineStr">
        <is>
          <t>监控核心交易与财务作业</t>
        </is>
      </c>
      <c r="D44" s="1052" t="inlineStr">
        <is>
          <t>新建关键链路稳定性控制</t>
        </is>
      </c>
      <c r="E44" s="1052" t="inlineStr">
        <is>
          <t>性能与稳定性保障</t>
        </is>
      </c>
      <c r="F44" s="945">
        <f>IF(E44="","",IFERROR(INDEX(BaseUnitCatalogTable[任务族名称],MATCH(E44,BaseUnitCatalogTable[基础单元名称],0)),""))</f>
        <v/>
      </c>
      <c r="G44" s="1053" t="inlineStr">
        <is>
          <t>新建</t>
        </is>
      </c>
      <c r="H44" s="1052" t="inlineStr">
        <is>
          <t>新增 ERP、支付和发票调用的超时、限流、重试与熔断配置。</t>
        </is>
      </c>
      <c r="I44" s="1053" t="inlineStr">
        <is>
          <t>M</t>
        </is>
      </c>
      <c r="J44" s="1052" t="inlineStr"/>
      <c r="K44" s="1052" t="inlineStr"/>
      <c r="L44" s="1052"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52" t="inlineStr">
        <is>
          <t>完成运维交接与演练</t>
        </is>
      </c>
      <c r="D45" s="1052" t="inlineStr">
        <is>
          <t>调整既有统一监控平台的运维手册与交接</t>
        </is>
      </c>
      <c r="E45" s="1052" t="inlineStr">
        <is>
          <t>运维交接与操作手册</t>
        </is>
      </c>
      <c r="F45" s="945">
        <f>IF(E45="","",IFERROR(INDEX(BaseUnitCatalogTable[任务族名称],MATCH(E45,BaseUnitCatalogTable[基础单元名称],0)),""))</f>
        <v/>
      </c>
      <c r="G45" s="1053" t="inlineStr">
        <is>
          <t>调整</t>
        </is>
      </c>
      <c r="H45" s="1052" t="inlineStr">
        <is>
          <t>基于既有统一监控平台补齐指标说明、责任人、通知渠道、排障和升级流程。</t>
        </is>
      </c>
      <c r="I45" s="1053" t="inlineStr">
        <is>
          <t>M</t>
        </is>
      </c>
      <c r="J45" s="1052" t="inlineStr"/>
      <c r="K45" s="1052" t="inlineStr">
        <is>
          <t>既有统一监控平台</t>
        </is>
      </c>
      <c r="L45" s="1052"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52" t="inlineStr">
        <is>
          <t>培训门店、客服和财务用户</t>
        </is>
      </c>
      <c r="D46" s="1052" t="inlineStr">
        <is>
          <t>交付门店客服财务培训</t>
        </is>
      </c>
      <c r="E46" s="1052" t="inlineStr">
        <is>
          <t>用户培训与使用材料</t>
        </is>
      </c>
      <c r="F46" s="945">
        <f>IF(E46="","",IFERROR(INDEX(BaseUnitCatalogTable[任务族名称],MATCH(E46,BaseUnitCatalogTable[基础单元名称],0)),""))</f>
        <v/>
      </c>
      <c r="G46" s="1053" t="inlineStr">
        <is>
          <t>新建</t>
        </is>
      </c>
      <c r="H46" s="1052" t="inlineStr">
        <is>
          <t>新增门店、客服和财务三类角色材料，并组织两场培训和反馈收集。</t>
        </is>
      </c>
      <c r="I46" s="1053" t="inlineStr">
        <is>
          <t>M</t>
        </is>
      </c>
      <c r="J46" s="1052" t="inlineStr"/>
      <c r="K46" s="1052" t="inlineStr"/>
      <c r="L46" s="1052"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52" t="inlineStr">
        <is>
          <t>扩展自动化与性能验证</t>
        </is>
      </c>
      <c r="D47" s="1052" t="inlineStr">
        <is>
          <t>调整既有回归测试资产的自动化框架</t>
        </is>
      </c>
      <c r="E47" s="1052" t="inlineStr">
        <is>
          <t>自动化测试框架</t>
        </is>
      </c>
      <c r="F47" s="945">
        <f>IF(E47="","",IFERROR(INDEX(BaseUnitCatalogTable[任务族名称],MATCH(E47,BaseUnitCatalogTable[基础单元名称],0)),""))</f>
        <v/>
      </c>
      <c r="G47" s="1053" t="inlineStr">
        <is>
          <t>调整</t>
        </is>
      </c>
      <c r="H47" s="1052" t="inlineStr">
        <is>
          <t>扩展既有回归测试资产的认证、测试数据、异步回调和报告能力。</t>
        </is>
      </c>
      <c r="I47" s="1053" t="inlineStr">
        <is>
          <t>M</t>
        </is>
      </c>
      <c r="J47" s="1052" t="inlineStr"/>
      <c r="K47" s="1052" t="inlineStr">
        <is>
          <t>既有回归测试资产</t>
        </is>
      </c>
      <c r="L47" s="1052"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52" t="inlineStr">
        <is>
          <t>扩展自动化与性能验证</t>
        </is>
      </c>
      <c r="D48" s="1052" t="inlineStr">
        <is>
          <t>调整既有回归测试资产的核心自动化用例</t>
        </is>
      </c>
      <c r="E48" s="1052" t="inlineStr">
        <is>
          <t>自动化测试用例</t>
        </is>
      </c>
      <c r="F48" s="945">
        <f>IF(E48="","",IFERROR(INDEX(BaseUnitCatalogTable[任务族名称],MATCH(E48,BaseUnitCatalogTable[基础单元名称],0)),""))</f>
        <v/>
      </c>
      <c r="G48" s="1053" t="inlineStr">
        <is>
          <t>调整</t>
        </is>
      </c>
      <c r="H48" s="1052" t="inlineStr">
        <is>
          <t>在既有回归测试资产中增加订单状态、库存、退款、开票和对账自动化用例。</t>
        </is>
      </c>
      <c r="I48" s="1053" t="inlineStr">
        <is>
          <t>L</t>
        </is>
      </c>
      <c r="J48" s="1052" t="inlineStr">
        <is>
          <t>覆盖五条跨系统链路、异步结果、失败补偿和财务金额断言，数据组合较多。</t>
        </is>
      </c>
      <c r="K48" s="1052" t="inlineStr">
        <is>
          <t>既有回归测试资产</t>
        </is>
      </c>
      <c r="L48" s="1052"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52" t="inlineStr">
        <is>
          <t>执行兼容性与工程回归</t>
        </is>
      </c>
      <c r="D49" s="1052" t="inlineStr">
        <is>
          <t>调整既有回归测试资产的兼容矩阵</t>
        </is>
      </c>
      <c r="E49" s="1052" t="inlineStr">
        <is>
          <t>兼容性与无障碍测试</t>
        </is>
      </c>
      <c r="F49" s="945">
        <f>IF(E49="","",IFERROR(INDEX(BaseUnitCatalogTable[任务族名称],MATCH(E49,BaseUnitCatalogTable[基础单元名称],0)),""))</f>
        <v/>
      </c>
      <c r="G49" s="1053" t="inlineStr">
        <is>
          <t>调整</t>
        </is>
      </c>
      <c r="H49" s="1052" t="inlineStr">
        <is>
          <t>根据既有回归测试资产更新浏览器、门店设备和无障碍检查范围。</t>
        </is>
      </c>
      <c r="I49" s="1053" t="inlineStr">
        <is>
          <t>S</t>
        </is>
      </c>
      <c r="J49" s="1052" t="inlineStr">
        <is>
          <t>仅验证两类浏览器和一种门店设备，沿用现有脚本且无新增终端。</t>
        </is>
      </c>
      <c r="K49" s="1052" t="inlineStr">
        <is>
          <t>既有回归测试资产</t>
        </is>
      </c>
      <c r="L49" s="1052"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52" t="inlineStr">
        <is>
          <t>执行兼容性与工程回归</t>
        </is>
      </c>
      <c r="D50" s="1052" t="inlineStr">
        <is>
          <t>调整既有回归测试资产的工程回归范围</t>
        </is>
      </c>
      <c r="E50" s="1052" t="inlineStr">
        <is>
          <t>人工测试</t>
        </is>
      </c>
      <c r="F50" s="945">
        <f>IF(E50="","",IFERROR(INDEX(BaseUnitCatalogTable[任务族名称],MATCH(E50,BaseUnitCatalogTable[基础单元名称],0)),""))</f>
        <v/>
      </c>
      <c r="G50" s="1053" t="inlineStr">
        <is>
          <t>调整</t>
        </is>
      </c>
      <c r="H50" s="1052" t="inlineStr">
        <is>
          <t>基于既有回归测试资产补充配置、权限、作业恢复和日志审计检查。</t>
        </is>
      </c>
      <c r="I50" s="1053" t="inlineStr">
        <is>
          <t>S</t>
        </is>
      </c>
      <c r="J50" s="1052" t="inlineStr">
        <is>
          <t>四项工程检查均有现成步骤，只需补充新配置和日志断言。</t>
        </is>
      </c>
      <c r="K50" s="1052" t="inlineStr">
        <is>
          <t>既有回归测试资产</t>
        </is>
      </c>
      <c r="L50" s="1052"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1" scenarios="0" formatColumns="1" deleteColumns="1" insertColumns="1" pivotTables="1" deleteRows="1" formatCells="1" formatRows="1"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0" showErrorMessage="0" allowBlank="1" type="list">
      <formula1>INDIRECT("'90-系统现状'!$H$18:$H$1017")</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52" t="inlineStr">
        <is>
          <t>星云会员门户</t>
        </is>
      </c>
      <c r="F5" s="1052" t="inlineStr">
        <is>
          <t>会员主数据服务</t>
        </is>
      </c>
      <c r="G5" s="1052" t="inlineStr">
        <is>
          <t>收到客户档案查看请求</t>
        </is>
      </c>
      <c r="H5" s="1053" t="inlineStr">
        <is>
          <t>出站</t>
        </is>
      </c>
      <c r="I5" s="1052" t="inlineStr">
        <is>
          <t>检索统一会员号和授权范围内的客户档案</t>
        </is>
      </c>
      <c r="J5" s="1053"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52" t="inlineStr">
        <is>
          <t>订单服务</t>
        </is>
      </c>
      <c r="F6" s="1052" t="inlineStr">
        <is>
          <t>ERP</t>
        </is>
      </c>
      <c r="G6" s="1052" t="inlineStr">
        <is>
          <t>订单确认、取消或预占超时</t>
        </is>
      </c>
      <c r="H6" s="1053" t="inlineStr">
        <is>
          <t>出站</t>
        </is>
      </c>
      <c r="I6" s="1052" t="inlineStr">
        <is>
          <t>预占或释放门店与仓库库存</t>
        </is>
      </c>
      <c r="J6" s="1053"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52" t="inlineStr">
        <is>
          <t>订单服务</t>
        </is>
      </c>
      <c r="F7" s="1052" t="inlineStr">
        <is>
          <t>支付网关</t>
        </is>
      </c>
      <c r="G7" s="1052" t="inlineStr">
        <is>
          <t>退货审核通过</t>
        </is>
      </c>
      <c r="H7" s="1053" t="inlineStr">
        <is>
          <t>出站</t>
        </is>
      </c>
      <c r="I7" s="1052" t="inlineStr">
        <is>
          <t>发起退款并查询或接收退款结果</t>
        </is>
      </c>
      <c r="J7" s="1053"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52" t="inlineStr">
        <is>
          <t>订单服务</t>
        </is>
      </c>
      <c r="F8" s="1052" t="inlineStr">
        <is>
          <t>电子发票平台</t>
        </is>
      </c>
      <c r="G8" s="1052" t="inlineStr">
        <is>
          <t>顾客对已完成订单提交开票申请</t>
        </is>
      </c>
      <c r="H8" s="1053" t="inlineStr">
        <is>
          <t>出站</t>
        </is>
      </c>
      <c r="I8" s="1052" t="inlineStr">
        <is>
          <t>申请电子发票并查询开票状态</t>
        </is>
      </c>
      <c r="J8" s="1053"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52" t="inlineStr">
        <is>
          <t>会员主数据服务在联调期间可用</t>
        </is>
      </c>
      <c r="B5" s="1053" t="inlineStr">
        <is>
          <t>假设</t>
        </is>
      </c>
      <c r="C5" s="1052" t="inlineStr">
        <is>
          <t>客户档案内部集成测试开始</t>
        </is>
      </c>
      <c r="D5" s="1052" t="inlineStr">
        <is>
          <t>会员主数据团队提供稳定的 SIT 端点和测试账号</t>
        </is>
      </c>
      <c r="E5" s="1053" t="inlineStr">
        <is>
          <t>已明确</t>
        </is>
      </c>
      <c r="F5" s="1052" t="inlineStr">
        <is>
          <t>按已确认的联调窗口执行系统集成测试</t>
        </is>
      </c>
      <c r="G5" s="1049" t="n"/>
      <c r="H5" s="1049" t="n"/>
      <c r="I5" s="1049" t="n"/>
    </row>
    <row r="6" ht="38" customHeight="1" s="1025">
      <c r="A6" s="1052" t="inlineStr">
        <is>
          <t>生产告警通知渠道待确认</t>
        </is>
      </c>
      <c r="B6" s="1053" t="inlineStr">
        <is>
          <t>风险</t>
        </is>
      </c>
      <c r="C6" s="1052" t="inlineStr">
        <is>
          <t>生产准备评审前仍未登记最终通知渠道</t>
        </is>
      </c>
      <c r="D6" s="1052" t="inlineStr">
        <is>
          <t>运维团队确认邮件、工单或值班群以及接收人</t>
        </is>
      </c>
      <c r="E6" s="1053" t="inlineStr">
        <is>
          <t>待确认</t>
        </is>
      </c>
      <c r="F6" s="1052" t="inlineStr">
        <is>
          <t>上线前确认渠道并写入监控配置和运维手册</t>
        </is>
      </c>
      <c r="G6" s="1049" t="n"/>
      <c r="H6" s="1049" t="n"/>
      <c r="I6" s="1049" t="n"/>
    </row>
    <row r="7" ht="38" customHeight="1" s="1025">
      <c r="A7" s="1052" t="inlineStr">
        <is>
          <t>ERP SIT 环境按工作日窗口开放</t>
        </is>
      </c>
      <c r="B7" s="1053" t="inlineStr">
        <is>
          <t>假设</t>
        </is>
      </c>
      <c r="C7" s="1052" t="inlineStr">
        <is>
          <t>库存预占联调计划基线确认</t>
        </is>
      </c>
      <c r="D7" s="1052" t="inlineStr">
        <is>
          <t>ERP 团队保证工作日 09:00 至 18:00 可用并提前通知停机</t>
        </is>
      </c>
      <c r="E7" s="1053" t="inlineStr">
        <is>
          <t>已明确</t>
        </is>
      </c>
      <c r="F7" s="1052" t="inlineStr">
        <is>
          <t>联调和缺陷复测安排在已确认窗口内</t>
        </is>
      </c>
      <c r="G7" s="1049" t="n"/>
      <c r="H7" s="1049" t="n"/>
      <c r="I7" s="1049" t="n"/>
    </row>
    <row r="8" ht="38" customHeight="1" s="1025">
      <c r="A8" s="1052" t="inlineStr">
        <is>
          <t>支付网关退款认证可能延迟</t>
        </is>
      </c>
      <c r="B8" s="1053" t="inlineStr">
        <is>
          <t>风险</t>
        </is>
      </c>
      <c r="C8" s="1052" t="inlineStr">
        <is>
          <t>SIT 第 2 周开始时认证材料仍未通过</t>
        </is>
      </c>
      <c r="D8" s="1052" t="inlineStr">
        <is>
          <t>资金管理部提交企业材料，项目团队提供回调地址和测试证据</t>
        </is>
      </c>
      <c r="E8" s="1053" t="inlineStr">
        <is>
          <t>待确认</t>
        </is>
      </c>
      <c r="F8" s="1052" t="inlineStr">
        <is>
          <t>项目启动五个工作日内提交材料，延期时调整退款联调顺序</t>
        </is>
      </c>
      <c r="G8" s="1049" t="n"/>
      <c r="H8" s="1049" t="n"/>
      <c r="I8" s="1049" t="n"/>
    </row>
    <row r="9" ht="38" customHeight="1" s="1025">
      <c r="A9" s="1052" t="inlineStr">
        <is>
          <t>迁移冻结窗口为周六 00:00 至 04:00</t>
        </is>
      </c>
      <c r="B9" s="1053" t="inlineStr">
        <is>
          <t>假设</t>
        </is>
      </c>
      <c r="C9" s="1052" t="inlineStr">
        <is>
          <t>生产切换计划批准</t>
        </is>
      </c>
      <c r="D9" s="1052" t="inlineStr">
        <is>
          <t>业务负责人批准冻结，数据负责人提供最终增量范围</t>
        </is>
      </c>
      <c r="E9" s="1053" t="inlineStr">
        <is>
          <t>已明确</t>
        </is>
      </c>
      <c r="F9" s="1052" t="inlineStr">
        <is>
          <t>按四小时窗口编排增量迁移、校验和回滚检查点</t>
        </is>
      </c>
      <c r="G9" s="1049" t="n"/>
      <c r="H9" s="1049" t="n"/>
      <c r="I9" s="1049" t="n"/>
    </row>
    <row r="10" ht="38" customHeight="1" s="1025">
      <c r="A10" s="1052" t="inlineStr">
        <is>
          <t>电子发票生产证书与测试配额待确认</t>
        </is>
      </c>
      <c r="B10" s="1053" t="inlineStr">
        <is>
          <t>风险</t>
        </is>
      </c>
      <c r="C10" s="1052" t="inlineStr">
        <is>
          <t>生产准备评审时证书或每日 500 张测试配额未就绪</t>
        </is>
      </c>
      <c r="D10" s="1052" t="inlineStr">
        <is>
          <t>财务共享中心协调供应商下发证书并确认配额</t>
        </is>
      </c>
      <c r="E10" s="1053" t="inlineStr">
        <is>
          <t>待确认</t>
        </is>
      </c>
      <c r="F10" s="1052"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17"/>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14" customWidth="1" style="1025" min="2" max="2"/>
    <col width="28" customWidth="1" style="1025" min="3" max="3"/>
    <col width="18" customWidth="1" style="1025" min="4" max="4"/>
    <col width="44" customWidth="1" style="1025" min="5" max="5"/>
    <col width="34" customWidth="1" style="1025" min="6" max="6"/>
    <col width="34" customWidth="1" style="1025" min="7" max="7"/>
    <col hidden="1"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c r="E1" s="635" t="n"/>
      <c r="F1" s="635" t="n"/>
      <c r="G1" s="635" t="n"/>
      <c r="H1" s="635" t="n"/>
    </row>
    <row r="2" ht="36" customHeight="1" s="1025">
      <c r="A2" s="916" t="inlineStr">
        <is>
          <t>模式：存量改造 | 截止日期：2026-08-19 | 代码仓库：客户门户仓库@0123456789ab | 排除范围：上线后驻场支持、旧系统退役、ERP 库存核算改造、总账系统改造</t>
        </is>
      </c>
      <c r="B2" s="636" t="n"/>
      <c r="C2" s="636" t="n"/>
      <c r="D2" s="636" t="n"/>
      <c r="E2" s="636" t="n"/>
      <c r="F2" s="636" t="n"/>
      <c r="G2" s="636" t="n"/>
      <c r="H2" s="636" t="n"/>
    </row>
    <row r="3" ht="9" customHeight="1" s="1025">
      <c r="A3" s="918" t="n"/>
      <c r="B3" s="948" t="n"/>
      <c r="C3" s="918" t="n"/>
      <c r="D3" s="948" t="n"/>
      <c r="E3" s="948" t="n"/>
      <c r="F3" s="948" t="n"/>
      <c r="G3" s="948" t="n"/>
      <c r="H3" s="918" t="n"/>
    </row>
    <row r="4" ht="38" customHeight="1" s="1025">
      <c r="A4" s="949" t="inlineStr">
        <is>
          <t>主题名称</t>
        </is>
      </c>
      <c r="B4" s="949" t="inlineStr">
        <is>
          <t>评估状态</t>
        </is>
      </c>
      <c r="C4" s="949" t="inlineStr">
        <is>
          <t>结论</t>
        </is>
      </c>
      <c r="D4" s="949" t="inlineStr">
        <is>
          <t>当前事实数</t>
        </is>
      </c>
      <c r="E4" s="949" t="inlineStr">
        <is>
          <t>承诺数</t>
        </is>
      </c>
      <c r="F4" s="949" t="inlineStr">
        <is>
          <t>有效起点数</t>
        </is>
      </c>
      <c r="G4" s="949" t="inlineStr">
        <is>
          <t>未决数</t>
        </is>
      </c>
      <c r="H4" s="918" t="n"/>
    </row>
    <row r="5" ht="45" customHeight="1" s="1025">
      <c r="A5" s="1054" t="inlineStr">
        <is>
          <t>系统边界与参与方</t>
        </is>
      </c>
      <c r="B5" s="1055" t="inlineStr">
        <is>
          <t>已评估</t>
        </is>
      </c>
      <c r="C5" s="1056" t="inlineStr">
        <is>
          <t>会员门户、门店工作台和订单服务承载渠道交易，ERP、支付与发票平台保持系统责任边界。</t>
        </is>
      </c>
      <c r="D5" s="1057" t="n">
        <v>0</v>
      </c>
      <c r="E5" s="1057" t="n">
        <v>0</v>
      </c>
      <c r="F5" s="1057" t="n">
        <v>0</v>
      </c>
      <c r="G5" s="1057" t="n">
        <v>0</v>
      </c>
      <c r="H5" s="918" t="n"/>
    </row>
    <row r="6" ht="45" customHeight="1" s="1025">
      <c r="A6" s="1054" t="inlineStr">
        <is>
          <t>能力与流程</t>
        </is>
      </c>
      <c r="B6" s="1055" t="inlineStr">
        <is>
          <t>已评估</t>
        </is>
      </c>
      <c r="C6" s="1056" t="inlineStr">
        <is>
          <t>客户档案、订单服务和通知具备基础能力，会员等级、退货退款、对账与开票需要补齐。</t>
        </is>
      </c>
      <c r="D6" s="1057" t="n">
        <v>1</v>
      </c>
      <c r="E6" s="1057" t="n">
        <v>2</v>
      </c>
      <c r="F6" s="1057" t="n">
        <v>1</v>
      </c>
      <c r="G6" s="1057" t="n">
        <v>0</v>
      </c>
      <c r="H6" s="918" t="n"/>
    </row>
    <row r="7" ht="45" customHeight="1" s="1025">
      <c r="A7" s="1054" t="inlineStr">
        <is>
          <t>应用与组件</t>
        </is>
      </c>
      <c r="B7" s="1055" t="inlineStr">
        <is>
          <t>已评估</t>
        </is>
      </c>
      <c r="C7" s="1056" t="inlineStr">
        <is>
          <t>现有客户档案组件、订单服务和门店菜单入口可作为调整与续建起点。</t>
        </is>
      </c>
      <c r="D7" s="1057" t="n">
        <v>2</v>
      </c>
      <c r="E7" s="1057" t="n">
        <v>1</v>
      </c>
      <c r="F7" s="1057" t="n">
        <v>2</v>
      </c>
      <c r="G7" s="1057" t="n">
        <v>0</v>
      </c>
      <c r="H7" s="918" t="n"/>
    </row>
    <row r="8" ht="45" customHeight="1" s="1025">
      <c r="A8" s="1054" t="inlineStr">
        <is>
          <t>集成与外部依赖</t>
        </is>
      </c>
      <c r="B8" s="1055" t="inlineStr">
        <is>
          <t>已评估</t>
        </is>
      </c>
      <c r="C8" s="1056" t="inlineStr">
        <is>
          <t>ERP、支付网关和电子发票通道均已企业级接入，本项目承担租户内映射、适配和专项验证。</t>
        </is>
      </c>
      <c r="D8" s="1057" t="n">
        <v>3</v>
      </c>
      <c r="E8" s="1057" t="n">
        <v>0</v>
      </c>
      <c r="F8" s="1057" t="n">
        <v>3</v>
      </c>
      <c r="G8" s="1057" t="n">
        <v>3</v>
      </c>
      <c r="H8" s="918" t="n"/>
    </row>
    <row r="9" ht="45" customHeight="1" s="1025">
      <c r="A9" s="1054" t="inlineStr">
        <is>
          <t>数据与存储</t>
        </is>
      </c>
      <c r="B9" s="1055" t="inlineStr">
        <is>
          <t>已评估</t>
        </is>
      </c>
      <c r="C9" s="1056" t="inlineStr">
        <is>
          <t>会员主数据和订单库已有稳定结构，历史订单映射与对账指标需要新增。</t>
        </is>
      </c>
      <c r="D9" s="1057" t="n">
        <v>1</v>
      </c>
      <c r="E9" s="1057" t="n">
        <v>0</v>
      </c>
      <c r="F9" s="1057" t="n">
        <v>1</v>
      </c>
      <c r="G9" s="1057" t="n">
        <v>0</v>
      </c>
      <c r="H9" s="918" t="n"/>
    </row>
    <row r="10" ht="45" customHeight="1" s="1025">
      <c r="A10" s="1054" t="inlineStr">
        <is>
          <t>平台、环境与部署</t>
        </is>
      </c>
      <c r="B10" s="1055" t="inlineStr">
        <is>
          <t>已评估</t>
        </is>
      </c>
      <c r="C10" s="1056" t="inlineStr">
        <is>
          <t>保留 Kubernetes 生产环境与 CI/CD 流水线，新增应用配置和切换清单。</t>
        </is>
      </c>
      <c r="D10" s="1057" t="n">
        <v>1</v>
      </c>
      <c r="E10" s="1057" t="n">
        <v>0</v>
      </c>
      <c r="F10" s="1057" t="n">
        <v>1</v>
      </c>
      <c r="G10" s="1057" t="n">
        <v>0</v>
      </c>
      <c r="H10" s="918" t="n"/>
    </row>
    <row r="11" ht="45" customHeight="1" s="1025">
      <c r="A11" s="1054" t="inlineStr">
        <is>
          <t>安全与合规</t>
        </is>
      </c>
      <c r="B11" s="1055" t="inlineStr">
        <is>
          <t>已评估</t>
        </is>
      </c>
      <c r="C11" s="1056" t="inlineStr">
        <is>
          <t>统一身份控制与授权中心可复用，新增功能遵循最小权限和审计留痕要求。</t>
        </is>
      </c>
      <c r="D11" s="1057" t="n">
        <v>1</v>
      </c>
      <c r="E11" s="1057" t="n">
        <v>1</v>
      </c>
      <c r="F11" s="1057" t="n">
        <v>1</v>
      </c>
      <c r="G11" s="1057" t="n">
        <v>0</v>
      </c>
      <c r="H11" s="918" t="n"/>
    </row>
    <row r="12" ht="45" customHeight="1" s="1025">
      <c r="A12" s="1054" t="inlineStr">
        <is>
          <t>运维与质量</t>
        </is>
      </c>
      <c r="B12" s="1055" t="inlineStr">
        <is>
          <t>证据不足</t>
        </is>
      </c>
      <c r="C12" s="1056" t="inlineStr">
        <is>
          <t>统一监控和回归资产可复用，但生产告警最终通知渠道尚待上线前确认。</t>
        </is>
      </c>
      <c r="D12" s="1057" t="n">
        <v>2</v>
      </c>
      <c r="E12" s="1057" t="n">
        <v>0</v>
      </c>
      <c r="F12" s="1057" t="n">
        <v>2</v>
      </c>
      <c r="G12" s="1057" t="n">
        <v>1</v>
      </c>
      <c r="H12" s="918" t="n"/>
    </row>
    <row r="13" ht="45" customHeight="1" s="1025">
      <c r="A13" s="1054" t="inlineStr">
        <is>
          <t>交付与约束</t>
        </is>
      </c>
      <c r="B13" s="1055" t="inlineStr">
        <is>
          <t>已评估</t>
        </is>
      </c>
      <c r="C13" s="1056" t="inlineStr">
        <is>
          <t>数据迁移、生产切换、验证、交接和培训纳入本期；驻场支持与旧系统退役明确排除。</t>
        </is>
      </c>
      <c r="D13" s="1057" t="n">
        <v>0</v>
      </c>
      <c r="E13" s="1057" t="n">
        <v>0</v>
      </c>
      <c r="F13" s="1057" t="n">
        <v>0</v>
      </c>
      <c r="G13" s="1057" t="n">
        <v>0</v>
      </c>
      <c r="H13" s="918" t="n"/>
    </row>
    <row r="14" ht="44" customHeight="1" s="1025">
      <c r="H14" s="918" t="n"/>
    </row>
    <row r="15" s="1025">
      <c r="H15" s="918" t="n"/>
    </row>
    <row r="16" s="1025">
      <c r="H16" s="918" t="n"/>
    </row>
    <row r="17" ht="38" customHeight="1" s="1025">
      <c r="A17" s="936" t="inlineStr">
        <is>
          <t>主题名称</t>
        </is>
      </c>
      <c r="B17" s="936" t="inlineStr">
        <is>
          <t>记录类型</t>
        </is>
      </c>
      <c r="C17" s="936" t="inlineStr">
        <is>
          <t>记录名称</t>
        </is>
      </c>
      <c r="D17" s="936" t="inlineStr">
        <is>
          <t>分类/状态</t>
        </is>
      </c>
      <c r="E17" s="936" t="inlineStr">
        <is>
          <t>摘要/理由</t>
        </is>
      </c>
      <c r="F17" s="936" t="inlineStr">
        <is>
          <t>关系/流向</t>
        </is>
      </c>
      <c r="G17" s="936" t="inlineStr">
        <is>
          <t>关联对象</t>
        </is>
      </c>
      <c r="H17" s="821" t="inlineStr">
        <is>
          <t>有效起点名称（下拉辅助）</t>
        </is>
      </c>
    </row>
    <row r="18" ht="36" customHeight="1" s="1025">
      <c r="A18" s="944" t="inlineStr">
        <is>
          <t>应用与组件</t>
        </is>
      </c>
      <c r="B18" s="945" t="inlineStr">
        <is>
          <t>现状事实</t>
        </is>
      </c>
      <c r="C18" s="944" t="inlineStr">
        <is>
          <t>客户档案组件</t>
        </is>
      </c>
      <c r="D18" s="945" t="inlineStr">
        <is>
          <t>组件</t>
        </is>
      </c>
      <c r="E18" s="944" t="inlineStr">
        <is>
          <t>会员门户已有客户档案页面、字段校验和服务框架。</t>
        </is>
      </c>
      <c r="F18" s="944" t="inlineStr"/>
      <c r="G18" s="944" t="inlineStr">
        <is>
          <t>客户门户仓库</t>
        </is>
      </c>
      <c r="H18" s="918" t="inlineStr">
        <is>
          <t>可复用的客户档案框架</t>
        </is>
      </c>
    </row>
    <row r="19" ht="36" customHeight="1" s="1025">
      <c r="A19" s="944" t="inlineStr">
        <is>
          <t>数据与存储</t>
        </is>
      </c>
      <c r="B19" s="945" t="inlineStr">
        <is>
          <t>现状事实</t>
        </is>
      </c>
      <c r="C19" s="944" t="inlineStr">
        <is>
          <t>会员主数据模型</t>
        </is>
      </c>
      <c r="D19" s="945" t="inlineStr">
        <is>
          <t>数据资产</t>
        </is>
      </c>
      <c r="E19" s="944" t="inlineStr">
        <is>
          <t>会员主数据保存统一会员号、基础属性和当前等级，但没有等级历史表。</t>
        </is>
      </c>
      <c r="F19" s="944" t="inlineStr"/>
      <c r="G19" s="944" t="inlineStr">
        <is>
          <t>客户门户仓库</t>
        </is>
      </c>
      <c r="H19" s="970" t="inlineStr">
        <is>
          <t>既有会员主数据模型</t>
        </is>
      </c>
    </row>
    <row r="20" ht="36" customHeight="1" s="1025">
      <c r="A20" s="944" t="inlineStr">
        <is>
          <t>应用与组件</t>
        </is>
      </c>
      <c r="B20" s="945" t="inlineStr">
        <is>
          <t>现状事实</t>
        </is>
      </c>
      <c r="C20" s="944" t="inlineStr">
        <is>
          <t>订单服务与状态机</t>
        </is>
      </c>
      <c r="D20" s="945" t="inlineStr">
        <is>
          <t>组件</t>
        </is>
      </c>
      <c r="E20" s="944" t="inlineStr">
        <is>
          <t>订单服务支持线上订单基础状态流转，尚未覆盖门店订单和完整退货退款。</t>
        </is>
      </c>
      <c r="F20" s="944" t="inlineStr"/>
      <c r="G20" s="944" t="inlineStr">
        <is>
          <t>客户门户仓库</t>
        </is>
      </c>
      <c r="H20" s="970" t="inlineStr">
        <is>
          <t>既有订单服务与状态机</t>
        </is>
      </c>
    </row>
    <row r="21" ht="45" customHeight="1" s="1025">
      <c r="A21" s="944" t="inlineStr">
        <is>
          <t>集成与外部依赖</t>
        </is>
      </c>
      <c r="B21" s="945" t="inlineStr">
        <is>
          <t>现状事实</t>
        </is>
      </c>
      <c r="C21" s="944" t="inlineStr">
        <is>
          <t>ERP 库存接口</t>
        </is>
      </c>
      <c r="D21" s="945" t="inlineStr">
        <is>
          <t>集成</t>
        </is>
      </c>
      <c r="E21" s="944" t="inlineStr">
        <is>
          <t>企业服务总线已注册 ERP 库存查询和预占接口。</t>
        </is>
      </c>
      <c r="F21" s="944" t="inlineStr">
        <is>
          <t>订单服务 → ERP | 触发：订单确认或取消 | 方向：出站 | 目的：库存预占与释放 | 责任：企业应用团队</t>
        </is>
      </c>
      <c r="G21" s="944" t="inlineStr">
        <is>
          <t>客户门户仓库</t>
        </is>
      </c>
      <c r="H21" s="970" t="inlineStr">
        <is>
          <t>既有 ERP 库存接口</t>
        </is>
      </c>
    </row>
    <row r="22" ht="45" customHeight="1" s="1025">
      <c r="A22" s="944" t="inlineStr">
        <is>
          <t>集成与外部依赖</t>
        </is>
      </c>
      <c r="B22" s="945" t="inlineStr">
        <is>
          <t>现状事实</t>
        </is>
      </c>
      <c r="C22" s="944" t="inlineStr">
        <is>
          <t>支付网关租户</t>
        </is>
      </c>
      <c r="D22" s="945" t="inlineStr">
        <is>
          <t>集成</t>
        </is>
      </c>
      <c r="E22" s="944" t="inlineStr">
        <is>
          <t>企业支付网关已完成签约和生产租户开通。</t>
        </is>
      </c>
      <c r="F22" s="944" t="inlineStr">
        <is>
          <t>订单服务 → 支付网关 | 触发：退款申请 | 方向：出站 | 目的：发起退款并查询结果 | 责任：资金管理部</t>
        </is>
      </c>
      <c r="G22" s="944" t="inlineStr">
        <is>
          <t>客户门户仓库</t>
        </is>
      </c>
      <c r="H22" s="970" t="inlineStr">
        <is>
          <t>既有支付网关租户</t>
        </is>
      </c>
    </row>
    <row r="23" ht="60" customHeight="1" s="1025">
      <c r="A23" s="944" t="inlineStr">
        <is>
          <t>集成与外部依赖</t>
        </is>
      </c>
      <c r="B23" s="945" t="inlineStr">
        <is>
          <t>现状事实</t>
        </is>
      </c>
      <c r="C23" s="944" t="inlineStr">
        <is>
          <t>电子发票通道</t>
        </is>
      </c>
      <c r="D23" s="945" t="inlineStr">
        <is>
          <t>集成</t>
        </is>
      </c>
      <c r="E23" s="944" t="inlineStr">
        <is>
          <t>电子发票平台已签约并提供标准开票 API。</t>
        </is>
      </c>
      <c r="F23" s="944" t="inlineStr">
        <is>
          <t>订单服务 → 电子发票平台 | 触发：订单完成后提交开票申请 | 方向：出站 | 目的：申请电子发票并查询开票状态 | 责任：财务共享中心</t>
        </is>
      </c>
      <c r="G23" s="944" t="inlineStr">
        <is>
          <t>客户门户仓库</t>
        </is>
      </c>
      <c r="H23" s="970" t="inlineStr">
        <is>
          <t>既有电子发票通道</t>
        </is>
      </c>
    </row>
    <row r="24" ht="36" customHeight="1" s="1025">
      <c r="A24" s="944" t="inlineStr">
        <is>
          <t>平台、环境与部署</t>
        </is>
      </c>
      <c r="B24" s="945" t="inlineStr">
        <is>
          <t>现状事实</t>
        </is>
      </c>
      <c r="C24" s="944" t="inlineStr">
        <is>
          <t>生产环境与发布流水线</t>
        </is>
      </c>
      <c r="D24" s="945" t="inlineStr">
        <is>
          <t>基础设施</t>
        </is>
      </c>
      <c r="E24" s="944" t="inlineStr">
        <is>
          <t>现有 Kubernetes 集群、制品库和 CI/CD 流水线承载会员门户与订单服务。</t>
        </is>
      </c>
      <c r="F24" s="944" t="inlineStr"/>
      <c r="G24" s="944" t="inlineStr">
        <is>
          <t>客户门户仓库</t>
        </is>
      </c>
      <c r="H24" s="970" t="inlineStr">
        <is>
          <t>既有生产环境与发布流水线</t>
        </is>
      </c>
    </row>
    <row r="25" ht="36" customHeight="1" s="1025">
      <c r="A25" s="944" t="inlineStr">
        <is>
          <t>安全与合规</t>
        </is>
      </c>
      <c r="B25" s="945" t="inlineStr">
        <is>
          <t>现状事实</t>
        </is>
      </c>
      <c r="C25" s="944" t="inlineStr">
        <is>
          <t>身份权限与会员授权中心</t>
        </is>
      </c>
      <c r="D25" s="945" t="inlineStr">
        <is>
          <t>控制</t>
        </is>
      </c>
      <c r="E25" s="944" t="inlineStr">
        <is>
          <t>现有身份平台提供员工与门店角色控制，授权中心保存会员授权记录。</t>
        </is>
      </c>
      <c r="F25" s="944" t="inlineStr"/>
      <c r="G25" s="944" t="inlineStr">
        <is>
          <t>客户门户仓库</t>
        </is>
      </c>
      <c r="H25" s="970" t="inlineStr">
        <is>
          <t>既有会员授权中心</t>
        </is>
      </c>
    </row>
    <row r="26" ht="36" customHeight="1" s="1025">
      <c r="A26" s="944" t="inlineStr">
        <is>
          <t>能力与流程</t>
        </is>
      </c>
      <c r="B26" s="945" t="inlineStr">
        <is>
          <t>现状事实</t>
        </is>
      </c>
      <c r="C26" s="944" t="inlineStr">
        <is>
          <t>订单消息通知服务</t>
        </is>
      </c>
      <c r="D26" s="945" t="inlineStr">
        <is>
          <t>能力</t>
        </is>
      </c>
      <c r="E26" s="944" t="inlineStr">
        <is>
          <t>消息中心已消费标准订单事件并通过短信、App Push 发送通知。</t>
        </is>
      </c>
      <c r="F26" s="944" t="inlineStr"/>
      <c r="G26" s="944" t="inlineStr">
        <is>
          <t>客户门户仓库</t>
        </is>
      </c>
      <c r="H26" s="918" t="inlineStr">
        <is>
          <t>既有订单消息通知服务</t>
        </is>
      </c>
    </row>
    <row r="27" ht="36" customHeight="1" s="1025">
      <c r="A27" s="944" t="inlineStr">
        <is>
          <t>运维与质量</t>
        </is>
      </c>
      <c r="B27" s="945" t="inlineStr">
        <is>
          <t>现状事实</t>
        </is>
      </c>
      <c r="C27" s="944" t="inlineStr">
        <is>
          <t>统一监控平台</t>
        </is>
      </c>
      <c r="D27" s="945" t="inlineStr">
        <is>
          <t>基础设施</t>
        </is>
      </c>
      <c r="E27" s="944" t="inlineStr">
        <is>
          <t>平台已采集应用日志、指标与链路，但缺少新订单指标和财务批处理告警。</t>
        </is>
      </c>
      <c r="F27" s="944" t="inlineStr"/>
      <c r="G27" s="944" t="inlineStr">
        <is>
          <t>客户门户仓库</t>
        </is>
      </c>
      <c r="H27" s="918" t="inlineStr">
        <is>
          <t>既有统一监控平台</t>
        </is>
      </c>
    </row>
    <row r="28" ht="36" customHeight="1" s="1025">
      <c r="A28" s="944" t="inlineStr">
        <is>
          <t>运维与质量</t>
        </is>
      </c>
      <c r="B28" s="945" t="inlineStr">
        <is>
          <t>现状事实</t>
        </is>
      </c>
      <c r="C28" s="944" t="inlineStr">
        <is>
          <t>回归测试资产</t>
        </is>
      </c>
      <c r="D28" s="945" t="inlineStr">
        <is>
          <t>流程</t>
        </is>
      </c>
      <c r="E28" s="944" t="inlineStr">
        <is>
          <t>一期已有 API 自动化框架、订单基础用例和兼容矩阵。</t>
        </is>
      </c>
      <c r="F28" s="944" t="inlineStr"/>
      <c r="G28" s="944" t="inlineStr">
        <is>
          <t>客户门户仓库</t>
        </is>
      </c>
      <c r="H28" s="918" t="inlineStr">
        <is>
          <t>既有回归测试资产</t>
        </is>
      </c>
    </row>
    <row r="29" ht="36" customHeight="1" s="1025">
      <c r="A29" s="944" t="inlineStr">
        <is>
          <t>能力与流程</t>
        </is>
      </c>
      <c r="B29" s="945" t="inlineStr">
        <is>
          <t>既有承诺</t>
        </is>
      </c>
      <c r="C29" s="944" t="inlineStr">
        <is>
          <t>客户档案扩展字段</t>
        </is>
      </c>
      <c r="D29" s="945" t="inlineStr">
        <is>
          <t>未实现 / 延续交付</t>
        </is>
      </c>
      <c r="E29" s="944" t="inlineStr">
        <is>
          <t>延续一期未实现的职业、地区和偏好字段。</t>
        </is>
      </c>
      <c r="F29" s="944" t="inlineStr">
        <is>
          <t>新增</t>
        </is>
      </c>
      <c r="G29" s="944" t="inlineStr">
        <is>
          <t>一期交付承诺、创建并查看客户档案</t>
        </is>
      </c>
      <c r="H29" s="918" t="n"/>
    </row>
    <row r="30" ht="36" customHeight="1" s="1025">
      <c r="A30" s="944" t="inlineStr">
        <is>
          <t>能力与流程</t>
        </is>
      </c>
      <c r="B30" s="945" t="inlineStr">
        <is>
          <t>既有承诺</t>
        </is>
      </c>
      <c r="C30" s="944" t="inlineStr">
        <is>
          <t>门店接单流程</t>
        </is>
      </c>
      <c r="D30" s="945" t="inlineStr">
        <is>
          <t>未实现 / 延续交付</t>
        </is>
      </c>
      <c r="E30" s="944" t="inlineStr">
        <is>
          <t>一期仅保留菜单入口和权限点，完整接单流程顺延本期。</t>
        </is>
      </c>
      <c r="F30" s="944" t="inlineStr">
        <is>
          <t>新增</t>
        </is>
      </c>
      <c r="G30" s="944" t="inlineStr">
        <is>
          <t>一期交付承诺、门店接单工作台</t>
        </is>
      </c>
      <c r="H30" s="918" t="n"/>
    </row>
    <row r="31" ht="36" customHeight="1" s="1025">
      <c r="A31" s="944" t="inlineStr">
        <is>
          <t>安全与合规</t>
        </is>
      </c>
      <c r="B31" s="945" t="inlineStr">
        <is>
          <t>既有承诺</t>
        </is>
      </c>
      <c r="C31" s="944" t="inlineStr">
        <is>
          <t>会员授权中心沿用</t>
        </is>
      </c>
      <c r="D31" s="945" t="inlineStr">
        <is>
          <t>已实现 / 当前基线</t>
        </is>
      </c>
      <c r="E31" s="944" t="inlineStr">
        <is>
          <t>授权主数据和撤回日志继续由现有授权中心负责。</t>
        </is>
      </c>
      <c r="F31" s="944" t="inlineStr">
        <is>
          <t>新增</t>
        </is>
      </c>
      <c r="G31" s="944" t="inlineStr">
        <is>
          <t>一期交付承诺、身份权限与会员授权中心、会员授权与撤回复用</t>
        </is>
      </c>
      <c r="H31" s="918" t="n"/>
    </row>
    <row r="32" ht="36" customHeight="1" s="1025">
      <c r="A32" s="944" t="inlineStr">
        <is>
          <t>应用与组件</t>
        </is>
      </c>
      <c r="B32" s="945" t="inlineStr">
        <is>
          <t>既有承诺</t>
        </is>
      </c>
      <c r="C32" s="944" t="inlineStr">
        <is>
          <t>订单状态审计字段</t>
        </is>
      </c>
      <c r="D32" s="945" t="inlineStr">
        <is>
          <t>已实现 / 当前基线</t>
        </is>
      </c>
      <c r="E32" s="944" t="inlineStr">
        <is>
          <t>一期已实现订单状态、更新时间和操作来源记录。</t>
        </is>
      </c>
      <c r="F32" s="944" t="inlineStr">
        <is>
          <t>新增</t>
        </is>
      </c>
      <c r="G32" s="944" t="inlineStr">
        <is>
          <t>一期交付承诺、订单服务与状态机、统一订单编排与状态机</t>
        </is>
      </c>
      <c r="H32" s="918" t="n"/>
    </row>
    <row r="33" ht="36" customHeight="1" s="1025">
      <c r="A33" s="944" t="inlineStr">
        <is>
          <t>应用与组件</t>
        </is>
      </c>
      <c r="B33" s="945" t="inlineStr">
        <is>
          <t>有效起点</t>
        </is>
      </c>
      <c r="C33" s="944" t="inlineStr">
        <is>
          <t>可复用的客户档案框架</t>
        </is>
      </c>
      <c r="D33" s="945" t="inlineStr">
        <is>
          <t>组件</t>
        </is>
      </c>
      <c r="E33" s="944" t="inlineStr">
        <is>
          <t>从现有客户档案页面、字段校验和服务框架开始。</t>
        </is>
      </c>
      <c r="F33" s="944" t="inlineStr"/>
      <c r="G33" s="944" t="inlineStr">
        <is>
          <t>客户档案组件</t>
        </is>
      </c>
      <c r="H33" s="918" t="n"/>
    </row>
    <row r="34" ht="36" customHeight="1" s="1025">
      <c r="A34" s="944" t="inlineStr">
        <is>
          <t>数据与存储</t>
        </is>
      </c>
      <c r="B34" s="945" t="inlineStr">
        <is>
          <t>有效起点</t>
        </is>
      </c>
      <c r="C34" s="944" t="inlineStr">
        <is>
          <t>既有会员主数据模型</t>
        </is>
      </c>
      <c r="D34" s="945" t="inlineStr">
        <is>
          <t>数据资产</t>
        </is>
      </c>
      <c r="E34" s="944" t="inlineStr">
        <is>
          <t>复用统一会员号与基础属性表，新增等级历史和规则版本。</t>
        </is>
      </c>
      <c r="F34" s="944" t="inlineStr"/>
      <c r="G34" s="944" t="inlineStr">
        <is>
          <t>会员主数据模型</t>
        </is>
      </c>
      <c r="H34" s="918" t="n"/>
    </row>
    <row r="35" ht="36" customHeight="1" s="1025">
      <c r="A35" s="944" t="inlineStr">
        <is>
          <t>应用与组件</t>
        </is>
      </c>
      <c r="B35" s="945" t="inlineStr">
        <is>
          <t>有效起点</t>
        </is>
      </c>
      <c r="C35" s="944" t="inlineStr">
        <is>
          <t>既有订单服务与状态机</t>
        </is>
      </c>
      <c r="D35" s="945" t="inlineStr">
        <is>
          <t>组件</t>
        </is>
      </c>
      <c r="E35" s="944" t="inlineStr">
        <is>
          <t>调整线上订单服务，扩展门店、退货退款和财务状态。</t>
        </is>
      </c>
      <c r="F35" s="944" t="inlineStr"/>
      <c r="G35" s="944" t="inlineStr">
        <is>
          <t>订单服务与状态机</t>
        </is>
      </c>
      <c r="H35" s="918" t="n"/>
    </row>
    <row r="36" ht="36" customHeight="1" s="1025">
      <c r="A36" s="944" t="inlineStr">
        <is>
          <t>集成与外部依赖</t>
        </is>
      </c>
      <c r="B36" s="945" t="inlineStr">
        <is>
          <t>有效起点</t>
        </is>
      </c>
      <c r="C36" s="944" t="inlineStr">
        <is>
          <t>既有 ERP 库存接口</t>
        </is>
      </c>
      <c r="D36" s="945" t="inlineStr">
        <is>
          <t>集成</t>
        </is>
      </c>
      <c r="E36" s="944" t="inlineStr">
        <is>
          <t>接口契约保持不变，本项目完成认证、映射、适配和专项验证。</t>
        </is>
      </c>
      <c r="F36" s="944" t="inlineStr"/>
      <c r="G36" s="944" t="inlineStr">
        <is>
          <t>ERP 库存接口</t>
        </is>
      </c>
      <c r="H36" s="918" t="n"/>
    </row>
    <row r="37" ht="36" customHeight="1" s="1025">
      <c r="A37" s="944" t="inlineStr">
        <is>
          <t>集成与外部依赖</t>
        </is>
      </c>
      <c r="B37" s="945" t="inlineStr">
        <is>
          <t>有效起点</t>
        </is>
      </c>
      <c r="C37" s="944" t="inlineStr">
        <is>
          <t>既有支付网关租户</t>
        </is>
      </c>
      <c r="D37" s="945" t="inlineStr">
        <is>
          <t>集成</t>
        </is>
      </c>
      <c r="E37" s="944" t="inlineStr">
        <is>
          <t>支付网关平台保持不变，本项目完成配置、认证、映射和专项验证。</t>
        </is>
      </c>
      <c r="F37" s="944" t="inlineStr"/>
      <c r="G37" s="944" t="inlineStr">
        <is>
          <t>支付网关租户</t>
        </is>
      </c>
      <c r="H37" s="918" t="n"/>
    </row>
    <row r="38" ht="36" customHeight="1" s="1025">
      <c r="A38" s="944" t="inlineStr">
        <is>
          <t>集成与外部依赖</t>
        </is>
      </c>
      <c r="B38" s="945" t="inlineStr">
        <is>
          <t>有效起点</t>
        </is>
      </c>
      <c r="C38" s="944" t="inlineStr">
        <is>
          <t>既有电子发票通道</t>
        </is>
      </c>
      <c r="D38" s="945" t="inlineStr">
        <is>
          <t>集成</t>
        </is>
      </c>
      <c r="E38" s="944" t="inlineStr">
        <is>
          <t>电子发票平台保持不变，本项目完成租户设置、认证、映射和适配。</t>
        </is>
      </c>
      <c r="F38" s="944" t="inlineStr"/>
      <c r="G38" s="944" t="inlineStr">
        <is>
          <t>电子发票通道</t>
        </is>
      </c>
      <c r="H38" s="918" t="n"/>
    </row>
    <row r="39" ht="36" customHeight="1" s="1025">
      <c r="A39" s="944" t="inlineStr">
        <is>
          <t>平台、环境与部署</t>
        </is>
      </c>
      <c r="B39" s="945" t="inlineStr">
        <is>
          <t>有效起点</t>
        </is>
      </c>
      <c r="C39" s="944" t="inlineStr">
        <is>
          <t>既有生产环境与发布流水线</t>
        </is>
      </c>
      <c r="D39" s="945" t="inlineStr">
        <is>
          <t>基础设施</t>
        </is>
      </c>
      <c r="E39" s="944" t="inlineStr">
        <is>
          <t>在现有集群与流水线中增加应用配置、发布步骤、切换和回滚清单。</t>
        </is>
      </c>
      <c r="F39" s="944" t="inlineStr"/>
      <c r="G39" s="944" t="inlineStr">
        <is>
          <t>生产环境与发布流水线</t>
        </is>
      </c>
      <c r="H39" s="918" t="n"/>
    </row>
    <row r="40" ht="36" customHeight="1" s="1025">
      <c r="A40" s="944" t="inlineStr">
        <is>
          <t>安全与合规</t>
        </is>
      </c>
      <c r="B40" s="945" t="inlineStr">
        <is>
          <t>有效起点</t>
        </is>
      </c>
      <c r="C40" s="944" t="inlineStr">
        <is>
          <t>既有会员授权中心</t>
        </is>
      </c>
      <c r="D40" s="945" t="inlineStr">
        <is>
          <t>控制</t>
        </is>
      </c>
      <c r="E40" s="944" t="inlineStr">
        <is>
          <t>现有授权、撤回、查询与审计能力已完整覆盖本期目标。</t>
        </is>
      </c>
      <c r="F40" s="944" t="inlineStr"/>
      <c r="G40" s="944" t="inlineStr">
        <is>
          <t>身份权限与会员授权中心</t>
        </is>
      </c>
      <c r="H40" s="918" t="n"/>
    </row>
    <row r="41" ht="36" customHeight="1" s="1025">
      <c r="A41" s="944" t="inlineStr">
        <is>
          <t>能力与流程</t>
        </is>
      </c>
      <c r="B41" s="945" t="inlineStr">
        <is>
          <t>有效起点</t>
        </is>
      </c>
      <c r="C41" s="944" t="inlineStr">
        <is>
          <t>既有订单消息通知服务</t>
        </is>
      </c>
      <c r="D41" s="945" t="inlineStr">
        <is>
          <t>能力</t>
        </is>
      </c>
      <c r="E41" s="944" t="inlineStr">
        <is>
          <t>标准订单事件和现有通知通道已完整覆盖本期通知目标。</t>
        </is>
      </c>
      <c r="F41" s="944" t="inlineStr"/>
      <c r="G41" s="944" t="inlineStr">
        <is>
          <t>订单消息通知服务</t>
        </is>
      </c>
      <c r="H41" s="918" t="n"/>
    </row>
    <row r="42" ht="36" customHeight="1" s="1025">
      <c r="A42" s="944" t="inlineStr">
        <is>
          <t>运维与质量</t>
        </is>
      </c>
      <c r="B42" s="945" t="inlineStr">
        <is>
          <t>有效起点</t>
        </is>
      </c>
      <c r="C42" s="944" t="inlineStr">
        <is>
          <t>既有统一监控平台</t>
        </is>
      </c>
      <c r="D42" s="945" t="inlineStr">
        <is>
          <t>基础设施</t>
        </is>
      </c>
      <c r="E42" s="944" t="inlineStr">
        <is>
          <t>复用日志、指标和链路平台，新增订单与财务作业监控。</t>
        </is>
      </c>
      <c r="F42" s="944" t="inlineStr"/>
      <c r="G42" s="944" t="inlineStr">
        <is>
          <t>统一监控平台</t>
        </is>
      </c>
      <c r="H42" s="918" t="n"/>
    </row>
    <row r="43" ht="36" customHeight="1" s="1025">
      <c r="A43" s="944" t="inlineStr">
        <is>
          <t>运维与质量</t>
        </is>
      </c>
      <c r="B43" s="945" t="inlineStr">
        <is>
          <t>有效起点</t>
        </is>
      </c>
      <c r="C43" s="944" t="inlineStr">
        <is>
          <t>既有回归测试资产</t>
        </is>
      </c>
      <c r="D43" s="945" t="inlineStr">
        <is>
          <t>流程</t>
        </is>
      </c>
      <c r="E43" s="944" t="inlineStr">
        <is>
          <t>调整既有测试框架、测试用例、测试脚本、兼容矩阵与负载模型。</t>
        </is>
      </c>
      <c r="F43" s="944" t="inlineStr"/>
      <c r="G43" s="944" t="inlineStr">
        <is>
          <t>回归测试资产</t>
        </is>
      </c>
      <c r="H43" s="918" t="n"/>
    </row>
    <row r="44" ht="36" customHeight="1" s="1025">
      <c r="A44" s="944" t="inlineStr">
        <is>
          <t>子需求覆盖</t>
        </is>
      </c>
      <c r="B44" s="945" t="inlineStr">
        <is>
          <t>子需求覆盖</t>
        </is>
      </c>
      <c r="C44" s="944" t="inlineStr">
        <is>
          <t>创建并查看客户档案</t>
        </is>
      </c>
      <c r="D44" s="945" t="inlineStr">
        <is>
          <t>部分</t>
        </is>
      </c>
      <c r="E44" s="944" t="inlineStr">
        <is>
          <t>复用档案框架并补齐一期顺延字段、授权展示和审计要求。</t>
        </is>
      </c>
      <c r="F44" s="944" t="inlineStr"/>
      <c r="G44" s="944" t="inlineStr">
        <is>
          <t>可复用的客户档案框架、客户档案扩展字段、生产告警接收渠道待确认</t>
        </is>
      </c>
      <c r="H44" s="918" t="n"/>
    </row>
    <row r="45" ht="36" customHeight="1" s="1025">
      <c r="A45" s="944" t="inlineStr">
        <is>
          <t>子需求覆盖</t>
        </is>
      </c>
      <c r="B45" s="945" t="inlineStr">
        <is>
          <t>子需求覆盖</t>
        </is>
      </c>
      <c r="C45" s="944" t="inlineStr">
        <is>
          <t>会员等级计算与版本</t>
        </is>
      </c>
      <c r="D45" s="945" t="inlineStr">
        <is>
          <t>部分</t>
        </is>
      </c>
      <c r="E45" s="944" t="inlineStr">
        <is>
          <t>会员主数据可复用，但等级规则版本和历史记录缺失。</t>
        </is>
      </c>
      <c r="F45" s="944" t="inlineStr"/>
      <c r="G45" s="944" t="inlineStr">
        <is>
          <t>既有会员主数据模型</t>
        </is>
      </c>
      <c r="H45" s="918" t="n"/>
    </row>
    <row r="46" ht="36" customHeight="1" s="1025">
      <c r="A46" s="944" t="inlineStr">
        <is>
          <t>子需求覆盖</t>
        </is>
      </c>
      <c r="B46" s="945" t="inlineStr">
        <is>
          <t>子需求覆盖</t>
        </is>
      </c>
      <c r="C46" s="944" t="inlineStr">
        <is>
          <t>会员授权与撤回复用</t>
        </is>
      </c>
      <c r="D46" s="945" t="inlineStr">
        <is>
          <t>完整</t>
        </is>
      </c>
      <c r="E46" s="944" t="inlineStr">
        <is>
          <t>现有授权中心已完整提供授权、撤回、查询和审计能力。</t>
        </is>
      </c>
      <c r="F46" s="944" t="inlineStr"/>
      <c r="G46" s="944" t="inlineStr">
        <is>
          <t>既有会员授权中心、会员授权中心沿用</t>
        </is>
      </c>
      <c r="H46" s="918" t="n"/>
    </row>
    <row r="47" ht="36" customHeight="1" s="1025">
      <c r="A47" s="944" t="inlineStr">
        <is>
          <t>子需求覆盖</t>
        </is>
      </c>
      <c r="B47" s="945" t="inlineStr">
        <is>
          <t>子需求覆盖</t>
        </is>
      </c>
      <c r="C47" s="944" t="inlineStr">
        <is>
          <t>统一订单编排与状态机</t>
        </is>
      </c>
      <c r="D47" s="945" t="inlineStr">
        <is>
          <t>部分</t>
        </is>
      </c>
      <c r="E47" s="944" t="inlineStr">
        <is>
          <t>沿用订单状态审计字段，扩展门店渠道和新状态流转。</t>
        </is>
      </c>
      <c r="F47" s="944" t="inlineStr"/>
      <c r="G47" s="944" t="inlineStr">
        <is>
          <t>既有订单服务与状态机、订单状态审计字段</t>
        </is>
      </c>
      <c r="H47" s="918" t="n"/>
    </row>
    <row r="48" ht="36" customHeight="1" s="1025">
      <c r="A48" s="944" t="inlineStr">
        <is>
          <t>子需求覆盖</t>
        </is>
      </c>
      <c r="B48" s="945" t="inlineStr">
        <is>
          <t>子需求覆盖</t>
        </is>
      </c>
      <c r="C48" s="944" t="inlineStr">
        <is>
          <t>库存预占与释放</t>
        </is>
      </c>
      <c r="D48" s="945" t="inlineStr">
        <is>
          <t>部分</t>
        </is>
      </c>
      <c r="E48" s="944" t="inlineStr">
        <is>
          <t>接口已注册，仍需完成项目侧认证、映射、幂等和联调。</t>
        </is>
      </c>
      <c r="F48" s="944" t="inlineStr"/>
      <c r="G48" s="944" t="inlineStr">
        <is>
          <t>既有 ERP 库存接口、ERP SIT 可用时间窗待确认</t>
        </is>
      </c>
      <c r="H48" s="918" t="n"/>
    </row>
    <row r="49" ht="36" customHeight="1" s="1025">
      <c r="A49" s="944" t="inlineStr">
        <is>
          <t>子需求覆盖</t>
        </is>
      </c>
      <c r="B49" s="945" t="inlineStr">
        <is>
          <t>子需求覆盖</t>
        </is>
      </c>
      <c r="C49" s="944" t="inlineStr">
        <is>
          <t>退货退款闭环</t>
        </is>
      </c>
      <c r="D49" s="945" t="inlineStr">
        <is>
          <t>部分</t>
        </is>
      </c>
      <c r="E49" s="944" t="inlineStr">
        <is>
          <t>复用订单服务和支付网关，新增退货审核、退款映射和结果回写。</t>
        </is>
      </c>
      <c r="F49" s="944" t="inlineStr"/>
      <c r="G49" s="944" t="inlineStr">
        <is>
          <t>既有订单服务与状态机、既有支付网关租户、支付退款认证时间待确认</t>
        </is>
      </c>
      <c r="H49" s="918" t="n"/>
    </row>
    <row r="50" ht="36" customHeight="1" s="1025">
      <c r="A50" s="944" t="inlineStr">
        <is>
          <t>子需求覆盖</t>
        </is>
      </c>
      <c r="B50" s="945" t="inlineStr">
        <is>
          <t>子需求覆盖</t>
        </is>
      </c>
      <c r="C50" s="944" t="inlineStr">
        <is>
          <t>门店接单工作台</t>
        </is>
      </c>
      <c r="D50" s="945" t="inlineStr">
        <is>
          <t>部分</t>
        </is>
      </c>
      <c r="E50" s="944" t="inlineStr">
        <is>
          <t>已有菜单入口和订单服务，完整门店接单流程按一期承诺续建。</t>
        </is>
      </c>
      <c r="F50" s="944" t="inlineStr"/>
      <c r="G50" s="944" t="inlineStr">
        <is>
          <t>既有订单服务与状态机、门店接单流程</t>
        </is>
      </c>
      <c r="H50" s="918" t="n"/>
    </row>
    <row r="51" ht="36" customHeight="1" s="1025">
      <c r="A51" s="944" t="inlineStr">
        <is>
          <t>子需求覆盖</t>
        </is>
      </c>
      <c r="B51" s="945" t="inlineStr">
        <is>
          <t>子需求覆盖</t>
        </is>
      </c>
      <c r="C51" s="944" t="inlineStr">
        <is>
          <t>订单状态与履约轨迹</t>
        </is>
      </c>
      <c r="D51" s="945" t="inlineStr">
        <is>
          <t>部分</t>
        </is>
      </c>
      <c r="E51" s="944" t="inlineStr">
        <is>
          <t>订单状态可复用，仍需补齐履约轨迹与异常原因展示。</t>
        </is>
      </c>
      <c r="F51" s="944" t="inlineStr"/>
      <c r="G51" s="944" t="inlineStr">
        <is>
          <t>既有订单服务与状态机</t>
        </is>
      </c>
      <c r="H51" s="918" t="n"/>
    </row>
    <row r="52" ht="36" customHeight="1" s="1025">
      <c r="A52" s="944" t="inlineStr">
        <is>
          <t>子需求覆盖</t>
        </is>
      </c>
      <c r="B52" s="945" t="inlineStr">
        <is>
          <t>子需求覆盖</t>
        </is>
      </c>
      <c r="C52" s="944" t="inlineStr">
        <is>
          <t>订单节点通知复用</t>
        </is>
      </c>
      <c r="D52" s="945" t="inlineStr">
        <is>
          <t>完整</t>
        </is>
      </c>
      <c r="E52" s="944" t="inlineStr">
        <is>
          <t>标准订单事件和现有消息通道已完整满足本期节点通知需求。</t>
        </is>
      </c>
      <c r="F52" s="944" t="inlineStr"/>
      <c r="G52" s="944" t="inlineStr">
        <is>
          <t>既有订单消息通知服务</t>
        </is>
      </c>
      <c r="H52" s="918" t="n"/>
    </row>
    <row r="53" ht="36" customHeight="1" s="1025">
      <c r="A53" s="944" t="inlineStr">
        <is>
          <t>子需求覆盖</t>
        </is>
      </c>
      <c r="B53" s="945" t="inlineStr">
        <is>
          <t>子需求覆盖</t>
        </is>
      </c>
      <c r="C53" s="944" t="inlineStr">
        <is>
          <t>支付退款日结对账</t>
        </is>
      </c>
      <c r="D53" s="945" t="inlineStr">
        <is>
          <t>部分</t>
        </is>
      </c>
      <c r="E53" s="944" t="inlineStr">
        <is>
          <t>支付交易可查询，仍需新增日结作业、差异规则和财务视图。</t>
        </is>
      </c>
      <c r="F53" s="944" t="inlineStr"/>
      <c r="G53" s="944" t="inlineStr">
        <is>
          <t>既有支付网关租户、支付退款认证时间待确认</t>
        </is>
      </c>
      <c r="H53" s="918" t="n"/>
    </row>
    <row r="54" ht="36" customHeight="1" s="1025">
      <c r="A54" s="944" t="inlineStr">
        <is>
          <t>子需求覆盖</t>
        </is>
      </c>
      <c r="B54" s="945" t="inlineStr">
        <is>
          <t>子需求覆盖</t>
        </is>
      </c>
      <c r="C54" s="944" t="inlineStr">
        <is>
          <t>电子发票申请与状态</t>
        </is>
      </c>
      <c r="D54" s="945" t="inlineStr">
        <is>
          <t>部分</t>
        </is>
      </c>
      <c r="E54" s="944" t="inlineStr">
        <is>
          <t>发票通道已开通，仍需完成租户配置、字段映射、幂等与状态回写。</t>
        </is>
      </c>
      <c r="F54" s="944" t="inlineStr"/>
      <c r="G54" s="944" t="inlineStr">
        <is>
          <t>既有电子发票通道、电子发票测试配额待确认</t>
        </is>
      </c>
      <c r="H54" s="918" t="n"/>
    </row>
    <row r="55" ht="36" customHeight="1" s="1025">
      <c r="A55" s="944" t="inlineStr">
        <is>
          <t>子需求覆盖</t>
        </is>
      </c>
      <c r="B55" s="945" t="inlineStr">
        <is>
          <t>子需求覆盖</t>
        </is>
      </c>
      <c r="C55" s="944" t="inlineStr">
        <is>
          <t>财务经营报表</t>
        </is>
      </c>
      <c r="D55" s="945" t="inlineStr">
        <is>
          <t>部分</t>
        </is>
      </c>
      <c r="E55" s="944" t="inlineStr">
        <is>
          <t>订单交易明细可复用，但缺少统一财务指标模型和经营报表。</t>
        </is>
      </c>
      <c r="F55" s="944" t="inlineStr"/>
      <c r="G55" s="944" t="inlineStr">
        <is>
          <t>既有订单服务与状态机</t>
        </is>
      </c>
      <c r="H55" s="918" t="n"/>
    </row>
    <row r="56" ht="36" customHeight="1" s="1025">
      <c r="A56" s="944" t="inlineStr">
        <is>
          <t>运维与质量</t>
        </is>
      </c>
      <c r="B56" s="945" t="inlineStr">
        <is>
          <t>未决事项</t>
        </is>
      </c>
      <c r="C56" s="944" t="inlineStr">
        <is>
          <t>生产告警接收渠道待确认</t>
        </is>
      </c>
      <c r="D56" s="945" t="inlineStr">
        <is>
          <t>生产准备评审前登记最终渠道和接收人</t>
        </is>
      </c>
      <c r="E56" s="944" t="inlineStr">
        <is>
          <t>不改变工作量，但影响运维手册中的通知路径和接收人。</t>
        </is>
      </c>
      <c r="F56" s="944" t="inlineStr">
        <is>
          <t>运维经理</t>
        </is>
      </c>
      <c r="G56" s="944" t="inlineStr">
        <is>
          <t>创建并查看客户档案</t>
        </is>
      </c>
      <c r="H56" s="918" t="n"/>
    </row>
    <row r="57" ht="36" customHeight="1" s="1025">
      <c r="A57" s="944" t="inlineStr">
        <is>
          <t>集成与外部依赖</t>
        </is>
      </c>
      <c r="B57" s="945" t="inlineStr">
        <is>
          <t>未决事项</t>
        </is>
      </c>
      <c r="C57" s="944" t="inlineStr">
        <is>
          <t>ERP SIT 可用时间窗待确认</t>
        </is>
      </c>
      <c r="D57" s="945" t="inlineStr">
        <is>
          <t>SIT 排期基线确认时锁定窗口</t>
        </is>
      </c>
      <c r="E57" s="944" t="inlineStr">
        <is>
          <t>工作量按已提供的一个联调环境估算，时间窗变化只影响排期。</t>
        </is>
      </c>
      <c r="F57" s="944" t="inlineStr">
        <is>
          <t>ERP 产品负责人</t>
        </is>
      </c>
      <c r="G57" s="944" t="inlineStr">
        <is>
          <t>库存预占与释放</t>
        </is>
      </c>
      <c r="H57" s="918" t="n"/>
    </row>
    <row r="58" ht="36" customHeight="1" s="1025">
      <c r="A58" s="944" t="inlineStr">
        <is>
          <t>集成与外部依赖</t>
        </is>
      </c>
      <c r="B58" s="945" t="inlineStr">
        <is>
          <t>未决事项</t>
        </is>
      </c>
      <c r="C58" s="944" t="inlineStr">
        <is>
          <t>支付退款认证时间待确认</t>
        </is>
      </c>
      <c r="D58" s="945" t="inlineStr">
        <is>
          <t>项目启动后五个工作日内提交认证材料</t>
        </is>
      </c>
      <c r="E58" s="944" t="inlineStr">
        <is>
          <t>范围与工作量不变，延迟会影响退款联调和生产验证顺序。</t>
        </is>
      </c>
      <c r="F58" s="944" t="inlineStr">
        <is>
          <t>资金管理部</t>
        </is>
      </c>
      <c r="G58" s="944" t="inlineStr">
        <is>
          <t>退货退款闭环、支付退款日结对账</t>
        </is>
      </c>
      <c r="H58" s="918" t="n"/>
    </row>
    <row r="59" ht="36" customHeight="1" s="1025">
      <c r="A59" s="944" t="inlineStr">
        <is>
          <t>集成与外部依赖</t>
        </is>
      </c>
      <c r="B59" s="945" t="inlineStr">
        <is>
          <t>未决事项</t>
        </is>
      </c>
      <c r="C59" s="944" t="inlineStr">
        <is>
          <t>电子发票测试配额待确认</t>
        </is>
      </c>
      <c r="D59" s="945" t="inlineStr">
        <is>
          <t>联调开始前确认配额并准备扩容申请</t>
        </is>
      </c>
      <c r="E59" s="944" t="inlineStr">
        <is>
          <t>不改变接口实现估算，但配额不足会延长批量验证周期。</t>
        </is>
      </c>
      <c r="F59" s="944" t="inlineStr">
        <is>
          <t>财务共享中心</t>
        </is>
      </c>
      <c r="G59" s="944" t="inlineStr">
        <is>
          <t>电子发票申请与状态</t>
        </is>
      </c>
      <c r="H59" s="918" t="n"/>
    </row>
    <row r="60" ht="60" customHeight="1" s="1025">
      <c r="A60" s="944" t="inlineStr">
        <is>
          <t>应用与组件</t>
        </is>
      </c>
      <c r="B60" s="945" t="inlineStr">
        <is>
          <t>证据</t>
        </is>
      </c>
      <c r="C60" s="944" t="inlineStr">
        <is>
          <t>客户档案组件代码</t>
        </is>
      </c>
      <c r="D60" s="945" t="inlineStr">
        <is>
          <t>代码</t>
        </is>
      </c>
      <c r="E60" s="944" t="inlineStr">
        <is>
          <t>代码仓库存在客户档案页面、会员主数据映射与字段校验框架。</t>
        </is>
      </c>
      <c r="F60" s="944" t="inlineStr"/>
      <c r="G60" s="944" t="inlineStr">
        <is>
          <t>客户档案组件、会员主数据模型、可复用的客户档案框架、既有会员主数据模型、客户档案扩展字段、创建并查看客户档案、会员等级计算与版本</t>
        </is>
      </c>
      <c r="H60" s="918" t="n"/>
    </row>
    <row r="61" ht="75" customHeight="1" s="1025">
      <c r="A61" s="944" t="inlineStr">
        <is>
          <t>应用与组件</t>
        </is>
      </c>
      <c r="B61" s="945" t="inlineStr">
        <is>
          <t>证据</t>
        </is>
      </c>
      <c r="C61" s="944" t="inlineStr">
        <is>
          <t>订单状态机代码</t>
        </is>
      </c>
      <c r="D61" s="945" t="inlineStr">
        <is>
          <t>代码</t>
        </is>
      </c>
      <c r="E61" s="944" t="inlineStr">
        <is>
          <t>订单服务已有状态机、审计字段和基础查询能力。</t>
        </is>
      </c>
      <c r="F61" s="944" t="inlineStr"/>
      <c r="G61" s="944" t="inlineStr">
        <is>
          <t>订单服务与状态机、既有订单服务与状态机、订单状态审计字段、门店接单流程、统一订单编排与状态机、门店接单工作台、订单状态与履约轨迹、财务经营报表</t>
        </is>
      </c>
      <c r="H61" s="918" t="n"/>
    </row>
    <row r="62" ht="45" customHeight="1" s="1025">
      <c r="A62" s="944" t="inlineStr">
        <is>
          <t>集成与外部依赖</t>
        </is>
      </c>
      <c r="B62" s="945" t="inlineStr">
        <is>
          <t>证据</t>
        </is>
      </c>
      <c r="C62" s="944" t="inlineStr">
        <is>
          <t>ERP 库存接口契约</t>
        </is>
      </c>
      <c r="D62" s="945" t="inlineStr">
        <is>
          <t>接口契约</t>
        </is>
      </c>
      <c r="E62" s="944" t="inlineStr">
        <is>
          <t>ERP v2 契约包含库存查询、预占、释放和幂等键。</t>
        </is>
      </c>
      <c r="F62" s="944" t="inlineStr"/>
      <c r="G62" s="944" t="inlineStr">
        <is>
          <t>ERP 库存接口、既有 ERP 库存接口、库存预占与释放、ERP SIT 可用时间窗待确认</t>
        </is>
      </c>
      <c r="H62" s="918" t="n"/>
    </row>
    <row r="63" ht="45" customHeight="1" s="1025">
      <c r="A63" s="944" t="inlineStr">
        <is>
          <t>集成与外部依赖</t>
        </is>
      </c>
      <c r="B63" s="945" t="inlineStr">
        <is>
          <t>证据</t>
        </is>
      </c>
      <c r="C63" s="944" t="inlineStr">
        <is>
          <t>支付退款接口契约</t>
        </is>
      </c>
      <c r="D63" s="945" t="inlineStr">
        <is>
          <t>接口契约</t>
        </is>
      </c>
      <c r="E63" s="944" t="inlineStr">
        <is>
          <t>支付网关契约定义退款申请、查询和异步结果通知。</t>
        </is>
      </c>
      <c r="F63" s="944" t="inlineStr"/>
      <c r="G63" s="944" t="inlineStr">
        <is>
          <t>支付网关租户、既有支付网关租户、退货退款闭环、支付退款日结对账、支付退款认证时间待确认</t>
        </is>
      </c>
      <c r="H63" s="918" t="n"/>
    </row>
    <row r="64" ht="45" customHeight="1" s="1025">
      <c r="A64" s="944" t="inlineStr">
        <is>
          <t>集成与外部依赖</t>
        </is>
      </c>
      <c r="B64" s="945" t="inlineStr">
        <is>
          <t>证据</t>
        </is>
      </c>
      <c r="C64" s="944" t="inlineStr">
        <is>
          <t>电子发票接口契约</t>
        </is>
      </c>
      <c r="D64" s="945" t="inlineStr">
        <is>
          <t>接口契约</t>
        </is>
      </c>
      <c r="E64" s="944" t="inlineStr">
        <is>
          <t>电子发票平台契约定义开票、状态查询和失败码。</t>
        </is>
      </c>
      <c r="F64" s="944" t="inlineStr"/>
      <c r="G64" s="944" t="inlineStr">
        <is>
          <t>电子发票通道、既有电子发票通道、电子发票申请与状态、电子发票测试配额待确认</t>
        </is>
      </c>
      <c r="H64" s="918" t="n"/>
    </row>
    <row r="65" ht="90" customHeight="1" s="1025">
      <c r="A65" s="944" t="inlineStr">
        <is>
          <t>平台、环境与部署</t>
        </is>
      </c>
      <c r="B65" s="945" t="inlineStr">
        <is>
          <t>证据</t>
        </is>
      </c>
      <c r="C65" s="944" t="inlineStr">
        <is>
          <t>生产平台配置基线</t>
        </is>
      </c>
      <c r="D65" s="945" t="inlineStr">
        <is>
          <t>配置</t>
        </is>
      </c>
      <c r="E65" s="944" t="inlineStr">
        <is>
          <t>生产环境、流水线、身份控制和消息事件订阅均已有配置基线。</t>
        </is>
      </c>
      <c r="F65" s="944" t="inlineStr"/>
      <c r="G65" s="944" t="inlineStr">
        <is>
          <t>生产环境与发布流水线、身份权限与会员授权中心、订单消息通知服务、既有生产环境与发布流水线、既有会员授权中心、既有订单消息通知服务、会员授权中心沿用、会员授权与撤回复用、订单节点通知复用</t>
        </is>
      </c>
      <c r="H65" s="918" t="n"/>
    </row>
    <row r="66" ht="45" customHeight="1" s="1025">
      <c r="A66" s="944" t="inlineStr">
        <is>
          <t>运维与质量</t>
        </is>
      </c>
      <c r="B66" s="945" t="inlineStr">
        <is>
          <t>证据</t>
        </is>
      </c>
      <c r="C66" s="944" t="inlineStr">
        <is>
          <t>运维与测试资产说明</t>
        </is>
      </c>
      <c r="D66" s="945" t="inlineStr">
        <is>
          <t>文档</t>
        </is>
      </c>
      <c r="E66" s="944" t="inlineStr">
        <is>
          <t>运维文档列出统一监控接入方式、一期回归资产和现行告警渠道。</t>
        </is>
      </c>
      <c r="F66" s="944" t="inlineStr"/>
      <c r="G66" s="944" t="inlineStr">
        <is>
          <t>统一监控平台、回归测试资产、既有统一监控平台、既有回归测试资产、生产告警接收渠道待确认</t>
        </is>
      </c>
      <c r="H66" s="918" t="n"/>
    </row>
    <row r="67" s="1025">
      <c r="H67" s="918" t="n"/>
    </row>
    <row r="68" s="1025">
      <c r="H68" s="918" t="n"/>
    </row>
    <row r="69" s="1025">
      <c r="H69" s="918" t="n"/>
    </row>
    <row r="70" s="1025">
      <c r="H70" s="918" t="n"/>
    </row>
    <row r="71" s="1025">
      <c r="H71" s="918" t="n"/>
    </row>
    <row r="72" s="1025">
      <c r="H72" s="918" t="n"/>
    </row>
    <row r="73" s="1025">
      <c r="H73" s="918" t="n"/>
    </row>
    <row r="74" s="1025">
      <c r="H74" s="918" t="n"/>
    </row>
    <row r="75" s="1025">
      <c r="H75" s="918" t="n"/>
    </row>
    <row r="76" s="1025">
      <c r="H76" s="918" t="n"/>
    </row>
    <row r="77" s="1025">
      <c r="H77" s="918" t="n"/>
    </row>
    <row r="78" s="1025">
      <c r="H78" s="918" t="n"/>
    </row>
    <row r="79" s="1025">
      <c r="H79" s="918" t="n"/>
    </row>
    <row r="80" s="1025">
      <c r="H80" s="918" t="n"/>
    </row>
    <row r="81" s="1025">
      <c r="H81" s="918" t="n"/>
    </row>
    <row r="82" s="1025">
      <c r="H82" s="918" t="n"/>
    </row>
    <row r="83" s="1025">
      <c r="H83" s="918" t="n"/>
    </row>
    <row r="84" s="1025">
      <c r="H84" s="918" t="n"/>
    </row>
    <row r="85" s="1025">
      <c r="H85" s="918" t="n"/>
    </row>
    <row r="86" s="1025">
      <c r="H86" s="918" t="n"/>
    </row>
    <row r="87" s="1025">
      <c r="H87" s="918" t="n"/>
    </row>
    <row r="88" s="1025">
      <c r="H88" s="918" t="n"/>
    </row>
    <row r="89" s="1025">
      <c r="H89" s="918" t="n"/>
    </row>
    <row r="90" s="1025">
      <c r="H90" s="918" t="n"/>
    </row>
    <row r="91" s="1025">
      <c r="H91" s="918" t="n"/>
    </row>
    <row r="92" s="1025">
      <c r="H92" s="918" t="n"/>
    </row>
    <row r="93" s="1025">
      <c r="H93" s="918" t="n"/>
    </row>
    <row r="94" s="1025">
      <c r="H94" s="918" t="n"/>
    </row>
    <row r="95" s="1025">
      <c r="H95" s="918" t="n"/>
    </row>
    <row r="96" s="1025">
      <c r="H96" s="918" t="n"/>
    </row>
    <row r="97" s="1025">
      <c r="H97" s="918" t="n"/>
    </row>
    <row r="98" s="1025">
      <c r="H98" s="918" t="n"/>
    </row>
    <row r="99" s="1025">
      <c r="H99" s="918" t="n"/>
    </row>
    <row r="100" s="1025">
      <c r="H100" s="918" t="n"/>
    </row>
    <row r="101" s="1025">
      <c r="H101" s="918" t="n"/>
    </row>
    <row r="102" s="1025">
      <c r="H102" s="918" t="n"/>
    </row>
    <row r="103" s="1025">
      <c r="H103" s="918" t="n"/>
    </row>
    <row r="104" s="1025">
      <c r="H104" s="918" t="n"/>
    </row>
    <row r="105" s="1025">
      <c r="H105" s="918" t="n"/>
    </row>
    <row r="106" s="1025">
      <c r="H106" s="918" t="n"/>
    </row>
    <row r="107" s="1025">
      <c r="H107" s="918" t="n"/>
    </row>
    <row r="108" s="1025">
      <c r="H108" s="918" t="n"/>
    </row>
    <row r="109" s="1025">
      <c r="H109" s="918" t="n"/>
    </row>
    <row r="110" s="1025">
      <c r="H110" s="918" t="n"/>
    </row>
    <row r="111" s="1025">
      <c r="H111" s="918" t="n"/>
    </row>
    <row r="112" s="1025">
      <c r="H112" s="918" t="n"/>
    </row>
    <row r="113" s="1025">
      <c r="H113" s="918" t="n"/>
    </row>
    <row r="114" s="1025">
      <c r="H114" s="918" t="n"/>
    </row>
    <row r="115" s="1025">
      <c r="H115" s="918" t="n"/>
    </row>
    <row r="116" s="1025">
      <c r="H116" s="918" t="n"/>
    </row>
    <row r="117" s="1025">
      <c r="H117" s="918" t="n"/>
    </row>
    <row r="118" s="1025">
      <c r="H118" s="918" t="n"/>
    </row>
    <row r="119" s="1025">
      <c r="H119" s="918" t="n"/>
    </row>
    <row r="120" s="1025">
      <c r="H120" s="918" t="n"/>
    </row>
    <row r="121" s="1025">
      <c r="H121" s="918" t="n"/>
    </row>
    <row r="122" s="1025">
      <c r="H122" s="918" t="n"/>
    </row>
    <row r="123" s="1025">
      <c r="H123" s="918" t="n"/>
    </row>
    <row r="124" s="1025">
      <c r="H124" s="918" t="n"/>
    </row>
    <row r="125" s="1025">
      <c r="H125" s="918" t="n"/>
    </row>
    <row r="126" s="1025">
      <c r="H126" s="918" t="n"/>
    </row>
    <row r="127" s="1025">
      <c r="H127" s="918" t="n"/>
    </row>
    <row r="128" s="1025">
      <c r="H128" s="918" t="n"/>
    </row>
    <row r="129" s="1025">
      <c r="H129" s="918" t="n"/>
    </row>
    <row r="130" s="1025">
      <c r="H130" s="918" t="n"/>
    </row>
    <row r="131" s="1025">
      <c r="H131" s="918" t="n"/>
    </row>
    <row r="132" s="1025">
      <c r="H132" s="918" t="n"/>
    </row>
    <row r="133" s="1025">
      <c r="H133" s="918" t="n"/>
    </row>
    <row r="134" s="1025">
      <c r="H134" s="918" t="n"/>
    </row>
    <row r="135" s="1025">
      <c r="H135" s="918" t="n"/>
    </row>
    <row r="136" s="1025">
      <c r="H136" s="918" t="n"/>
    </row>
    <row r="137" s="1025">
      <c r="H137" s="918" t="n"/>
    </row>
    <row r="138" s="1025">
      <c r="H138" s="918" t="n"/>
    </row>
    <row r="139" s="1025">
      <c r="H139" s="918" t="n"/>
    </row>
    <row r="140" s="1025">
      <c r="H140" s="918" t="n"/>
    </row>
    <row r="141" s="1025">
      <c r="H141" s="918" t="n"/>
    </row>
    <row r="142" s="1025">
      <c r="H142" s="918" t="n"/>
    </row>
    <row r="143" s="1025">
      <c r="H143" s="918" t="n"/>
    </row>
    <row r="144" s="1025">
      <c r="H144" s="918" t="n"/>
    </row>
    <row r="145" s="1025">
      <c r="H145" s="918" t="n"/>
    </row>
    <row r="146" s="1025">
      <c r="H146" s="918" t="n"/>
    </row>
    <row r="147" s="1025">
      <c r="H147" s="918" t="n"/>
    </row>
    <row r="148" s="1025">
      <c r="H148" s="918" t="n"/>
    </row>
    <row r="149" s="1025">
      <c r="H149" s="918" t="n"/>
    </row>
    <row r="150" s="1025">
      <c r="H150" s="918" t="n"/>
    </row>
    <row r="151" s="1025">
      <c r="H151" s="918" t="n"/>
    </row>
    <row r="152" s="1025">
      <c r="H152" s="918" t="n"/>
    </row>
    <row r="153" s="1025">
      <c r="H153" s="918" t="n"/>
    </row>
    <row r="154" s="1025">
      <c r="H154" s="918" t="n"/>
    </row>
    <row r="155" s="1025">
      <c r="H155" s="918" t="n"/>
    </row>
    <row r="156" s="1025">
      <c r="H156" s="918" t="n"/>
    </row>
    <row r="157" s="1025">
      <c r="H157" s="918" t="n"/>
    </row>
    <row r="158" s="1025">
      <c r="H158" s="918" t="n"/>
    </row>
    <row r="159" s="1025">
      <c r="H159" s="918" t="n"/>
    </row>
    <row r="160" s="1025">
      <c r="H160" s="918" t="n"/>
    </row>
    <row r="161" s="1025">
      <c r="H161" s="918" t="n"/>
    </row>
    <row r="162" s="1025">
      <c r="H162" s="918" t="n"/>
    </row>
    <row r="163" s="1025">
      <c r="H163" s="918" t="n"/>
    </row>
    <row r="164" s="1025">
      <c r="H164" s="918" t="n"/>
    </row>
    <row r="165" s="1025">
      <c r="H165" s="918" t="n"/>
    </row>
    <row r="166" s="1025">
      <c r="H166" s="918" t="n"/>
    </row>
    <row r="167" s="1025">
      <c r="H167" s="918" t="n"/>
    </row>
    <row r="168" s="1025">
      <c r="H168" s="918" t="n"/>
    </row>
    <row r="169" s="1025">
      <c r="H169" s="918" t="n"/>
    </row>
    <row r="170" s="1025">
      <c r="H170" s="918" t="n"/>
    </row>
    <row r="171" s="1025">
      <c r="H171" s="918" t="n"/>
    </row>
    <row r="172" s="1025">
      <c r="H172" s="918" t="n"/>
    </row>
    <row r="173" s="1025">
      <c r="H173" s="918" t="n"/>
    </row>
    <row r="174" s="1025">
      <c r="H174" s="918" t="n"/>
    </row>
    <row r="175" s="1025">
      <c r="H175" s="918" t="n"/>
    </row>
    <row r="176" s="1025">
      <c r="H176" s="918" t="n"/>
    </row>
    <row r="177" s="1025">
      <c r="H177" s="918" t="n"/>
    </row>
    <row r="178" s="1025">
      <c r="H178" s="918" t="n"/>
    </row>
    <row r="179" s="1025">
      <c r="H179" s="918" t="n"/>
    </row>
    <row r="180" s="1025">
      <c r="H180" s="918" t="n"/>
    </row>
    <row r="181" s="1025">
      <c r="H181" s="918" t="n"/>
    </row>
    <row r="182" s="1025">
      <c r="H182" s="918" t="n"/>
    </row>
    <row r="183" s="1025">
      <c r="H183" s="918" t="n"/>
    </row>
    <row r="184" s="1025">
      <c r="H184" s="918" t="n"/>
    </row>
    <row r="185" s="1025">
      <c r="H185" s="918" t="n"/>
    </row>
    <row r="186" s="1025">
      <c r="H186" s="918" t="n"/>
    </row>
    <row r="187" s="1025">
      <c r="H187" s="918" t="n"/>
    </row>
    <row r="188" s="1025">
      <c r="H188" s="918" t="n"/>
    </row>
    <row r="189" s="1025">
      <c r="H189" s="918" t="n"/>
    </row>
    <row r="190" s="1025">
      <c r="H190" s="918" t="n"/>
    </row>
    <row r="191" s="1025">
      <c r="H191" s="918" t="n"/>
    </row>
    <row r="192" s="1025">
      <c r="H192" s="918" t="n"/>
    </row>
    <row r="193" s="1025">
      <c r="H193" s="918" t="n"/>
    </row>
    <row r="194" s="1025">
      <c r="H194" s="918" t="n"/>
    </row>
    <row r="195" s="1025">
      <c r="H195" s="918" t="n"/>
    </row>
    <row r="196" s="1025">
      <c r="H196" s="918" t="n"/>
    </row>
    <row r="197" s="1025">
      <c r="H197" s="918" t="n"/>
    </row>
    <row r="198" s="1025">
      <c r="H198" s="918" t="n"/>
    </row>
    <row r="199" s="1025">
      <c r="H199" s="918" t="n"/>
    </row>
    <row r="200" s="1025">
      <c r="H200" s="918" t="n"/>
    </row>
    <row r="201" s="1025">
      <c r="H201" s="918" t="n"/>
    </row>
    <row r="202" s="1025">
      <c r="H202" s="918" t="n"/>
    </row>
    <row r="203" s="1025">
      <c r="H203" s="918" t="n"/>
    </row>
    <row r="204" s="1025">
      <c r="H204" s="918" t="n"/>
    </row>
    <row r="205" s="1025">
      <c r="H205" s="918" t="n"/>
    </row>
    <row r="206" s="1025">
      <c r="H206" s="918" t="n"/>
    </row>
    <row r="207" s="1025">
      <c r="H207" s="918" t="n"/>
    </row>
    <row r="208" s="1025">
      <c r="H208" s="918" t="n"/>
    </row>
    <row r="209" s="1025">
      <c r="H209" s="918" t="n"/>
    </row>
    <row r="210" s="1025">
      <c r="H210" s="918" t="n"/>
    </row>
    <row r="211" s="1025">
      <c r="H211" s="918" t="n"/>
    </row>
    <row r="212" s="1025">
      <c r="H212" s="918" t="n"/>
    </row>
    <row r="213" s="1025">
      <c r="H213" s="918" t="n"/>
    </row>
    <row r="214" s="1025">
      <c r="H214" s="918" t="n"/>
    </row>
    <row r="215" s="1025">
      <c r="H215" s="918" t="n"/>
    </row>
    <row r="216" s="1025">
      <c r="H216" s="918" t="n"/>
    </row>
    <row r="217" s="1025">
      <c r="H217" s="918" t="n"/>
    </row>
    <row r="218" s="1025">
      <c r="H218" s="918" t="n"/>
    </row>
    <row r="219" s="1025">
      <c r="H219" s="918" t="n"/>
    </row>
    <row r="220" s="1025">
      <c r="H220" s="918" t="n"/>
    </row>
    <row r="221" s="1025">
      <c r="H221" s="918" t="n"/>
    </row>
    <row r="222" s="1025">
      <c r="H222" s="918" t="n"/>
    </row>
    <row r="223" s="1025">
      <c r="H223" s="918" t="n"/>
    </row>
    <row r="224" s="1025">
      <c r="H224" s="918" t="n"/>
    </row>
    <row r="225" s="1025">
      <c r="H225" s="918" t="n"/>
    </row>
    <row r="226" s="1025">
      <c r="H226" s="918" t="n"/>
    </row>
    <row r="227" s="1025">
      <c r="H227" s="918" t="n"/>
    </row>
    <row r="228" s="1025">
      <c r="H228" s="918" t="n"/>
    </row>
    <row r="229" s="1025">
      <c r="H229" s="918" t="n"/>
    </row>
    <row r="230" s="1025">
      <c r="H230" s="918" t="n"/>
    </row>
    <row r="231" s="1025">
      <c r="H231" s="918" t="n"/>
    </row>
    <row r="232" s="1025">
      <c r="H232" s="918" t="n"/>
    </row>
    <row r="233" s="1025">
      <c r="H233" s="918" t="n"/>
    </row>
    <row r="234" s="1025">
      <c r="H234" s="918" t="n"/>
    </row>
    <row r="235" s="1025">
      <c r="H235" s="918" t="n"/>
    </row>
    <row r="236" s="1025">
      <c r="H236" s="918" t="n"/>
    </row>
    <row r="237" s="1025">
      <c r="H237" s="918" t="n"/>
    </row>
    <row r="238" s="1025">
      <c r="H238" s="918" t="n"/>
    </row>
    <row r="239" s="1025">
      <c r="H239" s="918" t="n"/>
    </row>
    <row r="240" s="1025">
      <c r="H240" s="918" t="n"/>
    </row>
    <row r="241" s="1025">
      <c r="H241" s="918" t="n"/>
    </row>
    <row r="242" s="1025">
      <c r="H242" s="918" t="n"/>
    </row>
    <row r="243" s="1025">
      <c r="H243" s="918" t="n"/>
    </row>
    <row r="244" s="1025">
      <c r="H244" s="918" t="n"/>
    </row>
    <row r="245" s="1025">
      <c r="H245" s="918" t="n"/>
    </row>
    <row r="246" s="1025">
      <c r="H246" s="918" t="n"/>
    </row>
    <row r="247" s="1025">
      <c r="H247" s="918" t="n"/>
    </row>
    <row r="248" s="1025">
      <c r="H248" s="918" t="n"/>
    </row>
    <row r="249" s="1025">
      <c r="H249" s="918" t="n"/>
    </row>
    <row r="250" s="1025">
      <c r="H250" s="918" t="n"/>
    </row>
    <row r="251" s="1025">
      <c r="H251" s="918" t="n"/>
    </row>
    <row r="252" s="1025">
      <c r="H252" s="918" t="n"/>
    </row>
    <row r="253" s="1025">
      <c r="H253" s="918" t="n"/>
    </row>
    <row r="254" s="1025">
      <c r="H254" s="918" t="n"/>
    </row>
    <row r="255" s="1025">
      <c r="H255" s="918" t="n"/>
    </row>
    <row r="256" s="1025">
      <c r="H256" s="918" t="n"/>
    </row>
    <row r="257" s="1025">
      <c r="H257" s="918" t="n"/>
    </row>
    <row r="258" s="1025">
      <c r="H258" s="918" t="n"/>
    </row>
    <row r="259" s="1025">
      <c r="H259" s="918" t="n"/>
    </row>
    <row r="260" s="1025">
      <c r="H260" s="918" t="n"/>
    </row>
    <row r="261" s="1025">
      <c r="H261" s="918" t="n"/>
    </row>
    <row r="262" s="1025">
      <c r="H262" s="918" t="n"/>
    </row>
    <row r="263" s="1025">
      <c r="H263" s="918" t="n"/>
    </row>
    <row r="264" s="1025">
      <c r="H264" s="918" t="n"/>
    </row>
    <row r="265" s="1025">
      <c r="H265" s="918" t="n"/>
    </row>
    <row r="266" s="1025">
      <c r="H266" s="918" t="n"/>
    </row>
    <row r="267" s="1025">
      <c r="H267" s="918" t="n"/>
    </row>
    <row r="268" s="1025">
      <c r="H268" s="918" t="n"/>
    </row>
    <row r="269" s="1025">
      <c r="H269" s="918" t="n"/>
    </row>
    <row r="270" s="1025">
      <c r="H270" s="918" t="n"/>
    </row>
    <row r="271" s="1025">
      <c r="H271" s="918" t="n"/>
    </row>
    <row r="272" s="1025">
      <c r="H272" s="918" t="n"/>
    </row>
    <row r="273" s="1025">
      <c r="H273" s="918" t="n"/>
    </row>
    <row r="274" s="1025">
      <c r="H274" s="918" t="n"/>
    </row>
    <row r="275" s="1025">
      <c r="H275" s="918" t="n"/>
    </row>
    <row r="276" s="1025">
      <c r="H276" s="918" t="n"/>
    </row>
    <row r="277" s="1025">
      <c r="H277" s="918" t="n"/>
    </row>
    <row r="278" s="1025">
      <c r="H278" s="918" t="n"/>
    </row>
    <row r="279" s="1025">
      <c r="H279" s="918" t="n"/>
    </row>
    <row r="280" s="1025">
      <c r="H280" s="918" t="n"/>
    </row>
    <row r="281" s="1025">
      <c r="H281" s="918" t="n"/>
    </row>
    <row r="282" s="1025">
      <c r="H282" s="918" t="n"/>
    </row>
    <row r="283" s="1025">
      <c r="H283" s="918" t="n"/>
    </row>
    <row r="284" s="1025">
      <c r="H284" s="918" t="n"/>
    </row>
    <row r="285" s="1025">
      <c r="H285" s="918" t="n"/>
    </row>
    <row r="286" s="1025">
      <c r="H286" s="918" t="n"/>
    </row>
    <row r="287" s="1025">
      <c r="H287" s="918" t="n"/>
    </row>
    <row r="288" s="1025">
      <c r="H288" s="918" t="n"/>
    </row>
    <row r="289" s="1025">
      <c r="H289" s="918" t="n"/>
    </row>
    <row r="290" s="1025">
      <c r="H290" s="918" t="n"/>
    </row>
    <row r="291" s="1025">
      <c r="H291" s="918" t="n"/>
    </row>
    <row r="292" s="1025">
      <c r="H292" s="918" t="n"/>
    </row>
    <row r="293" s="1025">
      <c r="H293" s="918" t="n"/>
    </row>
    <row r="294" s="1025">
      <c r="H294" s="918" t="n"/>
    </row>
    <row r="295" s="1025">
      <c r="H295" s="918" t="n"/>
    </row>
    <row r="296" s="1025">
      <c r="H296" s="918" t="n"/>
    </row>
    <row r="297" s="1025">
      <c r="H297" s="918" t="n"/>
    </row>
    <row r="298" s="1025">
      <c r="H298" s="918" t="n"/>
    </row>
    <row r="299" s="1025">
      <c r="H299" s="918" t="n"/>
    </row>
    <row r="300" s="1025">
      <c r="H300" s="918" t="n"/>
    </row>
    <row r="301" s="1025">
      <c r="H301" s="918" t="n"/>
    </row>
    <row r="302" s="1025">
      <c r="H302" s="918" t="n"/>
    </row>
    <row r="303" s="1025">
      <c r="H303" s="918" t="n"/>
    </row>
    <row r="304" s="1025">
      <c r="H304" s="918" t="n"/>
    </row>
    <row r="305" s="1025">
      <c r="H305" s="918" t="n"/>
    </row>
    <row r="306" s="1025">
      <c r="H306" s="918" t="n"/>
    </row>
    <row r="307" s="1025">
      <c r="H307" s="918" t="n"/>
    </row>
    <row r="308" s="1025">
      <c r="H308" s="918" t="n"/>
    </row>
    <row r="309" s="1025">
      <c r="H309" s="918" t="n"/>
    </row>
    <row r="310" s="1025">
      <c r="H310" s="918" t="n"/>
    </row>
    <row r="311" s="1025">
      <c r="H311" s="918" t="n"/>
    </row>
    <row r="312" s="1025">
      <c r="H312" s="918" t="n"/>
    </row>
    <row r="313" s="1025">
      <c r="H313" s="918" t="n"/>
    </row>
    <row r="314" s="1025">
      <c r="H314" s="918" t="n"/>
    </row>
    <row r="315" s="1025">
      <c r="H315" s="918" t="n"/>
    </row>
    <row r="316" s="1025">
      <c r="H316" s="918" t="n"/>
    </row>
    <row r="317" s="1025">
      <c r="H317" s="918" t="n"/>
    </row>
    <row r="318" s="1025">
      <c r="H318" s="918" t="n"/>
    </row>
    <row r="319" s="1025">
      <c r="H319" s="918" t="n"/>
    </row>
    <row r="320" s="1025">
      <c r="H320" s="918" t="n"/>
    </row>
    <row r="321" s="1025">
      <c r="H321" s="918" t="n"/>
    </row>
    <row r="322" s="1025">
      <c r="H322" s="918" t="n"/>
    </row>
    <row r="323" s="1025">
      <c r="H323" s="918" t="n"/>
    </row>
    <row r="324" s="1025">
      <c r="H324" s="918" t="n"/>
    </row>
    <row r="325" s="1025">
      <c r="H325" s="918" t="n"/>
    </row>
    <row r="326" s="1025">
      <c r="H326" s="918" t="n"/>
    </row>
    <row r="327" s="1025">
      <c r="H327" s="918" t="n"/>
    </row>
    <row r="328" s="1025">
      <c r="H328" s="918" t="n"/>
    </row>
    <row r="329" s="1025">
      <c r="H329" s="918" t="n"/>
    </row>
    <row r="330" s="1025">
      <c r="H330" s="918" t="n"/>
    </row>
    <row r="331" s="1025">
      <c r="H331" s="918" t="n"/>
    </row>
    <row r="332" s="1025">
      <c r="H332" s="918" t="n"/>
    </row>
    <row r="333" s="1025">
      <c r="H333" s="918" t="n"/>
    </row>
    <row r="334" s="1025">
      <c r="H334" s="918" t="n"/>
    </row>
    <row r="335" s="1025">
      <c r="H335" s="918" t="n"/>
    </row>
    <row r="336" s="1025">
      <c r="H336" s="918" t="n"/>
    </row>
    <row r="337" s="1025">
      <c r="H337" s="918" t="n"/>
    </row>
    <row r="338" s="1025">
      <c r="H338" s="918" t="n"/>
    </row>
    <row r="339" s="1025">
      <c r="H339" s="918" t="n"/>
    </row>
    <row r="340" s="1025">
      <c r="H340" s="918" t="n"/>
    </row>
    <row r="341" s="1025">
      <c r="H341" s="918" t="n"/>
    </row>
    <row r="342" s="1025">
      <c r="H342" s="918" t="n"/>
    </row>
    <row r="343" s="1025">
      <c r="H343" s="918" t="n"/>
    </row>
    <row r="344" s="1025">
      <c r="H344" s="918" t="n"/>
    </row>
    <row r="345" s="1025">
      <c r="H345" s="918" t="n"/>
    </row>
    <row r="346" s="1025">
      <c r="H346" s="918" t="n"/>
    </row>
    <row r="347" s="1025">
      <c r="H347" s="918" t="n"/>
    </row>
    <row r="348" s="1025">
      <c r="H348" s="918" t="n"/>
    </row>
    <row r="349" s="1025">
      <c r="H349" s="918" t="n"/>
    </row>
    <row r="350" s="1025">
      <c r="H350" s="918" t="n"/>
    </row>
    <row r="351" s="1025">
      <c r="H351" s="918" t="n"/>
    </row>
    <row r="352" s="1025">
      <c r="H352" s="918" t="n"/>
    </row>
    <row r="353" s="1025">
      <c r="H353" s="918" t="n"/>
    </row>
    <row r="354" s="1025">
      <c r="H354" s="918" t="n"/>
    </row>
    <row r="355" s="1025">
      <c r="H355" s="918" t="n"/>
    </row>
    <row r="356" s="1025">
      <c r="H356" s="918" t="n"/>
    </row>
    <row r="357" s="1025">
      <c r="H357" s="918" t="n"/>
    </row>
    <row r="358" s="1025">
      <c r="H358" s="918" t="n"/>
    </row>
    <row r="359" s="1025">
      <c r="H359" s="918" t="n"/>
    </row>
    <row r="360" s="1025">
      <c r="H360" s="918" t="n"/>
    </row>
    <row r="361" s="1025">
      <c r="H361" s="918" t="n"/>
    </row>
    <row r="362" s="1025">
      <c r="H362" s="918" t="n"/>
    </row>
    <row r="363" s="1025">
      <c r="H363" s="918" t="n"/>
    </row>
    <row r="364" s="1025">
      <c r="H364" s="918" t="n"/>
    </row>
    <row r="365" s="1025">
      <c r="H365" s="918" t="n"/>
    </row>
    <row r="366" s="1025">
      <c r="H366" s="918" t="n"/>
    </row>
    <row r="367" s="1025">
      <c r="H367" s="918" t="n"/>
    </row>
    <row r="368" s="1025">
      <c r="H368" s="918" t="n"/>
    </row>
    <row r="369" s="1025">
      <c r="H369" s="918" t="n"/>
    </row>
    <row r="370" s="1025">
      <c r="H370" s="918" t="n"/>
    </row>
    <row r="371" s="1025">
      <c r="H371" s="918" t="n"/>
    </row>
    <row r="372" s="1025">
      <c r="H372" s="918" t="n"/>
    </row>
    <row r="373" s="1025">
      <c r="H373" s="918" t="n"/>
    </row>
    <row r="374" s="1025">
      <c r="H374" s="918" t="n"/>
    </row>
    <row r="375" s="1025">
      <c r="H375" s="918" t="n"/>
    </row>
    <row r="376" s="1025">
      <c r="H376" s="918" t="n"/>
    </row>
    <row r="377" s="1025">
      <c r="H377" s="918" t="n"/>
    </row>
    <row r="378" s="1025">
      <c r="H378" s="918" t="n"/>
    </row>
    <row r="379" s="1025">
      <c r="H379" s="918" t="n"/>
    </row>
    <row r="380" s="1025">
      <c r="H380" s="918" t="n"/>
    </row>
    <row r="381" s="1025">
      <c r="H381" s="918" t="n"/>
    </row>
    <row r="382" s="1025">
      <c r="H382" s="918" t="n"/>
    </row>
    <row r="383" s="1025">
      <c r="H383" s="918" t="n"/>
    </row>
    <row r="384" s="1025">
      <c r="H384" s="918" t="n"/>
    </row>
    <row r="385" s="1025">
      <c r="H385" s="918" t="n"/>
    </row>
    <row r="386" s="1025">
      <c r="H386" s="918" t="n"/>
    </row>
    <row r="387" s="1025">
      <c r="H387" s="918" t="n"/>
    </row>
    <row r="388" s="1025">
      <c r="H388" s="918" t="n"/>
    </row>
    <row r="389" s="1025">
      <c r="H389" s="918" t="n"/>
    </row>
    <row r="390" s="1025">
      <c r="H390" s="918" t="n"/>
    </row>
    <row r="391" s="1025">
      <c r="H391" s="918" t="n"/>
    </row>
    <row r="392" s="1025">
      <c r="H392" s="918" t="n"/>
    </row>
    <row r="393" s="1025">
      <c r="H393" s="918" t="n"/>
    </row>
    <row r="394" s="1025">
      <c r="H394" s="918" t="n"/>
    </row>
    <row r="395" s="1025">
      <c r="H395" s="918" t="n"/>
    </row>
    <row r="396" s="1025">
      <c r="H396" s="918" t="n"/>
    </row>
    <row r="397" s="1025">
      <c r="H397" s="918" t="n"/>
    </row>
    <row r="398" s="1025">
      <c r="H398" s="918" t="n"/>
    </row>
    <row r="399" s="1025">
      <c r="H399" s="918" t="n"/>
    </row>
    <row r="400" s="1025">
      <c r="H400" s="918" t="n"/>
    </row>
    <row r="401" s="1025">
      <c r="H401" s="918" t="n"/>
    </row>
    <row r="402" s="1025">
      <c r="H402" s="918" t="n"/>
    </row>
    <row r="403" s="1025">
      <c r="H403" s="918" t="n"/>
    </row>
    <row r="404" s="1025">
      <c r="H404" s="918" t="n"/>
    </row>
    <row r="405" s="1025">
      <c r="H405" s="918" t="n"/>
    </row>
    <row r="406" s="1025">
      <c r="H406" s="918" t="n"/>
    </row>
    <row r="407" s="1025">
      <c r="H407" s="918" t="n"/>
    </row>
    <row r="408" s="1025">
      <c r="H408" s="918" t="n"/>
    </row>
    <row r="409" s="1025">
      <c r="H409" s="918" t="n"/>
    </row>
    <row r="410" s="1025">
      <c r="H410" s="918" t="n"/>
    </row>
    <row r="411" s="1025">
      <c r="H411" s="918" t="n"/>
    </row>
    <row r="412" s="1025">
      <c r="H412" s="918" t="n"/>
    </row>
    <row r="413" s="1025">
      <c r="H413" s="918" t="n"/>
    </row>
    <row r="414" s="1025">
      <c r="H414" s="918" t="n"/>
    </row>
    <row r="415" s="1025">
      <c r="H415" s="918" t="n"/>
    </row>
    <row r="416" s="1025">
      <c r="H416" s="918" t="n"/>
    </row>
    <row r="417" s="1025">
      <c r="H417" s="918" t="n"/>
    </row>
    <row r="418" s="1025">
      <c r="H418" s="918" t="n"/>
    </row>
    <row r="419" s="1025">
      <c r="H419" s="918" t="n"/>
    </row>
    <row r="420" s="1025">
      <c r="H420" s="918" t="n"/>
    </row>
    <row r="421" s="1025">
      <c r="H421" s="918" t="n"/>
    </row>
    <row r="422" s="1025">
      <c r="H422" s="918" t="n"/>
    </row>
    <row r="423" s="1025">
      <c r="H423" s="918" t="n"/>
    </row>
    <row r="424" s="1025">
      <c r="H424" s="918" t="n"/>
    </row>
    <row r="425" s="1025">
      <c r="H425" s="918" t="n"/>
    </row>
    <row r="426" s="1025">
      <c r="H426" s="918" t="n"/>
    </row>
    <row r="427" s="1025">
      <c r="H427" s="918" t="n"/>
    </row>
    <row r="428" s="1025">
      <c r="H428" s="918" t="n"/>
    </row>
    <row r="429" s="1025">
      <c r="H429" s="918" t="n"/>
    </row>
    <row r="430" s="1025">
      <c r="H430" s="918" t="n"/>
    </row>
    <row r="431" s="1025">
      <c r="H431" s="918" t="n"/>
    </row>
    <row r="432" s="1025">
      <c r="H432" s="918" t="n"/>
    </row>
    <row r="433" s="1025">
      <c r="H433" s="918" t="n"/>
    </row>
    <row r="434" s="1025">
      <c r="H434" s="918" t="n"/>
    </row>
    <row r="435" s="1025">
      <c r="H435" s="918" t="n"/>
    </row>
    <row r="436" s="1025">
      <c r="H436" s="918" t="n"/>
    </row>
    <row r="437" s="1025">
      <c r="H437" s="918" t="n"/>
    </row>
    <row r="438" s="1025">
      <c r="H438" s="918" t="n"/>
    </row>
    <row r="439" s="1025">
      <c r="H439" s="918" t="n"/>
    </row>
    <row r="440" s="1025">
      <c r="H440" s="918" t="n"/>
    </row>
    <row r="441" s="1025">
      <c r="H441" s="918" t="n"/>
    </row>
    <row r="442" s="1025">
      <c r="H442" s="918" t="n"/>
    </row>
    <row r="443" s="1025">
      <c r="H443" s="918" t="n"/>
    </row>
    <row r="444" s="1025">
      <c r="H444" s="918" t="n"/>
    </row>
    <row r="445" s="1025">
      <c r="H445" s="918" t="n"/>
    </row>
    <row r="446" s="1025">
      <c r="H446" s="918" t="n"/>
    </row>
    <row r="447" s="1025">
      <c r="H447" s="918" t="n"/>
    </row>
    <row r="448" s="1025">
      <c r="H448" s="918" t="n"/>
    </row>
    <row r="449" s="1025">
      <c r="H449" s="918" t="n"/>
    </row>
    <row r="450" s="1025">
      <c r="H450" s="918" t="n"/>
    </row>
    <row r="451" s="1025">
      <c r="H451" s="918" t="n"/>
    </row>
    <row r="452" s="1025">
      <c r="H452" s="918" t="n"/>
    </row>
    <row r="453" s="1025">
      <c r="H453" s="918" t="n"/>
    </row>
    <row r="454" s="1025">
      <c r="H454" s="918" t="n"/>
    </row>
    <row r="455" s="1025">
      <c r="H455" s="918" t="n"/>
    </row>
    <row r="456" s="1025">
      <c r="H456" s="918" t="n"/>
    </row>
    <row r="457" s="1025">
      <c r="H457" s="918" t="n"/>
    </row>
    <row r="458" s="1025">
      <c r="H458" s="918" t="n"/>
    </row>
    <row r="459" s="1025">
      <c r="H459" s="918" t="n"/>
    </row>
    <row r="460" s="1025">
      <c r="H460" s="918" t="n"/>
    </row>
    <row r="461" s="1025">
      <c r="H461" s="918" t="n"/>
    </row>
    <row r="462" s="1025">
      <c r="H462" s="918" t="n"/>
    </row>
    <row r="463" s="1025">
      <c r="H463" s="918" t="n"/>
    </row>
    <row r="464" s="1025">
      <c r="H464" s="918" t="n"/>
    </row>
    <row r="465" s="1025">
      <c r="H465" s="918" t="n"/>
    </row>
    <row r="466" s="1025">
      <c r="H466" s="918" t="n"/>
    </row>
    <row r="467" s="1025">
      <c r="H467" s="918" t="n"/>
    </row>
    <row r="468" s="1025">
      <c r="H468" s="918" t="n"/>
    </row>
    <row r="469" s="1025">
      <c r="H469" s="918" t="n"/>
    </row>
    <row r="470" s="1025">
      <c r="H470" s="918" t="n"/>
    </row>
    <row r="471" s="1025">
      <c r="H471" s="918" t="n"/>
    </row>
    <row r="472" s="1025">
      <c r="H472" s="918" t="n"/>
    </row>
    <row r="473" s="1025">
      <c r="H473" s="918" t="n"/>
    </row>
    <row r="474" s="1025">
      <c r="H474" s="918" t="n"/>
    </row>
    <row r="475" s="1025">
      <c r="H475" s="918" t="n"/>
    </row>
    <row r="476" s="1025">
      <c r="H476" s="918" t="n"/>
    </row>
    <row r="477" s="1025">
      <c r="H477" s="918" t="n"/>
    </row>
    <row r="478" s="1025">
      <c r="H478" s="918" t="n"/>
    </row>
    <row r="479" s="1025">
      <c r="H479" s="918" t="n"/>
    </row>
    <row r="480" s="1025">
      <c r="H480" s="918" t="n"/>
    </row>
    <row r="481" s="1025">
      <c r="H481" s="918" t="n"/>
    </row>
    <row r="482" s="1025">
      <c r="H482" s="918" t="n"/>
    </row>
    <row r="483" s="1025">
      <c r="H483" s="918" t="n"/>
    </row>
    <row r="484" s="1025">
      <c r="H484" s="918" t="n"/>
    </row>
    <row r="485" s="1025">
      <c r="H485" s="918" t="n"/>
    </row>
    <row r="486" s="1025">
      <c r="H486" s="918" t="n"/>
    </row>
    <row r="487" s="1025">
      <c r="H487" s="918" t="n"/>
    </row>
    <row r="488" s="1025">
      <c r="H488" s="918" t="n"/>
    </row>
    <row r="489" s="1025">
      <c r="H489" s="918" t="n"/>
    </row>
    <row r="490" s="1025">
      <c r="H490" s="918" t="n"/>
    </row>
    <row r="491" s="1025">
      <c r="H491" s="918" t="n"/>
    </row>
    <row r="492" s="1025">
      <c r="H492" s="918" t="n"/>
    </row>
    <row r="493" s="1025">
      <c r="H493" s="918" t="n"/>
    </row>
    <row r="494" s="1025">
      <c r="H494" s="918" t="n"/>
    </row>
    <row r="495" s="1025">
      <c r="H495" s="918" t="n"/>
    </row>
    <row r="496" s="1025">
      <c r="H496" s="918" t="n"/>
    </row>
    <row r="497" s="1025">
      <c r="H497" s="918" t="n"/>
    </row>
    <row r="498" s="1025">
      <c r="H498" s="918" t="n"/>
    </row>
    <row r="499" s="1025">
      <c r="H499" s="918" t="n"/>
    </row>
    <row r="500" s="1025">
      <c r="H500" s="918" t="n"/>
    </row>
    <row r="501" s="1025">
      <c r="H501" s="918" t="n"/>
    </row>
    <row r="502" s="1025">
      <c r="H502" s="918" t="n"/>
    </row>
    <row r="503" s="1025">
      <c r="H503" s="918" t="n"/>
    </row>
    <row r="504" s="1025">
      <c r="H504" s="918" t="n"/>
    </row>
    <row r="505" s="1025">
      <c r="H505" s="918" t="n"/>
    </row>
    <row r="506" s="1025">
      <c r="H506" s="918" t="n"/>
    </row>
    <row r="507" s="1025">
      <c r="H507" s="918" t="n"/>
    </row>
    <row r="508" s="1025">
      <c r="H508" s="918" t="n"/>
    </row>
    <row r="509" s="1025">
      <c r="H509" s="918" t="n"/>
    </row>
    <row r="510" s="1025">
      <c r="H510" s="918" t="n"/>
    </row>
    <row r="511" s="1025">
      <c r="H511" s="918" t="n"/>
    </row>
    <row r="512" s="1025">
      <c r="H512" s="918" t="n"/>
    </row>
    <row r="513" s="1025">
      <c r="H513" s="918" t="n"/>
    </row>
    <row r="514" s="1025">
      <c r="H514" s="918" t="n"/>
    </row>
    <row r="515" s="1025">
      <c r="H515" s="918" t="n"/>
    </row>
    <row r="516" s="1025">
      <c r="H516" s="918" t="n"/>
    </row>
    <row r="517" s="1025">
      <c r="H517" s="918" t="n"/>
    </row>
    <row r="518" s="1025">
      <c r="H518" s="918" t="n"/>
    </row>
    <row r="519" s="1025">
      <c r="H519" s="918" t="n"/>
    </row>
    <row r="520" s="1025">
      <c r="H520" s="918" t="n"/>
    </row>
    <row r="521" s="1025">
      <c r="H521" s="918" t="n"/>
    </row>
    <row r="522" s="1025">
      <c r="H522" s="918" t="n"/>
    </row>
    <row r="523" s="1025">
      <c r="H523" s="918" t="n"/>
    </row>
    <row r="524" s="1025">
      <c r="H524" s="918" t="n"/>
    </row>
    <row r="525" s="1025">
      <c r="H525" s="918" t="n"/>
    </row>
    <row r="526" s="1025">
      <c r="H526" s="918" t="n"/>
    </row>
    <row r="527" s="1025">
      <c r="H527" s="918" t="n"/>
    </row>
    <row r="528" s="1025">
      <c r="H528" s="918" t="n"/>
    </row>
    <row r="529" s="1025">
      <c r="H529" s="918" t="n"/>
    </row>
    <row r="530" s="1025">
      <c r="H530" s="918" t="n"/>
    </row>
    <row r="531" s="1025">
      <c r="H531" s="918" t="n"/>
    </row>
    <row r="532" s="1025">
      <c r="H532" s="918" t="n"/>
    </row>
    <row r="533" s="1025">
      <c r="H533" s="918" t="n"/>
    </row>
    <row r="534" s="1025">
      <c r="H534" s="918" t="n"/>
    </row>
    <row r="535" s="1025">
      <c r="H535" s="918" t="n"/>
    </row>
    <row r="536" s="1025">
      <c r="H536" s="918" t="n"/>
    </row>
    <row r="537" s="1025">
      <c r="H537" s="918" t="n"/>
    </row>
    <row r="538" s="1025">
      <c r="H538" s="918" t="n"/>
    </row>
    <row r="539" s="1025">
      <c r="H539" s="918" t="n"/>
    </row>
    <row r="540" s="1025">
      <c r="H540" s="918" t="n"/>
    </row>
    <row r="541" s="1025">
      <c r="H541" s="918" t="n"/>
    </row>
    <row r="542" s="1025">
      <c r="H542" s="918" t="n"/>
    </row>
    <row r="543" s="1025">
      <c r="H543" s="918" t="n"/>
    </row>
    <row r="544" s="1025">
      <c r="H544" s="918" t="n"/>
    </row>
    <row r="545" s="1025">
      <c r="H545" s="918" t="n"/>
    </row>
    <row r="546" s="1025">
      <c r="H546" s="918" t="n"/>
    </row>
    <row r="547" s="1025">
      <c r="H547" s="918" t="n"/>
    </row>
    <row r="548" s="1025">
      <c r="H548" s="918" t="n"/>
    </row>
    <row r="549" s="1025">
      <c r="H549" s="918" t="n"/>
    </row>
    <row r="550" s="1025">
      <c r="H550" s="918" t="n"/>
    </row>
    <row r="551" s="1025">
      <c r="H551" s="918" t="n"/>
    </row>
    <row r="552" s="1025">
      <c r="H552" s="918" t="n"/>
    </row>
    <row r="553" s="1025">
      <c r="H553" s="918" t="n"/>
    </row>
    <row r="554" s="1025">
      <c r="H554" s="918" t="n"/>
    </row>
    <row r="555" s="1025">
      <c r="H555" s="918" t="n"/>
    </row>
    <row r="556" s="1025">
      <c r="H556" s="918" t="n"/>
    </row>
    <row r="557" s="1025">
      <c r="H557" s="918" t="n"/>
    </row>
    <row r="558" s="1025">
      <c r="H558" s="918" t="n"/>
    </row>
    <row r="559" s="1025">
      <c r="H559" s="918" t="n"/>
    </row>
    <row r="560" s="1025">
      <c r="H560" s="918" t="n"/>
    </row>
    <row r="561" s="1025">
      <c r="H561" s="918" t="n"/>
    </row>
    <row r="562" s="1025">
      <c r="H562" s="918" t="n"/>
    </row>
    <row r="563" s="1025">
      <c r="H563" s="918" t="n"/>
    </row>
    <row r="564" s="1025">
      <c r="H564" s="918" t="n"/>
    </row>
    <row r="565" s="1025">
      <c r="H565" s="918" t="n"/>
    </row>
    <row r="566" s="1025">
      <c r="H566" s="918" t="n"/>
    </row>
    <row r="567" s="1025">
      <c r="H567" s="918" t="n"/>
    </row>
    <row r="568" s="1025">
      <c r="H568" s="918" t="n"/>
    </row>
    <row r="569" s="1025">
      <c r="H569" s="918" t="n"/>
    </row>
    <row r="570" s="1025">
      <c r="H570" s="918" t="n"/>
    </row>
    <row r="571" s="1025">
      <c r="H571" s="918" t="n"/>
    </row>
    <row r="572" s="1025">
      <c r="H572" s="918" t="n"/>
    </row>
    <row r="573" s="1025">
      <c r="H573" s="918" t="n"/>
    </row>
    <row r="574" s="1025">
      <c r="H574" s="918" t="n"/>
    </row>
    <row r="575" s="1025">
      <c r="H575" s="918" t="n"/>
    </row>
    <row r="576" s="1025">
      <c r="H576" s="918" t="n"/>
    </row>
    <row r="577" s="1025">
      <c r="H577" s="918" t="n"/>
    </row>
    <row r="578" s="1025">
      <c r="H578" s="918" t="n"/>
    </row>
    <row r="579" s="1025">
      <c r="H579" s="918" t="n"/>
    </row>
    <row r="580" s="1025">
      <c r="H580" s="918" t="n"/>
    </row>
    <row r="581" s="1025">
      <c r="H581" s="918" t="n"/>
    </row>
    <row r="582" s="1025">
      <c r="H582" s="918" t="n"/>
    </row>
    <row r="583" s="1025">
      <c r="H583" s="918" t="n"/>
    </row>
    <row r="584" s="1025">
      <c r="H584" s="918" t="n"/>
    </row>
    <row r="585" s="1025">
      <c r="H585" s="918" t="n"/>
    </row>
    <row r="586" s="1025">
      <c r="H586" s="918" t="n"/>
    </row>
    <row r="587" s="1025">
      <c r="H587" s="918" t="n"/>
    </row>
    <row r="588" s="1025">
      <c r="H588" s="918" t="n"/>
    </row>
    <row r="589" s="1025">
      <c r="H589" s="918" t="n"/>
    </row>
    <row r="590" s="1025">
      <c r="H590" s="918" t="n"/>
    </row>
    <row r="591" s="1025">
      <c r="H591" s="918" t="n"/>
    </row>
    <row r="592" s="1025">
      <c r="H592" s="918" t="n"/>
    </row>
    <row r="593" s="1025">
      <c r="H593" s="918" t="n"/>
    </row>
    <row r="594" s="1025">
      <c r="H594" s="918" t="n"/>
    </row>
    <row r="595" s="1025">
      <c r="H595" s="918" t="n"/>
    </row>
    <row r="596" s="1025">
      <c r="H596" s="918" t="n"/>
    </row>
    <row r="597" s="1025">
      <c r="H597" s="918" t="n"/>
    </row>
    <row r="598" s="1025">
      <c r="H598" s="918" t="n"/>
    </row>
    <row r="599" s="1025">
      <c r="H599" s="918" t="n"/>
    </row>
    <row r="600" s="1025">
      <c r="H600" s="918" t="n"/>
    </row>
    <row r="601" s="1025">
      <c r="H601" s="918" t="n"/>
    </row>
    <row r="602" s="1025">
      <c r="H602" s="918" t="n"/>
    </row>
    <row r="603" s="1025">
      <c r="H603" s="918" t="n"/>
    </row>
    <row r="604" s="1025">
      <c r="H604" s="918" t="n"/>
    </row>
    <row r="605" s="1025">
      <c r="H605" s="918" t="n"/>
    </row>
    <row r="606" s="1025">
      <c r="H606" s="918" t="n"/>
    </row>
    <row r="607" s="1025">
      <c r="H607" s="918" t="n"/>
    </row>
    <row r="608" s="1025">
      <c r="H608" s="918" t="n"/>
    </row>
    <row r="609" s="1025">
      <c r="H609" s="918" t="n"/>
    </row>
    <row r="610" s="1025">
      <c r="H610" s="918" t="n"/>
    </row>
    <row r="611" s="1025">
      <c r="H611" s="918" t="n"/>
    </row>
    <row r="612" s="1025">
      <c r="H612" s="918" t="n"/>
    </row>
    <row r="613" s="1025">
      <c r="H613" s="918" t="n"/>
    </row>
    <row r="614" s="1025">
      <c r="H614" s="918" t="n"/>
    </row>
    <row r="615" s="1025">
      <c r="H615" s="918" t="n"/>
    </row>
    <row r="616" s="1025">
      <c r="H616" s="918" t="n"/>
    </row>
    <row r="617" s="1025">
      <c r="H617" s="918" t="n"/>
    </row>
    <row r="618" s="1025">
      <c r="H618" s="918" t="n"/>
    </row>
    <row r="619" s="1025">
      <c r="H619" s="918" t="n"/>
    </row>
    <row r="620" s="1025">
      <c r="H620" s="918" t="n"/>
    </row>
    <row r="621" s="1025">
      <c r="H621" s="918" t="n"/>
    </row>
    <row r="622" s="1025">
      <c r="H622" s="918" t="n"/>
    </row>
    <row r="623" s="1025">
      <c r="H623" s="918" t="n"/>
    </row>
    <row r="624" s="1025">
      <c r="H624" s="918" t="n"/>
    </row>
    <row r="625" s="1025">
      <c r="H625" s="918" t="n"/>
    </row>
    <row r="626" s="1025">
      <c r="H626" s="918" t="n"/>
    </row>
    <row r="627" s="1025">
      <c r="H627" s="918" t="n"/>
    </row>
    <row r="628" s="1025">
      <c r="H628" s="918" t="n"/>
    </row>
    <row r="629" s="1025">
      <c r="H629" s="918" t="n"/>
    </row>
    <row r="630" s="1025">
      <c r="H630" s="918" t="n"/>
    </row>
    <row r="631" s="1025">
      <c r="H631" s="918" t="n"/>
    </row>
    <row r="632" s="1025">
      <c r="H632" s="918" t="n"/>
    </row>
    <row r="633" s="1025">
      <c r="H633" s="918" t="n"/>
    </row>
    <row r="634" s="1025">
      <c r="H634" s="918" t="n"/>
    </row>
    <row r="635" s="1025">
      <c r="H635" s="918" t="n"/>
    </row>
    <row r="636" s="1025">
      <c r="H636" s="918" t="n"/>
    </row>
    <row r="637" s="1025">
      <c r="H637" s="918" t="n"/>
    </row>
    <row r="638" s="1025">
      <c r="H638" s="918" t="n"/>
    </row>
    <row r="639" s="1025">
      <c r="H639" s="918" t="n"/>
    </row>
    <row r="640" s="1025">
      <c r="H640" s="918" t="n"/>
    </row>
    <row r="641" s="1025">
      <c r="H641" s="918" t="n"/>
    </row>
    <row r="642" s="1025">
      <c r="H642" s="918" t="n"/>
    </row>
    <row r="643" s="1025">
      <c r="H643" s="918" t="n"/>
    </row>
    <row r="644" s="1025">
      <c r="H644" s="918" t="n"/>
    </row>
    <row r="645" s="1025">
      <c r="H645" s="918" t="n"/>
    </row>
    <row r="646" s="1025">
      <c r="H646" s="918" t="n"/>
    </row>
    <row r="647" s="1025">
      <c r="H647" s="918" t="n"/>
    </row>
    <row r="648" s="1025">
      <c r="H648" s="918" t="n"/>
    </row>
    <row r="649" s="1025">
      <c r="H649" s="918" t="n"/>
    </row>
    <row r="650" s="1025">
      <c r="H650" s="918" t="n"/>
    </row>
    <row r="651" s="1025">
      <c r="H651" s="918" t="n"/>
    </row>
    <row r="652" s="1025">
      <c r="H652" s="918" t="n"/>
    </row>
    <row r="653" s="1025">
      <c r="H653" s="918" t="n"/>
    </row>
    <row r="654" s="1025">
      <c r="H654" s="918" t="n"/>
    </row>
    <row r="655" s="1025">
      <c r="H655" s="918" t="n"/>
    </row>
    <row r="656" s="1025">
      <c r="H656" s="918" t="n"/>
    </row>
    <row r="657" s="1025">
      <c r="H657" s="918" t="n"/>
    </row>
    <row r="658" s="1025">
      <c r="H658" s="918" t="n"/>
    </row>
    <row r="659" s="1025">
      <c r="H659" s="918" t="n"/>
    </row>
    <row r="660" s="1025">
      <c r="H660" s="918" t="n"/>
    </row>
    <row r="661" s="1025">
      <c r="H661" s="918" t="n"/>
    </row>
    <row r="662" s="1025">
      <c r="H662" s="918" t="n"/>
    </row>
    <row r="663" s="1025">
      <c r="H663" s="918" t="n"/>
    </row>
    <row r="664" s="1025">
      <c r="H664" s="918" t="n"/>
    </row>
    <row r="665" s="1025">
      <c r="H665" s="918" t="n"/>
    </row>
    <row r="666" s="1025">
      <c r="H666" s="918" t="n"/>
    </row>
    <row r="667" s="1025">
      <c r="H667" s="918" t="n"/>
    </row>
    <row r="668" s="1025">
      <c r="H668" s="918" t="n"/>
    </row>
    <row r="669" s="1025">
      <c r="H669" s="918" t="n"/>
    </row>
    <row r="670" s="1025">
      <c r="H670" s="918" t="n"/>
    </row>
    <row r="671" s="1025">
      <c r="H671" s="918" t="n"/>
    </row>
    <row r="672" s="1025">
      <c r="H672" s="918" t="n"/>
    </row>
    <row r="673" s="1025">
      <c r="H673" s="918" t="n"/>
    </row>
    <row r="674" s="1025">
      <c r="H674" s="918" t="n"/>
    </row>
    <row r="675" s="1025">
      <c r="H675" s="918" t="n"/>
    </row>
    <row r="676" s="1025">
      <c r="H676" s="918" t="n"/>
    </row>
    <row r="677" s="1025">
      <c r="H677" s="918" t="n"/>
    </row>
    <row r="678" s="1025">
      <c r="H678" s="918" t="n"/>
    </row>
    <row r="679" s="1025">
      <c r="H679" s="918" t="n"/>
    </row>
    <row r="680" s="1025">
      <c r="H680" s="918" t="n"/>
    </row>
    <row r="681" s="1025">
      <c r="H681" s="918" t="n"/>
    </row>
    <row r="682" s="1025">
      <c r="H682" s="918" t="n"/>
    </row>
    <row r="683" s="1025">
      <c r="H683" s="918" t="n"/>
    </row>
    <row r="684" s="1025">
      <c r="H684" s="918" t="n"/>
    </row>
    <row r="685" s="1025">
      <c r="H685" s="918" t="n"/>
    </row>
    <row r="686" s="1025">
      <c r="H686" s="918" t="n"/>
    </row>
    <row r="687" s="1025">
      <c r="H687" s="918" t="n"/>
    </row>
    <row r="688" s="1025">
      <c r="H688" s="918" t="n"/>
    </row>
    <row r="689" s="1025">
      <c r="H689" s="918" t="n"/>
    </row>
    <row r="690" s="1025">
      <c r="H690" s="918" t="n"/>
    </row>
    <row r="691" s="1025">
      <c r="H691" s="918" t="n"/>
    </row>
    <row r="692" s="1025">
      <c r="H692" s="918" t="n"/>
    </row>
    <row r="693" s="1025">
      <c r="H693" s="918" t="n"/>
    </row>
    <row r="694" s="1025">
      <c r="H694" s="918" t="n"/>
    </row>
    <row r="695" s="1025">
      <c r="H695" s="918" t="n"/>
    </row>
    <row r="696" s="1025">
      <c r="H696" s="918" t="n"/>
    </row>
    <row r="697" s="1025">
      <c r="H697" s="918" t="n"/>
    </row>
    <row r="698" s="1025">
      <c r="H698" s="918" t="n"/>
    </row>
    <row r="699" s="1025">
      <c r="H699" s="918" t="n"/>
    </row>
    <row r="700" s="1025">
      <c r="H700" s="918" t="n"/>
    </row>
    <row r="701" s="1025">
      <c r="H701" s="918" t="n"/>
    </row>
    <row r="702" s="1025">
      <c r="H702" s="918" t="n"/>
    </row>
    <row r="703" s="1025">
      <c r="H703" s="918" t="n"/>
    </row>
    <row r="704" s="1025">
      <c r="H704" s="918" t="n"/>
    </row>
    <row r="705" s="1025">
      <c r="H705" s="918" t="n"/>
    </row>
    <row r="706" s="1025">
      <c r="H706" s="918" t="n"/>
    </row>
    <row r="707" s="1025">
      <c r="H707" s="918" t="n"/>
    </row>
    <row r="708" s="1025">
      <c r="H708" s="918" t="n"/>
    </row>
    <row r="709" s="1025">
      <c r="H709" s="918" t="n"/>
    </row>
    <row r="710" s="1025">
      <c r="H710" s="918" t="n"/>
    </row>
    <row r="711" s="1025">
      <c r="H711" s="918" t="n"/>
    </row>
    <row r="712" s="1025">
      <c r="H712" s="918" t="n"/>
    </row>
    <row r="713" s="1025">
      <c r="H713" s="918" t="n"/>
    </row>
    <row r="714" s="1025">
      <c r="H714" s="918" t="n"/>
    </row>
    <row r="715" s="1025">
      <c r="H715" s="918" t="n"/>
    </row>
    <row r="716" s="1025">
      <c r="H716" s="918" t="n"/>
    </row>
    <row r="717" s="1025">
      <c r="H717" s="918" t="n"/>
    </row>
    <row r="718" s="1025">
      <c r="H718" s="918" t="n"/>
    </row>
    <row r="719" s="1025">
      <c r="H719" s="918" t="n"/>
    </row>
    <row r="720" s="1025">
      <c r="H720" s="918" t="n"/>
    </row>
    <row r="721" s="1025">
      <c r="H721" s="918" t="n"/>
    </row>
    <row r="722" s="1025">
      <c r="H722" s="918" t="n"/>
    </row>
    <row r="723" s="1025">
      <c r="H723" s="918" t="n"/>
    </row>
    <row r="724" s="1025">
      <c r="H724" s="918" t="n"/>
    </row>
    <row r="725" s="1025">
      <c r="H725" s="918" t="n"/>
    </row>
    <row r="726" s="1025">
      <c r="H726" s="918" t="n"/>
    </row>
    <row r="727" s="1025">
      <c r="H727" s="918" t="n"/>
    </row>
    <row r="728" s="1025">
      <c r="H728" s="918" t="n"/>
    </row>
    <row r="729" s="1025">
      <c r="H729" s="918" t="n"/>
    </row>
    <row r="730" s="1025">
      <c r="H730" s="918" t="n"/>
    </row>
    <row r="731" s="1025">
      <c r="H731" s="918" t="n"/>
    </row>
    <row r="732" s="1025">
      <c r="H732" s="918" t="n"/>
    </row>
    <row r="733" s="1025">
      <c r="H733" s="918" t="n"/>
    </row>
    <row r="734" s="1025">
      <c r="H734" s="918" t="n"/>
    </row>
    <row r="735" s="1025">
      <c r="H735" s="918" t="n"/>
    </row>
    <row r="736" s="1025">
      <c r="H736" s="918" t="n"/>
    </row>
    <row r="737" s="1025">
      <c r="H737" s="918" t="n"/>
    </row>
    <row r="738" s="1025">
      <c r="H738" s="918" t="n"/>
    </row>
    <row r="739" s="1025">
      <c r="H739" s="918" t="n"/>
    </row>
    <row r="740" s="1025">
      <c r="H740" s="918" t="n"/>
    </row>
    <row r="741" s="1025">
      <c r="H741" s="918" t="n"/>
    </row>
    <row r="742" s="1025">
      <c r="H742" s="918" t="n"/>
    </row>
    <row r="743" s="1025">
      <c r="H743" s="918" t="n"/>
    </row>
    <row r="744" s="1025">
      <c r="H744" s="918" t="n"/>
    </row>
    <row r="745" s="1025">
      <c r="H745" s="918" t="n"/>
    </row>
    <row r="746" s="1025">
      <c r="H746" s="918" t="n"/>
    </row>
    <row r="747" s="1025">
      <c r="H747" s="918" t="n"/>
    </row>
    <row r="748" s="1025">
      <c r="H748" s="918" t="n"/>
    </row>
    <row r="749" s="1025">
      <c r="H749" s="918" t="n"/>
    </row>
    <row r="750" s="1025">
      <c r="H750" s="918" t="n"/>
    </row>
    <row r="751" s="1025">
      <c r="H751" s="918" t="n"/>
    </row>
    <row r="752" s="1025">
      <c r="H752" s="918" t="n"/>
    </row>
    <row r="753" s="1025">
      <c r="H753" s="918" t="n"/>
    </row>
    <row r="754" s="1025">
      <c r="H754" s="918" t="n"/>
    </row>
    <row r="755" s="1025">
      <c r="H755" s="918" t="n"/>
    </row>
    <row r="756" s="1025">
      <c r="H756" s="918" t="n"/>
    </row>
    <row r="757" s="1025">
      <c r="H757" s="918" t="n"/>
    </row>
    <row r="758" s="1025">
      <c r="H758" s="918" t="n"/>
    </row>
    <row r="759" s="1025">
      <c r="H759" s="918" t="n"/>
    </row>
    <row r="760" s="1025">
      <c r="H760" s="918" t="n"/>
    </row>
    <row r="761" s="1025">
      <c r="H761" s="918" t="n"/>
    </row>
    <row r="762" s="1025">
      <c r="H762" s="918" t="n"/>
    </row>
    <row r="763" s="1025">
      <c r="H763" s="918" t="n"/>
    </row>
    <row r="764" s="1025">
      <c r="H764" s="918" t="n"/>
    </row>
    <row r="765" s="1025">
      <c r="H765" s="918" t="n"/>
    </row>
    <row r="766" s="1025">
      <c r="H766" s="918" t="n"/>
    </row>
    <row r="767" s="1025">
      <c r="H767" s="918" t="n"/>
    </row>
    <row r="768" s="1025">
      <c r="H768" s="918" t="n"/>
    </row>
    <row r="769" s="1025">
      <c r="H769" s="918" t="n"/>
    </row>
    <row r="770" s="1025">
      <c r="H770" s="918" t="n"/>
    </row>
    <row r="771" s="1025">
      <c r="H771" s="918" t="n"/>
    </row>
    <row r="772" s="1025">
      <c r="H772" s="918" t="n"/>
    </row>
    <row r="773" s="1025">
      <c r="H773" s="918" t="n"/>
    </row>
    <row r="774" s="1025">
      <c r="H774" s="918" t="n"/>
    </row>
    <row r="775" s="1025">
      <c r="H775" s="918" t="n"/>
    </row>
    <row r="776" s="1025">
      <c r="H776" s="918" t="n"/>
    </row>
    <row r="777" s="1025">
      <c r="H777" s="918" t="n"/>
    </row>
    <row r="778" s="1025">
      <c r="H778" s="918" t="n"/>
    </row>
    <row r="779" s="1025">
      <c r="H779" s="918" t="n"/>
    </row>
    <row r="780" s="1025">
      <c r="H780" s="918" t="n"/>
    </row>
    <row r="781" s="1025">
      <c r="H781" s="918" t="n"/>
    </row>
    <row r="782" s="1025">
      <c r="H782" s="918" t="n"/>
    </row>
    <row r="783" s="1025">
      <c r="H783" s="918" t="n"/>
    </row>
    <row r="784" s="1025">
      <c r="H784" s="918" t="n"/>
    </row>
    <row r="785" s="1025">
      <c r="H785" s="918" t="n"/>
    </row>
    <row r="786" s="1025">
      <c r="H786" s="918" t="n"/>
    </row>
    <row r="787" s="1025">
      <c r="H787" s="918" t="n"/>
    </row>
    <row r="788" s="1025">
      <c r="H788" s="918" t="n"/>
    </row>
    <row r="789" s="1025">
      <c r="H789" s="918" t="n"/>
    </row>
    <row r="790" s="1025">
      <c r="H790" s="918" t="n"/>
    </row>
    <row r="791" s="1025">
      <c r="H791" s="918" t="n"/>
    </row>
    <row r="792" s="1025">
      <c r="H792" s="918" t="n"/>
    </row>
    <row r="793" s="1025">
      <c r="H793" s="918" t="n"/>
    </row>
    <row r="794" s="1025">
      <c r="H794" s="918" t="n"/>
    </row>
    <row r="795" s="1025">
      <c r="H795" s="918" t="n"/>
    </row>
    <row r="796" s="1025">
      <c r="H796" s="918" t="n"/>
    </row>
    <row r="797" s="1025">
      <c r="H797" s="918" t="n"/>
    </row>
    <row r="798" s="1025">
      <c r="H798" s="918" t="n"/>
    </row>
    <row r="799" s="1025">
      <c r="H799" s="918" t="n"/>
    </row>
    <row r="800" s="1025">
      <c r="H800" s="918" t="n"/>
    </row>
    <row r="801" s="1025">
      <c r="H801" s="918" t="n"/>
    </row>
    <row r="802" s="1025">
      <c r="H802" s="918" t="n"/>
    </row>
    <row r="803" s="1025">
      <c r="H803" s="918" t="n"/>
    </row>
    <row r="804" s="1025">
      <c r="H804" s="918" t="n"/>
    </row>
    <row r="805" s="1025">
      <c r="H805" s="918" t="n"/>
    </row>
    <row r="806" s="1025">
      <c r="H806" s="918" t="n"/>
    </row>
    <row r="807" s="1025">
      <c r="H807" s="918" t="n"/>
    </row>
    <row r="808" s="1025">
      <c r="H808" s="918" t="n"/>
    </row>
    <row r="809" s="1025">
      <c r="H809" s="918" t="n"/>
    </row>
    <row r="810" s="1025">
      <c r="H810" s="918" t="n"/>
    </row>
    <row r="811" s="1025">
      <c r="H811" s="918" t="n"/>
    </row>
    <row r="812" s="1025">
      <c r="H812" s="918" t="n"/>
    </row>
    <row r="813" s="1025">
      <c r="H813" s="918" t="n"/>
    </row>
    <row r="814" s="1025">
      <c r="H814" s="918" t="n"/>
    </row>
    <row r="815" s="1025">
      <c r="H815" s="918" t="n"/>
    </row>
    <row r="816" s="1025">
      <c r="H816" s="918" t="n"/>
    </row>
    <row r="817" s="1025">
      <c r="H817" s="918" t="n"/>
    </row>
    <row r="818" s="1025">
      <c r="H818" s="918" t="n"/>
    </row>
    <row r="819" s="1025">
      <c r="H819" s="918" t="n"/>
    </row>
    <row r="820" s="1025">
      <c r="H820" s="918" t="n"/>
    </row>
    <row r="821" s="1025">
      <c r="H821" s="918" t="n"/>
    </row>
    <row r="822" s="1025">
      <c r="H822" s="918" t="n"/>
    </row>
    <row r="823" s="1025">
      <c r="H823" s="918" t="n"/>
    </row>
    <row r="824" s="1025">
      <c r="H824" s="918" t="n"/>
    </row>
    <row r="825" s="1025">
      <c r="H825" s="918" t="n"/>
    </row>
    <row r="826" s="1025">
      <c r="H826" s="918" t="n"/>
    </row>
    <row r="827" s="1025">
      <c r="H827" s="918" t="n"/>
    </row>
    <row r="828" s="1025">
      <c r="H828" s="918" t="n"/>
    </row>
    <row r="829" s="1025">
      <c r="H829" s="918" t="n"/>
    </row>
    <row r="830" s="1025">
      <c r="H830" s="918" t="n"/>
    </row>
    <row r="831" s="1025">
      <c r="H831" s="918" t="n"/>
    </row>
    <row r="832" s="1025">
      <c r="H832" s="918" t="n"/>
    </row>
    <row r="833" s="1025">
      <c r="H833" s="918" t="n"/>
    </row>
    <row r="834" s="1025">
      <c r="H834" s="918" t="n"/>
    </row>
    <row r="835" s="1025">
      <c r="H835" s="918" t="n"/>
    </row>
    <row r="836" s="1025">
      <c r="H836" s="918" t="n"/>
    </row>
    <row r="837" s="1025">
      <c r="H837" s="918" t="n"/>
    </row>
    <row r="838" s="1025">
      <c r="H838" s="918" t="n"/>
    </row>
    <row r="839" s="1025">
      <c r="H839" s="918" t="n"/>
    </row>
    <row r="840" s="1025">
      <c r="H840" s="918" t="n"/>
    </row>
    <row r="841" s="1025">
      <c r="H841" s="918" t="n"/>
    </row>
    <row r="842" s="1025">
      <c r="H842" s="918" t="n"/>
    </row>
    <row r="843" s="1025">
      <c r="H843" s="918" t="n"/>
    </row>
    <row r="844" s="1025">
      <c r="H844" s="918" t="n"/>
    </row>
    <row r="845" s="1025">
      <c r="H845" s="918" t="n"/>
    </row>
    <row r="846" s="1025">
      <c r="H846" s="918" t="n"/>
    </row>
    <row r="847" s="1025">
      <c r="H847" s="918" t="n"/>
    </row>
    <row r="848" s="1025">
      <c r="H848" s="918" t="n"/>
    </row>
    <row r="849" s="1025">
      <c r="H849" s="918" t="n"/>
    </row>
    <row r="850" s="1025">
      <c r="H850" s="918" t="n"/>
    </row>
    <row r="851" s="1025">
      <c r="H851" s="918" t="n"/>
    </row>
    <row r="852" s="1025">
      <c r="H852" s="918" t="n"/>
    </row>
    <row r="853" s="1025">
      <c r="H853" s="918" t="n"/>
    </row>
    <row r="854" s="1025">
      <c r="H854" s="918" t="n"/>
    </row>
    <row r="855" s="1025">
      <c r="H855" s="918" t="n"/>
    </row>
    <row r="856" s="1025">
      <c r="H856" s="918" t="n"/>
    </row>
    <row r="857" s="1025">
      <c r="H857" s="918" t="n"/>
    </row>
    <row r="858" s="1025">
      <c r="H858" s="918" t="n"/>
    </row>
    <row r="859" s="1025">
      <c r="H859" s="918" t="n"/>
    </row>
    <row r="860" s="1025">
      <c r="H860" s="918" t="n"/>
    </row>
    <row r="861" s="1025">
      <c r="H861" s="918" t="n"/>
    </row>
    <row r="862" s="1025">
      <c r="H862" s="918" t="n"/>
    </row>
    <row r="863" s="1025">
      <c r="H863" s="918" t="n"/>
    </row>
    <row r="864" s="1025">
      <c r="H864" s="918" t="n"/>
    </row>
    <row r="865" s="1025">
      <c r="H865" s="918" t="n"/>
    </row>
    <row r="866" s="1025">
      <c r="H866" s="918" t="n"/>
    </row>
    <row r="867" s="1025">
      <c r="H867" s="918" t="n"/>
    </row>
    <row r="868" s="1025">
      <c r="H868" s="918" t="n"/>
    </row>
    <row r="869" s="1025">
      <c r="H869" s="918" t="n"/>
    </row>
    <row r="870" s="1025">
      <c r="H870" s="918" t="n"/>
    </row>
    <row r="871" s="1025">
      <c r="H871" s="918" t="n"/>
    </row>
    <row r="872" s="1025">
      <c r="H872" s="918" t="n"/>
    </row>
    <row r="873" s="1025">
      <c r="H873" s="918" t="n"/>
    </row>
    <row r="874" s="1025">
      <c r="H874" s="918" t="n"/>
    </row>
    <row r="875" s="1025">
      <c r="H875" s="918" t="n"/>
    </row>
    <row r="876" s="1025">
      <c r="H876" s="918" t="n"/>
    </row>
    <row r="877" s="1025">
      <c r="H877" s="918" t="n"/>
    </row>
    <row r="878" s="1025">
      <c r="H878" s="918" t="n"/>
    </row>
    <row r="879" s="1025">
      <c r="H879" s="918" t="n"/>
    </row>
    <row r="880" s="1025">
      <c r="H880" s="918" t="n"/>
    </row>
    <row r="881" s="1025">
      <c r="H881" s="918" t="n"/>
    </row>
    <row r="882" s="1025">
      <c r="H882" s="918" t="n"/>
    </row>
    <row r="883" s="1025">
      <c r="H883" s="918" t="n"/>
    </row>
    <row r="884" s="1025">
      <c r="H884" s="918" t="n"/>
    </row>
    <row r="885" s="1025">
      <c r="H885" s="918" t="n"/>
    </row>
    <row r="886" s="1025">
      <c r="H886" s="918" t="n"/>
    </row>
    <row r="887" s="1025">
      <c r="H887" s="918" t="n"/>
    </row>
    <row r="888" s="1025">
      <c r="H888" s="918" t="n"/>
    </row>
    <row r="889" s="1025">
      <c r="H889" s="918" t="n"/>
    </row>
    <row r="890" s="1025">
      <c r="H890" s="918" t="n"/>
    </row>
    <row r="891" s="1025">
      <c r="H891" s="918" t="n"/>
    </row>
    <row r="892" s="1025">
      <c r="H892" s="918" t="n"/>
    </row>
    <row r="893" s="1025">
      <c r="H893" s="918" t="n"/>
    </row>
    <row r="894" s="1025">
      <c r="H894" s="918" t="n"/>
    </row>
    <row r="895" s="1025">
      <c r="H895" s="918" t="n"/>
    </row>
    <row r="896" s="1025">
      <c r="H896" s="918" t="n"/>
    </row>
    <row r="897" s="1025">
      <c r="H897" s="918" t="n"/>
    </row>
    <row r="898" s="1025">
      <c r="H898" s="918" t="n"/>
    </row>
    <row r="899" s="1025">
      <c r="H899" s="918" t="n"/>
    </row>
    <row r="900" s="1025">
      <c r="H900" s="918" t="n"/>
    </row>
    <row r="901" s="1025">
      <c r="H901" s="918" t="n"/>
    </row>
    <row r="902" s="1025">
      <c r="H902" s="918" t="n"/>
    </row>
    <row r="903" s="1025">
      <c r="H903" s="918" t="n"/>
    </row>
    <row r="904" s="1025">
      <c r="H904" s="918" t="n"/>
    </row>
    <row r="905" s="1025">
      <c r="H905" s="918" t="n"/>
    </row>
    <row r="906" s="1025">
      <c r="H906" s="918" t="n"/>
    </row>
    <row r="907" s="1025">
      <c r="H907" s="918" t="n"/>
    </row>
    <row r="908" s="1025">
      <c r="H908" s="918" t="n"/>
    </row>
    <row r="909" s="1025">
      <c r="H909" s="918" t="n"/>
    </row>
    <row r="910" s="1025">
      <c r="H910" s="918" t="n"/>
    </row>
    <row r="911" s="1025">
      <c r="H911" s="918" t="n"/>
    </row>
    <row r="912" s="1025">
      <c r="H912" s="918" t="n"/>
    </row>
    <row r="913" s="1025">
      <c r="H913" s="918" t="n"/>
    </row>
    <row r="914" s="1025">
      <c r="H914" s="918" t="n"/>
    </row>
    <row r="915" s="1025">
      <c r="H915" s="918" t="n"/>
    </row>
    <row r="916" s="1025">
      <c r="H916" s="918" t="n"/>
    </row>
    <row r="917" s="1025">
      <c r="H917" s="918" t="n"/>
    </row>
    <row r="918" s="1025">
      <c r="H918" s="918" t="n"/>
    </row>
    <row r="919" s="1025">
      <c r="H919" s="918" t="n"/>
    </row>
    <row r="920" s="1025">
      <c r="H920" s="918" t="n"/>
    </row>
    <row r="921" s="1025">
      <c r="H921" s="918" t="n"/>
    </row>
    <row r="922" s="1025">
      <c r="H922" s="918" t="n"/>
    </row>
    <row r="923" s="1025">
      <c r="H923" s="918" t="n"/>
    </row>
    <row r="924" s="1025">
      <c r="H924" s="918" t="n"/>
    </row>
    <row r="925" s="1025">
      <c r="H925" s="918" t="n"/>
    </row>
    <row r="926" s="1025">
      <c r="H926" s="918" t="n"/>
    </row>
    <row r="927" s="1025">
      <c r="H927" s="918" t="n"/>
    </row>
    <row r="928" s="1025">
      <c r="H928" s="918" t="n"/>
    </row>
    <row r="929" s="1025">
      <c r="H929" s="918" t="n"/>
    </row>
    <row r="930" s="1025">
      <c r="H930" s="918" t="n"/>
    </row>
    <row r="931" s="1025">
      <c r="H931" s="918" t="n"/>
    </row>
    <row r="932" s="1025">
      <c r="H932" s="918" t="n"/>
    </row>
    <row r="933" s="1025">
      <c r="H933" s="918" t="n"/>
    </row>
    <row r="934" s="1025">
      <c r="H934" s="918" t="n"/>
    </row>
    <row r="935" s="1025">
      <c r="H935" s="918" t="n"/>
    </row>
    <row r="936" s="1025">
      <c r="H936" s="918" t="n"/>
    </row>
    <row r="937" s="1025">
      <c r="H937" s="918" t="n"/>
    </row>
    <row r="938" s="1025">
      <c r="H938" s="918" t="n"/>
    </row>
    <row r="939" s="1025">
      <c r="H939" s="918" t="n"/>
    </row>
    <row r="940" s="1025">
      <c r="H940" s="918" t="n"/>
    </row>
    <row r="941" s="1025">
      <c r="H941" s="918" t="n"/>
    </row>
    <row r="942" s="1025">
      <c r="H942" s="918" t="n"/>
    </row>
    <row r="943" s="1025">
      <c r="H943" s="918" t="n"/>
    </row>
    <row r="944" s="1025">
      <c r="H944" s="918" t="n"/>
    </row>
    <row r="945" s="1025">
      <c r="H945" s="918" t="n"/>
    </row>
    <row r="946" s="1025">
      <c r="H946" s="918" t="n"/>
    </row>
    <row r="947" s="1025">
      <c r="H947" s="918" t="n"/>
    </row>
    <row r="948" s="1025">
      <c r="H948" s="918" t="n"/>
    </row>
    <row r="949" s="1025">
      <c r="H949" s="918" t="n"/>
    </row>
    <row r="950" s="1025">
      <c r="H950" s="918" t="n"/>
    </row>
    <row r="951" s="1025">
      <c r="H951" s="918" t="n"/>
    </row>
    <row r="952" s="1025">
      <c r="H952" s="918" t="n"/>
    </row>
    <row r="953" s="1025">
      <c r="H953" s="918" t="n"/>
    </row>
    <row r="954" s="1025">
      <c r="H954" s="918" t="n"/>
    </row>
    <row r="955" s="1025">
      <c r="H955" s="918" t="n"/>
    </row>
    <row r="956" s="1025">
      <c r="H956" s="918" t="n"/>
    </row>
    <row r="957" s="1025">
      <c r="H957" s="918" t="n"/>
    </row>
    <row r="958" s="1025">
      <c r="H958" s="918" t="n"/>
    </row>
    <row r="959" s="1025">
      <c r="H959" s="918" t="n"/>
    </row>
    <row r="960" s="1025">
      <c r="H960" s="918" t="n"/>
    </row>
    <row r="961" s="1025">
      <c r="H961" s="918" t="n"/>
    </row>
    <row r="962" s="1025">
      <c r="H962" s="918" t="n"/>
    </row>
    <row r="963" s="1025">
      <c r="H963" s="918" t="n"/>
    </row>
    <row r="964" s="1025">
      <c r="H964" s="918" t="n"/>
    </row>
    <row r="965" s="1025">
      <c r="H965" s="918" t="n"/>
    </row>
    <row r="966" s="1025">
      <c r="H966" s="918" t="n"/>
    </row>
    <row r="967" s="1025">
      <c r="H967" s="918" t="n"/>
    </row>
    <row r="968" s="1025">
      <c r="H968" s="918" t="n"/>
    </row>
    <row r="969" s="1025">
      <c r="H969" s="918" t="n"/>
    </row>
    <row r="970" s="1025">
      <c r="H970" s="918" t="n"/>
    </row>
    <row r="971" s="1025">
      <c r="H971" s="918" t="n"/>
    </row>
    <row r="972" s="1025">
      <c r="H972" s="918" t="n"/>
    </row>
    <row r="973" s="1025">
      <c r="H973" s="918" t="n"/>
    </row>
    <row r="974" s="1025">
      <c r="H974" s="918" t="n"/>
    </row>
    <row r="975" s="1025">
      <c r="H975" s="918" t="n"/>
    </row>
    <row r="976" s="1025">
      <c r="H976" s="918" t="n"/>
    </row>
    <row r="977" s="1025">
      <c r="H977" s="918" t="n"/>
    </row>
    <row r="978" s="1025">
      <c r="H978" s="918" t="n"/>
    </row>
    <row r="979" s="1025">
      <c r="H979" s="918" t="n"/>
    </row>
    <row r="980" s="1025">
      <c r="H980" s="918" t="n"/>
    </row>
    <row r="981" s="1025">
      <c r="H981" s="918" t="n"/>
    </row>
    <row r="982" s="1025">
      <c r="H982" s="918" t="n"/>
    </row>
    <row r="983" s="1025">
      <c r="H983" s="918" t="n"/>
    </row>
    <row r="984" s="1025">
      <c r="H984" s="918" t="n"/>
    </row>
    <row r="985" s="1025">
      <c r="H985" s="918" t="n"/>
    </row>
    <row r="986" s="1025">
      <c r="H986" s="918" t="n"/>
    </row>
    <row r="987" s="1025">
      <c r="H987" s="918" t="n"/>
    </row>
    <row r="988" s="1025">
      <c r="H988" s="918" t="n"/>
    </row>
    <row r="989" s="1025">
      <c r="H989" s="918" t="n"/>
    </row>
    <row r="990" s="1025">
      <c r="H990" s="918" t="n"/>
    </row>
    <row r="991" s="1025">
      <c r="H991" s="918" t="n"/>
    </row>
    <row r="992" s="1025">
      <c r="H992" s="918" t="n"/>
    </row>
    <row r="993" s="1025">
      <c r="H993" s="918" t="n"/>
    </row>
    <row r="994" s="1025">
      <c r="H994" s="918" t="n"/>
    </row>
    <row r="995" s="1025">
      <c r="H995" s="918" t="n"/>
    </row>
    <row r="996" s="1025">
      <c r="H996" s="918" t="n"/>
    </row>
    <row r="997" s="1025">
      <c r="H997" s="918" t="n"/>
    </row>
    <row r="998" s="1025">
      <c r="H998" s="918" t="n"/>
    </row>
    <row r="999" s="1025">
      <c r="H999" s="918" t="n"/>
    </row>
    <row r="1000" s="1025">
      <c r="H1000" s="918" t="n"/>
    </row>
    <row r="1001" s="1025">
      <c r="H1001" s="918" t="n"/>
    </row>
    <row r="1002" s="1025">
      <c r="H1002" s="918" t="n"/>
    </row>
    <row r="1003" s="1025">
      <c r="H1003" s="918" t="n"/>
    </row>
    <row r="1004" s="1025">
      <c r="H1004" s="918" t="n"/>
    </row>
    <row r="1005" s="1025">
      <c r="H1005" s="918" t="n"/>
    </row>
    <row r="1006" s="1025">
      <c r="H1006" s="918" t="n"/>
    </row>
    <row r="1007" s="1025">
      <c r="H1007" s="918" t="n"/>
    </row>
    <row r="1008" s="1025">
      <c r="H1008" s="918" t="n"/>
    </row>
    <row r="1009" s="1025">
      <c r="H1009" s="918" t="n"/>
    </row>
    <row r="1010" s="1025">
      <c r="H1010" s="918" t="n"/>
    </row>
    <row r="1011" s="1025">
      <c r="H1011" s="918" t="n"/>
    </row>
    <row r="1012" s="1025">
      <c r="H1012" s="918" t="n"/>
    </row>
    <row r="1013" s="1025">
      <c r="H1013" s="918" t="n"/>
    </row>
    <row r="1014" s="1025">
      <c r="H1014" s="918" t="n"/>
    </row>
    <row r="1015" s="1025">
      <c r="H1015" s="918" t="n"/>
    </row>
    <row r="1016" s="1025">
      <c r="H1016" s="918" t="n"/>
    </row>
    <row r="1017" s="1025">
      <c r="H1017" s="918" t="n"/>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