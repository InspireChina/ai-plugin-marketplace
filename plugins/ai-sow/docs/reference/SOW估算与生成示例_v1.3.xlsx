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tables/table5.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01-需求故事" sheetId="1" state="visible" r:id="rId1"/>
    <sheet name="02-任务清单" sheetId="2" state="visible" r:id="rId2"/>
    <sheet name="03-工作量汇总" sheetId="3" state="visible" r:id="rId3"/>
    <sheet name="90-估算标准" sheetId="4" state="visible" r:id="rId4"/>
  </sheets>
  <definedNames>
    <definedName name="_xlnm.Print_Titles" localSheetId="0">'01-需求故事'!$1:$4</definedName>
    <definedName name="_xlnm.Print_Titles" localSheetId="1">'02-任务清单'!$1:$4</definedName>
    <definedName name="_xlnm.Print_Titles" localSheetId="3">'90-估算标准'!$1:$4</definedName>
  </definedNames>
  <calcPr calcId="124519" calcMode="auto" fullCalcOnLoad="1" calcOnSave="1" forceFullCalc="1"/>
</workbook>
</file>

<file path=xl/styles.xml><?xml version="1.0" encoding="utf-8"?>
<styleSheet xmlns="http://schemas.openxmlformats.org/spreadsheetml/2006/main">
  <numFmts count="1">
    <numFmt numFmtId="164" formatCode="0.0"/>
  </numFmts>
  <fonts count="6">
    <font>
      <name val="Calibri"/>
      <family val="2"/>
      <color theme="1"/>
      <sz val="11"/>
      <scheme val="minor"/>
    </font>
    <font>
      <name val="Microsoft YaHei"/>
      <b val="1"/>
      <color rgb="00FFFFFF"/>
      <sz val="16"/>
    </font>
    <font>
      <name val="Microsoft YaHei"/>
      <b val="1"/>
      <color rgb="00FFFFFF"/>
      <sz val="10"/>
    </font>
    <font>
      <name val="Microsoft YaHei"/>
      <color rgb="001F2937"/>
      <sz val="10"/>
    </font>
    <font>
      <name val="Microsoft YaHei"/>
      <b val="1"/>
      <color rgb="0017365D"/>
      <sz val="12"/>
    </font>
    <font>
      <name val="Microsoft YaHei"/>
      <b val="1"/>
      <color rgb="0017365D"/>
      <sz val="11"/>
    </font>
  </fonts>
  <fills count="7">
    <fill>
      <patternFill/>
    </fill>
    <fill>
      <patternFill patternType="gray125"/>
    </fill>
    <fill>
      <patternFill patternType="solid">
        <fgColor rgb="0017365D"/>
      </patternFill>
    </fill>
    <fill>
      <patternFill patternType="solid">
        <fgColor rgb="00D9EAF7"/>
      </patternFill>
    </fill>
    <fill>
      <patternFill patternType="solid">
        <fgColor rgb="001F4E78"/>
      </patternFill>
    </fill>
    <fill>
      <patternFill patternType="solid">
        <fgColor rgb="00FFFFFF"/>
      </patternFill>
    </fill>
    <fill>
      <patternFill patternType="solid">
        <fgColor rgb="00F1F4F6"/>
      </patternFill>
    </fill>
  </fills>
  <borders count="2">
    <border>
      <left/>
      <right/>
      <top/>
      <bottom/>
      <diagonal/>
    </border>
    <border>
      <bottom style="thin">
        <color rgb="00D9E2F3"/>
      </bottom>
    </border>
  </borders>
  <cellStyleXfs count="1">
    <xf numFmtId="0" fontId="0" fillId="0" borderId="0"/>
  </cellStyleXfs>
  <cellXfs count="9">
    <xf numFmtId="0" fontId="0" fillId="0" borderId="0" pivotButton="0" quotePrefix="0" xfId="0"/>
    <xf numFmtId="0" fontId="1" fillId="2" borderId="0" applyAlignment="1" pivotButton="0" quotePrefix="0" xfId="0">
      <alignment horizontal="left" vertical="center"/>
    </xf>
    <xf numFmtId="0" fontId="0" fillId="3" borderId="0" applyAlignment="1" pivotButton="0" quotePrefix="0" xfId="0">
      <alignment vertical="center" wrapText="1"/>
    </xf>
    <xf numFmtId="0" fontId="2" fillId="4" borderId="1" applyAlignment="1" pivotButton="0" quotePrefix="0" xfId="0">
      <alignment horizontal="center" vertical="center" wrapText="1"/>
    </xf>
    <xf numFmtId="0" fontId="3" fillId="5" borderId="1" applyAlignment="1" applyProtection="1" pivotButton="0" quotePrefix="0" xfId="0">
      <alignment vertical="center" wrapText="1"/>
      <protection locked="0" hidden="0"/>
    </xf>
    <xf numFmtId="0" fontId="3" fillId="6" borderId="1" applyAlignment="1" applyProtection="1" pivotButton="0" quotePrefix="0" xfId="0">
      <alignment vertical="center" wrapText="1"/>
      <protection locked="1" hidden="1"/>
    </xf>
    <xf numFmtId="0" fontId="3" fillId="5" borderId="1" applyAlignment="1" pivotButton="0" quotePrefix="0" xfId="0">
      <alignment vertical="center" wrapText="1"/>
    </xf>
    <xf numFmtId="164" fontId="4" fillId="6" borderId="1" applyAlignment="1" pivotButton="0" quotePrefix="0" xfId="0">
      <alignment vertical="center" wrapText="1"/>
    </xf>
    <xf numFmtId="0" fontId="5" fillId="3" borderId="0" pivotButton="0" quotePrefix="0" xfId="0"/>
  </cellXfs>
  <cellStyles count="1">
    <cellStyle name="Normal" xfId="0" builtinId="0" hidden="0"/>
  </cellStyles>
  <dxfs count="1">
    <dxf>
      <fill>
        <patternFill patternType="solid">
          <fgColor rgb="00FCE8E6"/>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ables/table1.xml><?xml version="1.0" encoding="utf-8"?>
<table xmlns="http://schemas.openxmlformats.org/spreadsheetml/2006/main" id="1" name="SOWStoryTable" displayName="SOWStoryTable" ref="A4:J27" headerRowCount="1">
  <autoFilter ref="A4:J27"/>
  <tableColumns count="10">
    <tableColumn id="1" name="需求"/>
    <tableColumn id="2" name="子需求"/>
    <tableColumn id="3" name="故事"/>
    <tableColumn id="4" name="UAT适用"/>
    <tableColumn id="5" name="验收条件"/>
    <tableColumn id="6" name="备注"/>
    <tableColumn id="7" name="任务列表">
      <calculatedColumnFormula array="1">IF($J5="","",IFERROR(_xlfn.TEXTJOIN(CHAR(10),TRUE,IF('02-任务清单'!$A$5:INDEX('02-任务清单'!$A:$A,MAX(5,COUNTA('02-任务清单'!$A:$A)+1))=$J5,"• "&amp;'02-任务清单'!$B$5:INDEX('02-任务清单'!$B:$B,MAX(5,COUNTA('02-任务清单'!$A:$A)+1)),"")),""))</calculatedColumnFormula>
    </tableColumn>
    <tableColumn id="8" name="故事人天">
      <calculatedColumnFormula>IF($J5="","",CEILING(SUMIFS('02-任务清单'!$I:$I,'02-任务清单'!$A:$A,$J5),INDEX('90-估算标准'!$R$5:$R$12,MATCH("ROUND_STORY",'90-估算标准'!$P$5:$P$12,0))))</calculatedColumnFormula>
    </tableColumn>
    <tableColumn id="9" name="校验结果">
      <calculatedColumnFormula>IF(COUNTA($A5:$F5)=0,"",IF(OR($A5="",$B5="",$C5="",$D5="",$E5=""),"必填项缺失",IF(COUNTIF($C:$C,$C5)&gt;1,"故事名称重复",IF(COUNTIF($J:$J,$J5)&gt;1,"故事路径重复",IF(AND($D5&lt;&gt;"是",$D5&lt;&gt;"否"),"UAT适用值非法",IF(COUNTIF('02-任务清单'!$A:$A,$J5)=0,"故事缺少任务","通过"))))))</calculatedColumnFormula>
    </tableColumn>
    <tableColumn id="10" name="故事路径">
      <calculatedColumnFormula>IF(OR($A5="",$B5="",$C5=""),"",$A5&amp;" &gt; "&amp;$B5&amp;" &gt; "&amp;$C5)</calculatedColumnFormula>
    </tableColumn>
  </tableColumns>
  <tableStyleInfo name="TableStyleMedium2" showFirstColumn="0" showLastColumn="0" showRowStripes="1" showColumnStripes="0"/>
</table>
</file>

<file path=xl/tables/table2.xml><?xml version="1.0" encoding="utf-8"?>
<table xmlns="http://schemas.openxmlformats.org/spreadsheetml/2006/main" id="2" name="TaskTable" displayName="TaskTable" ref="A4:K50" headerRowCount="1">
  <autoFilter ref="A4:K50"/>
  <tableColumns count="11">
    <tableColumn id="1" name="所属故事"/>
    <tableColumn id="2" name="任务名称"/>
    <tableColumn id="3" name="任务类型"/>
    <tableColumn id="4" name="工作方式"/>
    <tableColumn id="5" name="复杂度"/>
    <tableColumn id="6" name="备注"/>
    <tableColumn id="7" name="M档标准人天">
      <calculatedColumnFormula>IFERROR(IF($D5="新建",INDEX('90-估算标准'!$H$5:$H$41,MATCH($C5,'90-估算标准'!$D$5:$D$41,0)),IF($D5="调整",INDEX('90-估算标准'!$I$5:$I$41,MATCH($C5,'90-估算标准'!$D$5:$D$41,0)),IF($D5="接入复用",INDEX('90-估算标准'!$J$5:$J$41,MATCH($C5,'90-估算标准'!$D$5:$D$41,0)),""))),"")</calculatedColumnFormula>
    </tableColumn>
    <tableColumn id="8" name="复杂度系数">
      <calculatedColumnFormula>IFERROR(INDEX('90-估算标准'!$R$5:$R$12,MATCH("K_COMPLEXITY_"&amp;$E5,'90-估算标准'!$P$5:$P$12,0)),"")</calculatedColumnFormula>
    </tableColumn>
    <tableColumn id="9" name="任务人天">
      <calculatedColumnFormula>IF(OR(NOT(ISNUMBER($G5)),NOT(ISNUMBER($H5))),"",ROUND($G5*$H5,1))</calculatedColumnFormula>
    </tableColumn>
    <tableColumn id="10" name="SIT支持人天">
      <calculatedColumnFormula>IF($C5="内部系统对接",ROUND(INDEX('90-估算标准'!$R$5:$R$12,MATCH("SIT_INT_SUPPORT",'90-估算标准'!$P$5:$P$12,0))*$H5,1),IF($C5="外部系统对接",ROUND(INDEX('90-估算标准'!$R$5:$R$12,MATCH("SIT_EXT_SUPPORT",'90-估算标准'!$P$5:$P$12,0))*$H5,1),0))</calculatedColumnFormula>
    </tableColumn>
    <tableColumn id="11" name="校验结果">
      <calculatedColumnFormula>IF(COUNTA($A5:$F5)=0,"",IF(OR($A5="",$B5="",$C5="",$D5="",$E5=""),"必填项缺失",IF(COUNTIF($B:$B,$B5)&gt;1,"任务名称重复",IF(COUNTIF('01-需求故事'!$J:$J,$A5)&lt;&gt;1,"所属故事未知",IF(OR($E5="S",$E5="M",$E5="L"),IF(ISNUMBER($G5),"通过","任务类型与工作方式不适用"),"复杂度非法")))))</calculatedColumnFormula>
    </tableColumn>
  </tableColumns>
  <tableStyleInfo name="TableStyleMedium2" showFirstColumn="0" showLastColumn="0" showRowStripes="1" showColumnStripes="0"/>
</table>
</file>

<file path=xl/tables/table3.xml><?xml version="1.0" encoding="utf-8"?>
<table xmlns="http://schemas.openxmlformats.org/spreadsheetml/2006/main" id="3" name="ProjectSummaryTable" displayName="ProjectSummaryTable" ref="A4:B8" headerRowCount="1">
  <autoFilter ref="A4:B8"/>
  <tableColumns count="2">
    <tableColumn id="1" name="工作量项"/>
    <tableColumn id="2" name="人天"/>
  </tableColumns>
  <tableStyleInfo name="TableStyleMedium2" showFirstColumn="0" showLastColumn="0" showRowStripes="1" showColumnStripes="0"/>
</table>
</file>

<file path=xl/tables/table4.xml><?xml version="1.0" encoding="utf-8"?>
<table xmlns="http://schemas.openxmlformats.org/spreadsheetml/2006/main" id="4" name="BaseUnitCatalogTable" displayName="BaseUnitCatalogTable" ref="A4:N41" headerRowCount="1">
  <autoFilter ref="A4:N41"/>
  <tableColumns count="14">
    <tableColumn id="1" name="任务族ID"/>
    <tableColumn id="2" name="任务族名称"/>
    <tableColumn id="3" name="基础单元ID"/>
    <tableColumn id="4" name="基础单元名称"/>
    <tableColumn id="5" name="计数口径"/>
    <tableColumn id="6" name="包含内容"/>
    <tableColumn id="7" name="不包含内容"/>
    <tableColumn id="8" name="新建M档人天"/>
    <tableColumn id="9" name="调整M档人天"/>
    <tableColumn id="10" name="接入复用M档人天"/>
    <tableColumn id="11" name="S标准"/>
    <tableColumn id="12" name="M标准"/>
    <tableColumn id="13" name="L标准"/>
    <tableColumn id="14" name="X/拆分条件"/>
  </tableColumns>
  <tableStyleInfo name="TableStyleMedium2" showFirstColumn="0" showLastColumn="0" showRowStripes="1" showColumnStripes="0"/>
</table>
</file>

<file path=xl/tables/table5.xml><?xml version="1.0" encoding="utf-8"?>
<table xmlns="http://schemas.openxmlformats.org/spreadsheetml/2006/main" id="5" name="ProjectParameterTable" displayName="ProjectParameterTable" ref="P4:U12" headerRowCount="1">
  <autoFilter ref="P4:U12"/>
  <tableColumns count="6">
    <tableColumn id="16" name="参数代码"/>
    <tableColumn id="17" name="名称"/>
    <tableColumn id="18" name="值"/>
    <tableColumn id="19" name="单位"/>
    <tableColumn id="20" name="适用范围"/>
    <tableColumn id="21" name="验证状态/说明"/>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_rels/sheet4.xml.rels><Relationships xmlns="http://schemas.openxmlformats.org/package/2006/relationships"><Relationship Type="http://schemas.openxmlformats.org/officeDocument/2006/relationships/table" Target="/xl/tables/table4.xml" Id="rId1" /><Relationship Type="http://schemas.openxmlformats.org/officeDocument/2006/relationships/table" Target="/xl/tables/table5.xml" Id="rId2" /></Relationships>
</file>

<file path=xl/worksheets/sheet1.xml><?xml version="1.0" encoding="utf-8"?>
<worksheet xmlns="http://schemas.openxmlformats.org/spreadsheetml/2006/main">
  <sheetPr>
    <outlinePr summaryBelow="1" summaryRight="1"/>
    <pageSetUpPr fitToPage="1"/>
  </sheetPr>
  <dimension ref="A1:J27"/>
  <sheetViews>
    <sheetView showGridLines="0" workbookViewId="0">
      <pane ySplit="4" topLeftCell="A5" activePane="bottomLeft" state="frozen"/>
      <selection pane="bottomLeft" activeCell="A1" sqref="A1"/>
    </sheetView>
  </sheetViews>
  <sheetFormatPr baseColWidth="8" defaultRowHeight="15"/>
  <cols>
    <col width="18" customWidth="1" min="1" max="1"/>
    <col width="20" customWidth="1" min="2" max="2"/>
    <col width="28" customWidth="1" min="3" max="3"/>
    <col width="12" customWidth="1" min="4" max="4"/>
    <col width="46" customWidth="1" min="5" max="5"/>
    <col width="30" customWidth="1" min="6" max="6"/>
    <col width="38" customWidth="1" min="7" max="7"/>
    <col width="12" customWidth="1" min="8" max="8"/>
    <col width="24" customWidth="1" min="9" max="9"/>
    <col hidden="1" width="44" customWidth="1" min="10" max="10"/>
  </cols>
  <sheetData>
    <row r="1" ht="30" customHeight="1">
      <c r="A1" s="1" t="inlineStr">
        <is>
          <t>需求故事</t>
        </is>
      </c>
    </row>
    <row r="2" ht="34" customHeight="1">
      <c r="A2" s="2" t="inlineStr">
        <is>
          <t>每个 Story 一行；需求和子需求重复填写。验收条件可在同一单元格内换行。灰色列由公式维护。</t>
        </is>
      </c>
    </row>
    <row r="3"/>
    <row r="4" ht="30" customHeight="1">
      <c r="A4" s="3" t="inlineStr">
        <is>
          <t>需求</t>
        </is>
      </c>
      <c r="B4" s="3" t="inlineStr">
        <is>
          <t>子需求</t>
        </is>
      </c>
      <c r="C4" s="3" t="inlineStr">
        <is>
          <t>故事</t>
        </is>
      </c>
      <c r="D4" s="3" t="inlineStr">
        <is>
          <t>UAT适用</t>
        </is>
      </c>
      <c r="E4" s="3" t="inlineStr">
        <is>
          <t>验收条件</t>
        </is>
      </c>
      <c r="F4" s="3" t="inlineStr">
        <is>
          <t>备注</t>
        </is>
      </c>
      <c r="G4" s="3" t="inlineStr">
        <is>
          <t>任务列表</t>
        </is>
      </c>
      <c r="H4" s="3" t="inlineStr">
        <is>
          <t>故事人天</t>
        </is>
      </c>
      <c r="I4" s="3" t="inlineStr">
        <is>
          <t>校验结果</t>
        </is>
      </c>
      <c r="J4" s="3" t="inlineStr">
        <is>
          <t>故事路径</t>
        </is>
      </c>
    </row>
    <row r="5" ht="42" customHeight="1">
      <c r="A5" s="4" t="inlineStr">
        <is>
          <t>会员与客户管理</t>
        </is>
      </c>
      <c r="B5" s="4" t="inlineStr">
        <is>
          <t>创建并查看客户档案</t>
        </is>
      </c>
      <c r="C5" s="4" t="inlineStr">
        <is>
          <t>创建并查看客户档案</t>
        </is>
      </c>
      <c r="D5" s="4" t="inlineStr">
        <is>
          <t>是</t>
        </is>
      </c>
      <c r="E5" s="4" t="inlineStr">
        <is>
          <t>用户保存档案后可以查看授权范围内的最新字段。
档案变更记录包含操作者、时间和变更字段。</t>
        </is>
      </c>
      <c r="F5" s="4" t="inlineStr">
        <is>
          <t>交付档案扩展字段、校验、授权展示和可追溯查看流程。</t>
        </is>
      </c>
      <c r="G5" s="5">
        <f t="array" ref="G5">IF($J5="","",IFERROR(_xlfn.TEXTJOIN(CHAR(10),TRUE,IF('02-任务清单'!$A$5:INDEX('02-任务清单'!$A:$A,MAX(5,COUNTA('02-任务清单'!$A:$A)+1))=$J5,"• "&amp;'02-任务清单'!$B$5:INDEX('02-任务清单'!$B:$B,MAX(5,COUNTA('02-任务清单'!$A:$A)+1)),"")),""))</f>
        <v/>
      </c>
      <c r="H5" s="5">
        <f>IF($J5="","",CEILING(SUMIFS('02-任务清单'!$I:$I,'02-任务清单'!$A:$A,$J5),INDEX('90-估算标准'!$R$5:$R$12,MATCH("ROUND_STORY",'90-估算标准'!$P$5:$P$12,0))))</f>
        <v/>
      </c>
      <c r="I5" s="5">
        <f>IF(COUNTA($A5:$F5)=0,"",IF(OR($A5="",$B5="",$C5="",$D5="",$E5=""),"必填项缺失",IF(COUNTIF($C:$C,$C5)&gt;1,"故事名称重复",IF(COUNTIF($J:$J,$J5)&gt;1,"故事路径重复",IF(AND($D5&lt;&gt;"是",$D5&lt;&gt;"否"),"UAT适用值非法",IF(COUNTIF('02-任务清单'!$A:$A,$J5)=0,"故事缺少任务","通过"))))))</f>
        <v/>
      </c>
      <c r="J5" s="5">
        <f>IF(OR($A5="",$B5="",$C5=""),"",$A5&amp;" &gt; "&amp;$B5&amp;" &gt; "&amp;$C5)</f>
        <v/>
      </c>
    </row>
    <row r="6" ht="49" customHeight="1">
      <c r="A6" s="4" t="inlineStr">
        <is>
          <t>平台与服务边界</t>
        </is>
      </c>
      <c r="B6" s="4" t="inlineStr">
        <is>
          <t>客户档案操作 API</t>
        </is>
      </c>
      <c r="C6" s="4" t="inlineStr">
        <is>
          <t>提供客户档案操作</t>
        </is>
      </c>
      <c r="D6" s="4" t="inlineStr">
        <is>
          <t>是</t>
        </is>
      </c>
      <c r="E6" s="4" t="inlineStr">
        <is>
          <t>渠道可以通过已发布 API 创建、维护和检索客户档案。
未授权角色无法读取敏感字段且访问留痕。</t>
        </is>
      </c>
      <c r="F6" s="4" t="inlineStr">
        <is>
          <t>交付客户档案创建、维护和检索 API。</t>
        </is>
      </c>
      <c r="G6" s="5">
        <f t="array" ref="G6">IF($J6="","",IFERROR(_xlfn.TEXTJOIN(CHAR(10),TRUE,IF('02-任务清单'!$A$5:INDEX('02-任务清单'!$A:$A,MAX(5,COUNTA('02-任务清单'!$A:$A)+1))=$J6,"• "&amp;'02-任务清单'!$B$5:INDEX('02-任务清单'!$B:$B,MAX(5,COUNTA('02-任务清单'!$A:$A)+1)),"")),""))</f>
        <v/>
      </c>
      <c r="H6" s="5">
        <f>IF($J6="","",CEILING(SUMIFS('02-任务清单'!$I:$I,'02-任务清单'!$A:$A,$J6),INDEX('90-估算标准'!$R$5:$R$12,MATCH("ROUND_STORY",'90-估算标准'!$P$5:$P$12,0))))</f>
        <v/>
      </c>
      <c r="I6" s="5">
        <f>IF(COUNTA($A6:$F6)=0,"",IF(OR($A6="",$B6="",$C6="",$D6="",$E6=""),"必填项缺失",IF(COUNTIF($C:$C,$C6)&gt;1,"故事名称重复",IF(COUNTIF($J:$J,$J6)&gt;1,"故事路径重复",IF(AND($D6&lt;&gt;"是",$D6&lt;&gt;"否"),"UAT适用值非法",IF(COUNTIF('02-任务清单'!$A:$A,$J6)=0,"故事缺少任务","通过"))))))</f>
        <v/>
      </c>
      <c r="J6" s="5">
        <f>IF(OR($A6="",$B6="",$C6=""),"",$A6&amp;" &gt; "&amp;$B6&amp;" &gt; "&amp;$C6)</f>
        <v/>
      </c>
    </row>
    <row r="7" ht="42" customHeight="1">
      <c r="A7" s="4" t="inlineStr">
        <is>
          <t>平台与服务边界</t>
        </is>
      </c>
      <c r="B7" s="4" t="inlineStr">
        <is>
          <t>客户档案操作 API</t>
        </is>
      </c>
      <c r="C7" s="4" t="inlineStr">
        <is>
          <t>集成会员主数据查询</t>
        </is>
      </c>
      <c r="D7" s="4" t="inlineStr">
        <is>
          <t>是</t>
        </is>
      </c>
      <c r="E7" s="4" t="inlineStr">
        <is>
          <t>星云会员门户可以通过内部接口检索统一会员号和档案。</t>
        </is>
      </c>
      <c r="F7" s="4" t="inlineStr">
        <is>
          <t>会员门户通过内部接口查询统一会员号和授权范围内的档案。</t>
        </is>
      </c>
      <c r="G7" s="5">
        <f t="array" ref="G7">IF($J7="","",IFERROR(_xlfn.TEXTJOIN(CHAR(10),TRUE,IF('02-任务清单'!$A$5:INDEX('02-任务清单'!$A:$A,MAX(5,COUNTA('02-任务清单'!$A:$A)+1))=$J7,"• "&amp;'02-任务清单'!$B$5:INDEX('02-任务清单'!$B:$B,MAX(5,COUNTA('02-任务清单'!$A:$A)+1)),"")),""))</f>
        <v/>
      </c>
      <c r="H7" s="5">
        <f>IF($J7="","",CEILING(SUMIFS('02-任务清单'!$I:$I,'02-任务清单'!$A:$A,$J7),INDEX('90-估算标准'!$R$5:$R$12,MATCH("ROUND_STORY",'90-估算标准'!$P$5:$P$12,0))))</f>
        <v/>
      </c>
      <c r="I7" s="5">
        <f>IF(COUNTA($A7:$F7)=0,"",IF(OR($A7="",$B7="",$C7="",$D7="",$E7=""),"必填项缺失",IF(COUNTIF($C:$C,$C7)&gt;1,"故事名称重复",IF(COUNTIF($J:$J,$J7)&gt;1,"故事路径重复",IF(AND($D7&lt;&gt;"是",$D7&lt;&gt;"否"),"UAT适用值非法",IF(COUNTIF('02-任务清单'!$A:$A,$J7)=0,"故事缺少任务","通过"))))))</f>
        <v/>
      </c>
      <c r="J7" s="5">
        <f>IF(OR($A7="",$B7="",$C7=""),"",$A7&amp;" &gt; "&amp;$B7&amp;" &gt; "&amp;$C7)</f>
        <v/>
      </c>
    </row>
    <row r="8" ht="42" customHeight="1">
      <c r="A8" s="4" t="inlineStr">
        <is>
          <t>会员与客户管理</t>
        </is>
      </c>
      <c r="B8" s="4" t="inlineStr">
        <is>
          <t>会员等级计算与版本</t>
        </is>
      </c>
      <c r="C8" s="4" t="inlineStr">
        <is>
          <t>计算并追溯会员等级</t>
        </is>
      </c>
      <c r="D8" s="4" t="inlineStr">
        <is>
          <t>是</t>
        </is>
      </c>
      <c r="E8" s="4" t="inlineStr">
        <is>
          <t>会员等级按生效规则计算且可以追溯规则版本。
等级调整后保留原等级、生效时间和调整原因。</t>
        </is>
      </c>
      <c r="F8" s="4" t="inlineStr">
        <is>
          <t>按生效规则计算等级并展示规则版本与等级历史。</t>
        </is>
      </c>
      <c r="G8" s="5">
        <f t="array" ref="G8">IF($J8="","",IFERROR(_xlfn.TEXTJOIN(CHAR(10),TRUE,IF('02-任务清单'!$A$5:INDEX('02-任务清单'!$A:$A,MAX(5,COUNTA('02-任务清单'!$A:$A)+1))=$J8,"• "&amp;'02-任务清单'!$B$5:INDEX('02-任务清单'!$B:$B,MAX(5,COUNTA('02-任务清单'!$A:$A)+1)),"")),""))</f>
        <v/>
      </c>
      <c r="H8" s="5">
        <f>IF($J8="","",CEILING(SUMIFS('02-任务清单'!$I:$I,'02-任务清单'!$A:$A,$J8),INDEX('90-估算标准'!$R$5:$R$12,MATCH("ROUND_STORY",'90-估算标准'!$P$5:$P$12,0))))</f>
        <v/>
      </c>
      <c r="I8" s="5">
        <f>IF(COUNTA($A8:$F8)=0,"",IF(OR($A8="",$B8="",$C8="",$D8="",$E8=""),"必填项缺失",IF(COUNTIF($C:$C,$C8)&gt;1,"故事名称重复",IF(COUNTIF($J:$J,$J8)&gt;1,"故事路径重复",IF(AND($D8&lt;&gt;"是",$D8&lt;&gt;"否"),"UAT适用值非法",IF(COUNTIF('02-任务清单'!$A:$A,$J8)=0,"故事缺少任务","通过"))))))</f>
        <v/>
      </c>
      <c r="J8" s="5">
        <f>IF(OR($A8="",$B8="",$C8=""),"",$A8&amp;" &gt; "&amp;$B8&amp;" &gt; "&amp;$C8)</f>
        <v/>
      </c>
    </row>
    <row r="9" ht="42" customHeight="1">
      <c r="A9" s="4" t="inlineStr">
        <is>
          <t>订单与履约</t>
        </is>
      </c>
      <c r="B9" s="4" t="inlineStr">
        <is>
          <t>统一订单编排与状态机</t>
        </is>
      </c>
      <c r="C9" s="4" t="inlineStr">
        <is>
          <t>统一创建全渠道订单</t>
        </is>
      </c>
      <c r="D9" s="4" t="inlineStr">
        <is>
          <t>是</t>
        </is>
      </c>
      <c r="E9" s="4" t="inlineStr">
        <is>
          <t>门店和线上渠道通过相同校验规则创建订单。
相同幂等键的重复请求不产生重复订单。</t>
        </is>
      </c>
      <c r="F9" s="4" t="inlineStr">
        <is>
          <t>门店和线上渠道使用统一校验创建订单。</t>
        </is>
      </c>
      <c r="G9" s="5">
        <f t="array" ref="G9">IF($J9="","",IFERROR(_xlfn.TEXTJOIN(CHAR(10),TRUE,IF('02-任务清单'!$A$5:INDEX('02-任务清单'!$A:$A,MAX(5,COUNTA('02-任务清单'!$A:$A)+1))=$J9,"• "&amp;'02-任务清单'!$B$5:INDEX('02-任务清单'!$B:$B,MAX(5,COUNTA('02-任务清单'!$A:$A)+1)),"")),""))</f>
        <v/>
      </c>
      <c r="H9" s="5">
        <f>IF($J9="","",CEILING(SUMIFS('02-任务清单'!$I:$I,'02-任务清单'!$A:$A,$J9),INDEX('90-估算标准'!$R$5:$R$12,MATCH("ROUND_STORY",'90-估算标准'!$P$5:$P$12,0))))</f>
        <v/>
      </c>
      <c r="I9" s="5">
        <f>IF(COUNTA($A9:$F9)=0,"",IF(OR($A9="",$B9="",$C9="",$D9="",$E9=""),"必填项缺失",IF(COUNTIF($C:$C,$C9)&gt;1,"故事名称重复",IF(COUNTIF($J:$J,$J9)&gt;1,"故事路径重复",IF(AND($D9&lt;&gt;"是",$D9&lt;&gt;"否"),"UAT适用值非法",IF(COUNTIF('02-任务清单'!$A:$A,$J9)=0,"故事缺少任务","通过"))))))</f>
        <v/>
      </c>
      <c r="J9" s="5">
        <f>IF(OR($A9="",$B9="",$C9=""),"",$A9&amp;" &gt; "&amp;$B9&amp;" &gt; "&amp;$C9)</f>
        <v/>
      </c>
    </row>
    <row r="10" ht="42" customHeight="1">
      <c r="A10" s="4" t="inlineStr">
        <is>
          <t>订单与履约</t>
        </is>
      </c>
      <c r="B10" s="4" t="inlineStr">
        <is>
          <t>统一订单编排与状态机</t>
        </is>
      </c>
      <c r="C10" s="4" t="inlineStr">
        <is>
          <t>驱动订单状态与事件</t>
        </is>
      </c>
      <c r="D10" s="4" t="inlineStr">
        <is>
          <t>是</t>
        </is>
      </c>
      <c r="E10" s="4" t="inlineStr">
        <is>
          <t>合法命令驱动状态变化并记录来源、时间和事件编号。</t>
        </is>
      </c>
      <c r="F10" s="4" t="inlineStr">
        <is>
          <t>订单命令按状态机幂等执行并发布可追踪事件。</t>
        </is>
      </c>
      <c r="G10" s="5">
        <f t="array" ref="G10">IF($J10="","",IFERROR(_xlfn.TEXTJOIN(CHAR(10),TRUE,IF('02-任务清单'!$A$5:INDEX('02-任务清单'!$A:$A,MAX(5,COUNTA('02-任务清单'!$A:$A)+1))=$J10,"• "&amp;'02-任务清单'!$B$5:INDEX('02-任务清单'!$B:$B,MAX(5,COUNTA('02-任务清单'!$A:$A)+1)),"")),""))</f>
        <v/>
      </c>
      <c r="H10" s="5">
        <f>IF($J10="","",CEILING(SUMIFS('02-任务清单'!$I:$I,'02-任务清单'!$A:$A,$J10),INDEX('90-估算标准'!$R$5:$R$12,MATCH("ROUND_STORY",'90-估算标准'!$P$5:$P$12,0))))</f>
        <v/>
      </c>
      <c r="I10" s="5">
        <f>IF(COUNTA($A10:$F10)=0,"",IF(OR($A10="",$B10="",$C10="",$D10="",$E10=""),"必填项缺失",IF(COUNTIF($C:$C,$C10)&gt;1,"故事名称重复",IF(COUNTIF($J:$J,$J10)&gt;1,"故事路径重复",IF(AND($D10&lt;&gt;"是",$D10&lt;&gt;"否"),"UAT适用值非法",IF(COUNTIF('02-任务清单'!$A:$A,$J10)=0,"故事缺少任务","通过"))))))</f>
        <v/>
      </c>
      <c r="J10" s="5">
        <f>IF(OR($A10="",$B10="",$C10=""),"",$A10&amp;" &gt; "&amp;$B10&amp;" &gt; "&amp;$C10)</f>
        <v/>
      </c>
    </row>
    <row r="11" ht="42" customHeight="1">
      <c r="A11" s="4" t="inlineStr">
        <is>
          <t>订单与履约</t>
        </is>
      </c>
      <c r="B11" s="4" t="inlineStr">
        <is>
          <t>库存预占与释放</t>
        </is>
      </c>
      <c r="C11" s="4" t="inlineStr">
        <is>
          <t>预占和释放 ERP 库存</t>
        </is>
      </c>
      <c r="D11" s="4" t="inlineStr">
        <is>
          <t>是</t>
        </is>
      </c>
      <c r="E11" s="4" t="inlineStr">
        <is>
          <t>订单确认和取消分别完成库存预占与释放。
ERP 超时重试不会产生重复预占。</t>
        </is>
      </c>
      <c r="F11" s="4" t="inlineStr">
        <is>
          <t>订单确认或取消时调用 ERP，并处理超时、重试和重复请求。</t>
        </is>
      </c>
      <c r="G11" s="5">
        <f t="array" ref="G11">IF($J11="","",IFERROR(_xlfn.TEXTJOIN(CHAR(10),TRUE,IF('02-任务清单'!$A$5:INDEX('02-任务清单'!$A:$A,MAX(5,COUNTA('02-任务清单'!$A:$A)+1))=$J11,"• "&amp;'02-任务清单'!$B$5:INDEX('02-任务清单'!$B:$B,MAX(5,COUNTA('02-任务清单'!$A:$A)+1)),"")),""))</f>
        <v/>
      </c>
      <c r="H11" s="5">
        <f>IF($J11="","",CEILING(SUMIFS('02-任务清单'!$I:$I,'02-任务清单'!$A:$A,$J11),INDEX('90-估算标准'!$R$5:$R$12,MATCH("ROUND_STORY",'90-估算标准'!$P$5:$P$12,0))))</f>
        <v/>
      </c>
      <c r="I11" s="5">
        <f>IF(COUNTA($A11:$F11)=0,"",IF(OR($A11="",$B11="",$C11="",$D11="",$E11=""),"必填项缺失",IF(COUNTIF($C:$C,$C11)&gt;1,"故事名称重复",IF(COUNTIF($J:$J,$J11)&gt;1,"故事路径重复",IF(AND($D11&lt;&gt;"是",$D11&lt;&gt;"否"),"UAT适用值非法",IF(COUNTIF('02-任务清单'!$A:$A,$J11)=0,"故事缺少任务","通过"))))))</f>
        <v/>
      </c>
      <c r="J11" s="5">
        <f>IF(OR($A11="",$B11="",$C11=""),"",$A11&amp;" &gt; "&amp;$B11&amp;" &gt; "&amp;$C11)</f>
        <v/>
      </c>
    </row>
    <row r="12" ht="42" customHeight="1">
      <c r="A12" s="4" t="inlineStr">
        <is>
          <t>订单与履约</t>
        </is>
      </c>
      <c r="B12" s="4" t="inlineStr">
        <is>
          <t>退货退款闭环</t>
        </is>
      </c>
      <c r="C12" s="4" t="inlineStr">
        <is>
          <t>提交并审核退货申请</t>
        </is>
      </c>
      <c r="D12" s="4" t="inlineStr">
        <is>
          <t>是</t>
        </is>
      </c>
      <c r="E12" s="4" t="inlineStr">
        <is>
          <t>系统拒绝超过可退数量的申请并记录审核结果。</t>
        </is>
      </c>
      <c r="F12" s="4" t="inlineStr">
        <is>
          <t>门店或客服提交退货，系统校验可退数量并记录审核结果。</t>
        </is>
      </c>
      <c r="G12" s="5">
        <f t="array" ref="G12">IF($J12="","",IFERROR(_xlfn.TEXTJOIN(CHAR(10),TRUE,IF('02-任务清单'!$A$5:INDEX('02-任务清单'!$A:$A,MAX(5,COUNTA('02-任务清单'!$A:$A)+1))=$J12,"• "&amp;'02-任务清单'!$B$5:INDEX('02-任务清单'!$B:$B,MAX(5,COUNTA('02-任务清单'!$A:$A)+1)),"")),""))</f>
        <v/>
      </c>
      <c r="H12" s="5">
        <f>IF($J12="","",CEILING(SUMIFS('02-任务清单'!$I:$I,'02-任务清单'!$A:$A,$J12),INDEX('90-估算标准'!$R$5:$R$12,MATCH("ROUND_STORY",'90-估算标准'!$P$5:$P$12,0))))</f>
        <v/>
      </c>
      <c r="I12" s="5">
        <f>IF(COUNTA($A12:$F12)=0,"",IF(OR($A12="",$B12="",$C12="",$D12="",$E12=""),"必填项缺失",IF(COUNTIF($C:$C,$C12)&gt;1,"故事名称重复",IF(COUNTIF($J:$J,$J12)&gt;1,"故事路径重复",IF(AND($D12&lt;&gt;"是",$D12&lt;&gt;"否"),"UAT适用值非法",IF(COUNTIF('02-任务清单'!$A:$A,$J12)=0,"故事缺少任务","通过"))))))</f>
        <v/>
      </c>
      <c r="J12" s="5">
        <f>IF(OR($A12="",$B12="",$C12=""),"",$A12&amp;" &gt; "&amp;$B12&amp;" &gt; "&amp;$C12)</f>
        <v/>
      </c>
    </row>
    <row r="13" ht="42" customHeight="1">
      <c r="A13" s="4" t="inlineStr">
        <is>
          <t>订单与履约</t>
        </is>
      </c>
      <c r="B13" s="4" t="inlineStr">
        <is>
          <t>退货退款闭环</t>
        </is>
      </c>
      <c r="C13" s="4" t="inlineStr">
        <is>
          <t>发起退款并回写结果</t>
        </is>
      </c>
      <c r="D13" s="4" t="inlineStr">
        <is>
          <t>是</t>
        </is>
      </c>
      <c r="E13" s="4" t="inlineStr">
        <is>
          <t>退款结果回写订单且同一退货单不重复退款。</t>
        </is>
      </c>
      <c r="F13" s="4" t="inlineStr">
        <is>
          <t>通过外部支付网关发起退款，处理异步结果并回写订单。</t>
        </is>
      </c>
      <c r="G13" s="5">
        <f t="array" ref="G13">IF($J13="","",IFERROR(_xlfn.TEXTJOIN(CHAR(10),TRUE,IF('02-任务清单'!$A$5:INDEX('02-任务清单'!$A:$A,MAX(5,COUNTA('02-任务清单'!$A:$A)+1))=$J13,"• "&amp;'02-任务清单'!$B$5:INDEX('02-任务清单'!$B:$B,MAX(5,COUNTA('02-任务清单'!$A:$A)+1)),"")),""))</f>
        <v/>
      </c>
      <c r="H13" s="5">
        <f>IF($J13="","",CEILING(SUMIFS('02-任务清单'!$I:$I,'02-任务清单'!$A:$A,$J13),INDEX('90-估算标准'!$R$5:$R$12,MATCH("ROUND_STORY",'90-估算标准'!$P$5:$P$12,0))))</f>
        <v/>
      </c>
      <c r="I13" s="5">
        <f>IF(COUNTA($A13:$F13)=0,"",IF(OR($A13="",$B13="",$C13="",$D13="",$E13=""),"必填项缺失",IF(COUNTIF($C:$C,$C13)&gt;1,"故事名称重复",IF(COUNTIF($J:$J,$J13)&gt;1,"故事路径重复",IF(AND($D13&lt;&gt;"是",$D13&lt;&gt;"否"),"UAT适用值非法",IF(COUNTIF('02-任务清单'!$A:$A,$J13)=0,"故事缺少任务","通过"))))))</f>
        <v/>
      </c>
      <c r="J13" s="5">
        <f>IF(OR($A13="",$B13="",$C13=""),"",$A13&amp;" &gt; "&amp;$B13&amp;" &gt; "&amp;$C13)</f>
        <v/>
      </c>
    </row>
    <row r="14" ht="42" customHeight="1">
      <c r="A14" s="4" t="inlineStr">
        <is>
          <t>全渠道运营</t>
        </is>
      </c>
      <c r="B14" s="4" t="inlineStr">
        <is>
          <t>门店接单工作台</t>
        </is>
      </c>
      <c r="C14" s="4" t="inlineStr">
        <is>
          <t>门店处理订单与交接</t>
        </is>
      </c>
      <c r="D14" s="4" t="inlineStr">
        <is>
          <t>是</t>
        </is>
      </c>
      <c r="E14" s="4" t="inlineStr">
        <is>
          <t>授权门店可以处理本店订单并完成交接记录。</t>
        </is>
      </c>
      <c r="F14" s="4" t="inlineStr">
        <is>
          <t>门店查看待处理订单、记录缺货替代并完成班次交接。</t>
        </is>
      </c>
      <c r="G14" s="5">
        <f t="array" ref="G14">IF($J14="","",IFERROR(_xlfn.TEXTJOIN(CHAR(10),TRUE,IF('02-任务清单'!$A$5:INDEX('02-任务清单'!$A:$A,MAX(5,COUNTA('02-任务清单'!$A:$A)+1))=$J14,"• "&amp;'02-任务清单'!$B$5:INDEX('02-任务清单'!$B:$B,MAX(5,COUNTA('02-任务清单'!$A:$A)+1)),"")),""))</f>
        <v/>
      </c>
      <c r="H14" s="5">
        <f>IF($J14="","",CEILING(SUMIFS('02-任务清单'!$I:$I,'02-任务清单'!$A:$A,$J14),INDEX('90-估算标准'!$R$5:$R$12,MATCH("ROUND_STORY",'90-估算标准'!$P$5:$P$12,0))))</f>
        <v/>
      </c>
      <c r="I14" s="5">
        <f>IF(COUNTA($A14:$F14)=0,"",IF(OR($A14="",$B14="",$C14="",$D14="",$E14=""),"必填项缺失",IF(COUNTIF($C:$C,$C14)&gt;1,"故事名称重复",IF(COUNTIF($J:$J,$J14)&gt;1,"故事路径重复",IF(AND($D14&lt;&gt;"是",$D14&lt;&gt;"否"),"UAT适用值非法",IF(COUNTIF('02-任务清单'!$A:$A,$J14)=0,"故事缺少任务","通过"))))))</f>
        <v/>
      </c>
      <c r="J14" s="5">
        <f>IF(OR($A14="",$B14="",$C14=""),"",$A14&amp;" &gt; "&amp;$B14&amp;" &gt; "&amp;$C14)</f>
        <v/>
      </c>
    </row>
    <row r="15" ht="42" customHeight="1">
      <c r="A15" s="4" t="inlineStr">
        <is>
          <t>全渠道运营</t>
        </is>
      </c>
      <c r="B15" s="4" t="inlineStr">
        <is>
          <t>订单状态与履约轨迹</t>
        </is>
      </c>
      <c r="C15" s="4" t="inlineStr">
        <is>
          <t>查看统一履约轨迹</t>
        </is>
      </c>
      <c r="D15" s="4" t="inlineStr">
        <is>
          <t>是</t>
        </is>
      </c>
      <c r="E15" s="4" t="inlineStr">
        <is>
          <t>顾客和客服看到一致的履约节点与异常原因。</t>
        </is>
      </c>
      <c r="F15" s="4" t="inlineStr">
        <is>
          <t>顾客和客服查看同一套状态、节点与异常原因。</t>
        </is>
      </c>
      <c r="G15" s="5">
        <f t="array" ref="G15">IF($J15="","",IFERROR(_xlfn.TEXTJOIN(CHAR(10),TRUE,IF('02-任务清单'!$A$5:INDEX('02-任务清单'!$A:$A,MAX(5,COUNTA('02-任务清单'!$A:$A)+1))=$J15,"• "&amp;'02-任务清单'!$B$5:INDEX('02-任务清单'!$B:$B,MAX(5,COUNTA('02-任务清单'!$A:$A)+1)),"")),""))</f>
        <v/>
      </c>
      <c r="H15" s="5">
        <f>IF($J15="","",CEILING(SUMIFS('02-任务清单'!$I:$I,'02-任务清单'!$A:$A,$J15),INDEX('90-估算标准'!$R$5:$R$12,MATCH("ROUND_STORY",'90-估算标准'!$P$5:$P$12,0))))</f>
        <v/>
      </c>
      <c r="I15" s="5">
        <f>IF(COUNTA($A15:$F15)=0,"",IF(OR($A15="",$B15="",$C15="",$D15="",$E15=""),"必填项缺失",IF(COUNTIF($C:$C,$C15)&gt;1,"故事名称重复",IF(COUNTIF($J:$J,$J15)&gt;1,"故事路径重复",IF(AND($D15&lt;&gt;"是",$D15&lt;&gt;"否"),"UAT适用值非法",IF(COUNTIF('02-任务清单'!$A:$A,$J15)=0,"故事缺少任务","通过"))))))</f>
        <v/>
      </c>
      <c r="J15" s="5">
        <f>IF(OR($A15="",$B15="",$C15=""),"",$A15&amp;" &gt; "&amp;$B15&amp;" &gt; "&amp;$C15)</f>
        <v/>
      </c>
    </row>
    <row r="16" ht="42" customHeight="1">
      <c r="A16" s="4" t="inlineStr">
        <is>
          <t>财务结算与经营分析</t>
        </is>
      </c>
      <c r="B16" s="4" t="inlineStr">
        <is>
          <t>支付退款日结对账</t>
        </is>
      </c>
      <c r="C16" s="4" t="inlineStr">
        <is>
          <t>执行支付退款日结对账</t>
        </is>
      </c>
      <c r="D16" s="4" t="inlineStr">
        <is>
          <t>是</t>
        </is>
      </c>
      <c r="E16" s="4" t="inlineStr">
        <is>
          <t>前一自然日交易在 07:00 前完成对账并标识差异。
每个差异项可以追溯到订单、支付交易和退款记录。</t>
        </is>
      </c>
      <c r="F16" s="4" t="inlineStr">
        <is>
          <t>每日汇总交易并标识实收、退款和手续费差异。</t>
        </is>
      </c>
      <c r="G16" s="5">
        <f t="array" ref="G16">IF($J16="","",IFERROR(_xlfn.TEXTJOIN(CHAR(10),TRUE,IF('02-任务清单'!$A$5:INDEX('02-任务清单'!$A:$A,MAX(5,COUNTA('02-任务清单'!$A:$A)+1))=$J16,"• "&amp;'02-任务清单'!$B$5:INDEX('02-任务清单'!$B:$B,MAX(5,COUNTA('02-任务清单'!$A:$A)+1)),"")),""))</f>
        <v/>
      </c>
      <c r="H16" s="5">
        <f>IF($J16="","",CEILING(SUMIFS('02-任务清单'!$I:$I,'02-任务清单'!$A:$A,$J16),INDEX('90-估算标准'!$R$5:$R$12,MATCH("ROUND_STORY",'90-估算标准'!$P$5:$P$12,0))))</f>
        <v/>
      </c>
      <c r="I16" s="5">
        <f>IF(COUNTA($A16:$F16)=0,"",IF(OR($A16="",$B16="",$C16="",$D16="",$E16=""),"必填项缺失",IF(COUNTIF($C:$C,$C16)&gt;1,"故事名称重复",IF(COUNTIF($J:$J,$J16)&gt;1,"故事路径重复",IF(AND($D16&lt;&gt;"是",$D16&lt;&gt;"否"),"UAT适用值非法",IF(COUNTIF('02-任务清单'!$A:$A,$J16)=0,"故事缺少任务","通过"))))))</f>
        <v/>
      </c>
      <c r="J16" s="5">
        <f>IF(OR($A16="",$B16="",$C16=""),"",$A16&amp;" &gt; "&amp;$B16&amp;" &gt; "&amp;$C16)</f>
        <v/>
      </c>
    </row>
    <row r="17" ht="49" customHeight="1">
      <c r="A17" s="4" t="inlineStr">
        <is>
          <t>财务结算与经营分析</t>
        </is>
      </c>
      <c r="B17" s="4" t="inlineStr">
        <is>
          <t>电子发票申请与状态</t>
        </is>
      </c>
      <c r="C17" s="4" t="inlineStr">
        <is>
          <t>申请并追踪电子发票</t>
        </is>
      </c>
      <c r="D17" s="4" t="inlineStr">
        <is>
          <t>是</t>
        </is>
      </c>
      <c r="E17" s="4" t="inlineStr">
        <is>
          <t>开票成功后保存发票号码和下载地址，失败时保存失败码。
重复提交相同开票申请不会重复开票。</t>
        </is>
      </c>
      <c r="F17" s="4" t="inlineStr">
        <is>
          <t>提交开票申请，查询状态并处理可重试失败。</t>
        </is>
      </c>
      <c r="G17" s="5">
        <f t="array" ref="G17">IF($J17="","",IFERROR(_xlfn.TEXTJOIN(CHAR(10),TRUE,IF('02-任务清单'!$A$5:INDEX('02-任务清单'!$A:$A,MAX(5,COUNTA('02-任务清单'!$A:$A)+1))=$J17,"• "&amp;'02-任务清单'!$B$5:INDEX('02-任务清单'!$B:$B,MAX(5,COUNTA('02-任务清单'!$A:$A)+1)),"")),""))</f>
        <v/>
      </c>
      <c r="H17" s="5">
        <f>IF($J17="","",CEILING(SUMIFS('02-任务清单'!$I:$I,'02-任务清单'!$A:$A,$J17),INDEX('90-估算标准'!$R$5:$R$12,MATCH("ROUND_STORY",'90-估算标准'!$P$5:$P$12,0))))</f>
        <v/>
      </c>
      <c r="I17" s="5">
        <f>IF(COUNTA($A17:$F17)=0,"",IF(OR($A17="",$B17="",$C17="",$D17="",$E17=""),"必填项缺失",IF(COUNTIF($C:$C,$C17)&gt;1,"故事名称重复",IF(COUNTIF($J:$J,$J17)&gt;1,"故事路径重复",IF(AND($D17&lt;&gt;"是",$D17&lt;&gt;"否"),"UAT适用值非法",IF(COUNTIF('02-任务清单'!$A:$A,$J17)=0,"故事缺少任务","通过"))))))</f>
        <v/>
      </c>
      <c r="J17" s="5">
        <f>IF(OR($A17="",$B17="",$C17=""),"",$A17&amp;" &gt; "&amp;$B17&amp;" &gt; "&amp;$C17)</f>
        <v/>
      </c>
    </row>
    <row r="18" ht="42" customHeight="1">
      <c r="A18" s="4" t="inlineStr">
        <is>
          <t>财务结算与经营分析</t>
        </is>
      </c>
      <c r="B18" s="4" t="inlineStr">
        <is>
          <t>财务经营报表</t>
        </is>
      </c>
      <c r="C18" s="4" t="inlineStr">
        <is>
          <t>查看财务经营日报</t>
        </is>
      </c>
      <c r="D18" s="4" t="inlineStr">
        <is>
          <t>是</t>
        </is>
      </c>
      <c r="E18" s="4" t="inlineStr">
        <is>
          <t>财务可按日期、区域和渠道查看已定义经营指标。
报表金额可下钻到构成订单和对账状态。</t>
        </is>
      </c>
      <c r="F18" s="4" t="inlineStr">
        <is>
          <t>按日期、区域和渠道查看销售、退款、优惠和未对账金额。</t>
        </is>
      </c>
      <c r="G18" s="5">
        <f t="array" ref="G18">IF($J18="","",IFERROR(_xlfn.TEXTJOIN(CHAR(10),TRUE,IF('02-任务清单'!$A$5:INDEX('02-任务清单'!$A:$A,MAX(5,COUNTA('02-任务清单'!$A:$A)+1))=$J18,"• "&amp;'02-任务清单'!$B$5:INDEX('02-任务清单'!$B:$B,MAX(5,COUNTA('02-任务清单'!$A:$A)+1)),"")),""))</f>
        <v/>
      </c>
      <c r="H18" s="5">
        <f>IF($J18="","",CEILING(SUMIFS('02-任务清单'!$I:$I,'02-任务清单'!$A:$A,$J18),INDEX('90-估算标准'!$R$5:$R$12,MATCH("ROUND_STORY",'90-估算标准'!$P$5:$P$12,0))))</f>
        <v/>
      </c>
      <c r="I18" s="5">
        <f>IF(COUNTA($A18:$F18)=0,"",IF(OR($A18="",$B18="",$C18="",$D18="",$E18=""),"必填项缺失",IF(COUNTIF($C:$C,$C18)&gt;1,"故事名称重复",IF(COUNTIF($J:$J,$J18)&gt;1,"故事路径重复",IF(AND($D18&lt;&gt;"是",$D18&lt;&gt;"否"),"UAT适用值非法",IF(COUNTIF('02-任务清单'!$A:$A,$J18)=0,"故事缺少任务","通过"))))))</f>
        <v/>
      </c>
      <c r="J18" s="5">
        <f>IF(OR($A18="",$B18="",$C18=""),"",$A18&amp;" &gt; "&amp;$B18&amp;" &gt; "&amp;$C18)</f>
        <v/>
      </c>
    </row>
    <row r="19" ht="42" customHeight="1">
      <c r="A19" s="4" t="inlineStr">
        <is>
          <t>平台与服务边界</t>
        </is>
      </c>
      <c r="B19" s="4" t="inlineStr">
        <is>
          <t>生产准备、切换与验证</t>
        </is>
      </c>
      <c r="C19" s="4" t="inlineStr">
        <is>
          <t>准备生产环境和发布流水线</t>
        </is>
      </c>
      <c r="D19" s="4" t="inlineStr">
        <is>
          <t>否</t>
        </is>
      </c>
      <c r="E19" s="4" t="inlineStr">
        <is>
          <t>生产参数、权限、制品和功能开关通过准备检查。</t>
        </is>
      </c>
      <c r="F19" s="4" t="inlineStr">
        <is>
          <t>完成应用配置、制品部署、权限和功能开关准备。</t>
        </is>
      </c>
      <c r="G19" s="5">
        <f t="array" ref="G19">IF($J19="","",IFERROR(_xlfn.TEXTJOIN(CHAR(10),TRUE,IF('02-任务清单'!$A$5:INDEX('02-任务清单'!$A:$A,MAX(5,COUNTA('02-任务清单'!$A:$A)+1))=$J19,"• "&amp;'02-任务清单'!$B$5:INDEX('02-任务清单'!$B:$B,MAX(5,COUNTA('02-任务清单'!$A:$A)+1)),"")),""))</f>
        <v/>
      </c>
      <c r="H19" s="5">
        <f>IF($J19="","",CEILING(SUMIFS('02-任务清单'!$I:$I,'02-任务清单'!$A:$A,$J19),INDEX('90-估算标准'!$R$5:$R$12,MATCH("ROUND_STORY",'90-估算标准'!$P$5:$P$12,0))))</f>
        <v/>
      </c>
      <c r="I19" s="5">
        <f>IF(COUNTA($A19:$F19)=0,"",IF(OR($A19="",$B19="",$C19="",$D19="",$E19=""),"必填项缺失",IF(COUNTIF($C:$C,$C19)&gt;1,"故事名称重复",IF(COUNTIF($J:$J,$J19)&gt;1,"故事路径重复",IF(AND($D19&lt;&gt;"是",$D19&lt;&gt;"否"),"UAT适用值非法",IF(COUNTIF('02-任务清单'!$A:$A,$J19)=0,"故事缺少任务","通过"))))))</f>
        <v/>
      </c>
      <c r="J19" s="5">
        <f>IF(OR($A19="",$B19="",$C19=""),"",$A19&amp;" &gt; "&amp;$B19&amp;" &gt; "&amp;$C19)</f>
        <v/>
      </c>
    </row>
    <row r="20" ht="42" customHeight="1">
      <c r="A20" s="4" t="inlineStr">
        <is>
          <t>平台与服务边界</t>
        </is>
      </c>
      <c r="B20" s="4" t="inlineStr">
        <is>
          <t>生产准备、切换与验证</t>
        </is>
      </c>
      <c r="C20" s="4" t="inlineStr">
        <is>
          <t>执行生产切换与回滚演练</t>
        </is>
      </c>
      <c r="D20" s="4" t="inlineStr">
        <is>
          <t>否</t>
        </is>
      </c>
      <c r="E20" s="4" t="inlineStr">
        <is>
          <t>切换清单在批准窗口内完成且回滚演练有记录。</t>
        </is>
      </c>
      <c r="F20" s="4" t="inlineStr">
        <is>
          <t>按批准窗口执行分步切流，并验证回滚清单可执行。</t>
        </is>
      </c>
      <c r="G20" s="5">
        <f t="array" ref="G20">IF($J20="","",IFERROR(_xlfn.TEXTJOIN(CHAR(10),TRUE,IF('02-任务清单'!$A$5:INDEX('02-任务清单'!$A:$A,MAX(5,COUNTA('02-任务清单'!$A:$A)+1))=$J20,"• "&amp;'02-任务清单'!$B$5:INDEX('02-任务清单'!$B:$B,MAX(5,COUNTA('02-任务清单'!$A:$A)+1)),"")),""))</f>
        <v/>
      </c>
      <c r="H20" s="5">
        <f>IF($J20="","",CEILING(SUMIFS('02-任务清单'!$I:$I,'02-任务清单'!$A:$A,$J20),INDEX('90-估算标准'!$R$5:$R$12,MATCH("ROUND_STORY",'90-估算标准'!$P$5:$P$12,0))))</f>
        <v/>
      </c>
      <c r="I20" s="5">
        <f>IF(COUNTA($A20:$F20)=0,"",IF(OR($A20="",$B20="",$C20="",$D20="",$E20=""),"必填项缺失",IF(COUNTIF($C:$C,$C20)&gt;1,"故事名称重复",IF(COUNTIF($J:$J,$J20)&gt;1,"故事路径重复",IF(AND($D20&lt;&gt;"是",$D20&lt;&gt;"否"),"UAT适用值非法",IF(COUNTIF('02-任务清单'!$A:$A,$J20)=0,"故事缺少任务","通过"))))))</f>
        <v/>
      </c>
      <c r="J20" s="5">
        <f>IF(OR($A20="",$B20="",$C20=""),"",$A20&amp;" &gt; "&amp;$B20&amp;" &gt; "&amp;$C20)</f>
        <v/>
      </c>
    </row>
    <row r="21" ht="42" customHeight="1">
      <c r="A21" s="4" t="inlineStr">
        <is>
          <t>平台与服务边界</t>
        </is>
      </c>
      <c r="B21" s="4" t="inlineStr">
        <is>
          <t>生产准备、切换与验证</t>
        </is>
      </c>
      <c r="C21" s="4" t="inlineStr">
        <is>
          <t>完成生产烟测与业务确认</t>
        </is>
      </c>
      <c r="D21" s="4" t="inlineStr">
        <is>
          <t>是</t>
        </is>
      </c>
      <c r="E21" s="4" t="inlineStr">
        <is>
          <t>五条关键业务链路烟测通过并由业务负责人确认。</t>
        </is>
      </c>
      <c r="F21" s="4" t="inlineStr">
        <is>
          <t>上线后验证档案、下单、退款、开票和对账关键链路。</t>
        </is>
      </c>
      <c r="G21" s="5">
        <f t="array" ref="G21">IF($J21="","",IFERROR(_xlfn.TEXTJOIN(CHAR(10),TRUE,IF('02-任务清单'!$A$5:INDEX('02-任务清单'!$A:$A,MAX(5,COUNTA('02-任务清单'!$A:$A)+1))=$J21,"• "&amp;'02-任务清单'!$B$5:INDEX('02-任务清单'!$B:$B,MAX(5,COUNTA('02-任务清单'!$A:$A)+1)),"")),""))</f>
        <v/>
      </c>
      <c r="H21" s="5">
        <f>IF($J21="","",CEILING(SUMIFS('02-任务清单'!$I:$I,'02-任务清单'!$A:$A,$J21),INDEX('90-估算标准'!$R$5:$R$12,MATCH("ROUND_STORY",'90-估算标准'!$P$5:$P$12,0))))</f>
        <v/>
      </c>
      <c r="I21" s="5">
        <f>IF(COUNTA($A21:$F21)=0,"",IF(OR($A21="",$B21="",$C21="",$D21="",$E21=""),"必填项缺失",IF(COUNTIF($C:$C,$C21)&gt;1,"故事名称重复",IF(COUNTIF($J:$J,$J21)&gt;1,"故事路径重复",IF(AND($D21&lt;&gt;"是",$D21&lt;&gt;"否"),"UAT适用值非法",IF(COUNTIF('02-任务清单'!$A:$A,$J21)=0,"故事缺少任务","通过"))))))</f>
        <v/>
      </c>
      <c r="J21" s="5">
        <f>IF(OR($A21="",$B21="",$C21=""),"",$A21&amp;" &gt; "&amp;$B21&amp;" &gt; "&amp;$C21)</f>
        <v/>
      </c>
    </row>
    <row r="22" ht="42" customHeight="1">
      <c r="A22" s="4" t="inlineStr">
        <is>
          <t>上线与质量保障</t>
        </is>
      </c>
      <c r="B22" s="4" t="inlineStr">
        <is>
          <t>会员与订单数据迁移</t>
        </is>
      </c>
      <c r="C22" s="4" t="inlineStr">
        <is>
          <t>迁移会员与历史订单数据</t>
        </is>
      </c>
      <c r="D22" s="4" t="inlineStr">
        <is>
          <t>否</t>
        </is>
      </c>
      <c r="E22" s="4" t="inlineStr">
        <is>
          <t>关键字段迁移前后一致率为 100%，重复业务主键为 0。</t>
        </is>
      </c>
      <c r="F22" s="4" t="inlineStr">
        <is>
          <t>执行抽取、映射、加载、校验和失败补偿。</t>
        </is>
      </c>
      <c r="G22" s="5">
        <f t="array" ref="G22">IF($J22="","",IFERROR(_xlfn.TEXTJOIN(CHAR(10),TRUE,IF('02-任务清单'!$A$5:INDEX('02-任务清单'!$A:$A,MAX(5,COUNTA('02-任务清单'!$A:$A)+1))=$J22,"• "&amp;'02-任务清单'!$B$5:INDEX('02-任务清单'!$B:$B,MAX(5,COUNTA('02-任务清单'!$A:$A)+1)),"")),""))</f>
        <v/>
      </c>
      <c r="H22" s="5">
        <f>IF($J22="","",CEILING(SUMIFS('02-任务清单'!$I:$I,'02-任务清单'!$A:$A,$J22),INDEX('90-估算标准'!$R$5:$R$12,MATCH("ROUND_STORY",'90-估算标准'!$P$5:$P$12,0))))</f>
        <v/>
      </c>
      <c r="I22" s="5">
        <f>IF(COUNTA($A22:$F22)=0,"",IF(OR($A22="",$B22="",$C22="",$D22="",$E22=""),"必填项缺失",IF(COUNTIF($C:$C,$C22)&gt;1,"故事名称重复",IF(COUNTIF($J:$J,$J22)&gt;1,"故事路径重复",IF(AND($D22&lt;&gt;"是",$D22&lt;&gt;"否"),"UAT适用值非法",IF(COUNTIF('02-任务清单'!$A:$A,$J22)=0,"故事缺少任务","通过"))))))</f>
        <v/>
      </c>
      <c r="J22" s="5">
        <f>IF(OR($A22="",$B22="",$C22=""),"",$A22&amp;" &gt; "&amp;$B22&amp;" &gt; "&amp;$C22)</f>
        <v/>
      </c>
    </row>
    <row r="23" ht="42" customHeight="1">
      <c r="A23" s="4" t="inlineStr">
        <is>
          <t>上线与质量保障</t>
        </is>
      </c>
      <c r="B23" s="4" t="inlineStr">
        <is>
          <t>监控、运维交接与用户赋能</t>
        </is>
      </c>
      <c r="C23" s="4" t="inlineStr">
        <is>
          <t>监控核心交易与财务作业</t>
        </is>
      </c>
      <c r="D23" s="4" t="inlineStr">
        <is>
          <t>否</t>
        </is>
      </c>
      <c r="E23" s="4" t="inlineStr">
        <is>
          <t>核心交易和财务作业指标均配置阈值、渠道与接收人。</t>
        </is>
      </c>
      <c r="F23" s="4" t="inlineStr">
        <is>
          <t>新增指标、阈值、告警和责任人看板。</t>
        </is>
      </c>
      <c r="G23" s="5">
        <f t="array" ref="G23">IF($J23="","",IFERROR(_xlfn.TEXTJOIN(CHAR(10),TRUE,IF('02-任务清单'!$A$5:INDEX('02-任务清单'!$A:$A,MAX(5,COUNTA('02-任务清单'!$A:$A)+1))=$J23,"• "&amp;'02-任务清单'!$B$5:INDEX('02-任务清单'!$B:$B,MAX(5,COUNTA('02-任务清单'!$A:$A)+1)),"")),""))</f>
        <v/>
      </c>
      <c r="H23" s="5">
        <f>IF($J23="","",CEILING(SUMIFS('02-任务清单'!$I:$I,'02-任务清单'!$A:$A,$J23),INDEX('90-估算标准'!$R$5:$R$12,MATCH("ROUND_STORY",'90-估算标准'!$P$5:$P$12,0))))</f>
        <v/>
      </c>
      <c r="I23" s="5">
        <f>IF(COUNTA($A23:$F23)=0,"",IF(OR($A23="",$B23="",$C23="",$D23="",$E23=""),"必填项缺失",IF(COUNTIF($C:$C,$C23)&gt;1,"故事名称重复",IF(COUNTIF($J:$J,$J23)&gt;1,"故事路径重复",IF(AND($D23&lt;&gt;"是",$D23&lt;&gt;"否"),"UAT适用值非法",IF(COUNTIF('02-任务清单'!$A:$A,$J23)=0,"故事缺少任务","通过"))))))</f>
        <v/>
      </c>
      <c r="J23" s="5">
        <f>IF(OR($A23="",$B23="",$C23=""),"",$A23&amp;" &gt; "&amp;$B23&amp;" &gt; "&amp;$C23)</f>
        <v/>
      </c>
    </row>
    <row r="24" ht="42" customHeight="1">
      <c r="A24" s="4" t="inlineStr">
        <is>
          <t>上线与质量保障</t>
        </is>
      </c>
      <c r="B24" s="4" t="inlineStr">
        <is>
          <t>监控、运维交接与用户赋能</t>
        </is>
      </c>
      <c r="C24" s="4" t="inlineStr">
        <is>
          <t>完成运维交接与演练</t>
        </is>
      </c>
      <c r="D24" s="4" t="inlineStr">
        <is>
          <t>否</t>
        </is>
      </c>
      <c r="E24" s="4" t="inlineStr">
        <is>
          <t>运维手册、联系人和故障演练由运维经理签收。</t>
        </is>
      </c>
      <c r="F24" s="4" t="inlineStr">
        <is>
          <t>提交运维手册、联系人和处置流程并完成演练。</t>
        </is>
      </c>
      <c r="G24" s="5">
        <f t="array" ref="G24">IF($J24="","",IFERROR(_xlfn.TEXTJOIN(CHAR(10),TRUE,IF('02-任务清单'!$A$5:INDEX('02-任务清单'!$A:$A,MAX(5,COUNTA('02-任务清单'!$A:$A)+1))=$J24,"• "&amp;'02-任务清单'!$B$5:INDEX('02-任务清单'!$B:$B,MAX(5,COUNTA('02-任务清单'!$A:$A)+1)),"")),""))</f>
        <v/>
      </c>
      <c r="H24" s="5">
        <f>IF($J24="","",CEILING(SUMIFS('02-任务清单'!$I:$I,'02-任务清单'!$A:$A,$J24),INDEX('90-估算标准'!$R$5:$R$12,MATCH("ROUND_STORY",'90-估算标准'!$P$5:$P$12,0))))</f>
        <v/>
      </c>
      <c r="I24" s="5">
        <f>IF(COUNTA($A24:$F24)=0,"",IF(OR($A24="",$B24="",$C24="",$D24="",$E24=""),"必填项缺失",IF(COUNTIF($C:$C,$C24)&gt;1,"故事名称重复",IF(COUNTIF($J:$J,$J24)&gt;1,"故事路径重复",IF(AND($D24&lt;&gt;"是",$D24&lt;&gt;"否"),"UAT适用值非法",IF(COUNTIF('02-任务清单'!$A:$A,$J24)=0,"故事缺少任务","通过"))))))</f>
        <v/>
      </c>
      <c r="J24" s="5">
        <f>IF(OR($A24="",$B24="",$C24=""),"",$A24&amp;" &gt; "&amp;$B24&amp;" &gt; "&amp;$C24)</f>
        <v/>
      </c>
    </row>
    <row r="25" ht="42" customHeight="1">
      <c r="A25" s="4" t="inlineStr">
        <is>
          <t>上线与质量保障</t>
        </is>
      </c>
      <c r="B25" s="4" t="inlineStr">
        <is>
          <t>监控、运维交接与用户赋能</t>
        </is>
      </c>
      <c r="C25" s="4" t="inlineStr">
        <is>
          <t>培训门店、客服和财务用户</t>
        </is>
      </c>
      <c r="D25" s="4" t="inlineStr">
        <is>
          <t>是</t>
        </is>
      </c>
      <c r="E25" s="4" t="inlineStr">
        <is>
          <t>门店、客服和财务培训完成并保留材料、签到和反馈。</t>
        </is>
      </c>
      <c r="F25" s="4" t="inlineStr">
        <is>
          <t>提供角色化材料并完成两场培训和签到验收。</t>
        </is>
      </c>
      <c r="G25" s="5">
        <f t="array" ref="G25">IF($J25="","",IFERROR(_xlfn.TEXTJOIN(CHAR(10),TRUE,IF('02-任务清单'!$A$5:INDEX('02-任务清单'!$A:$A,MAX(5,COUNTA('02-任务清单'!$A:$A)+1))=$J25,"• "&amp;'02-任务清单'!$B$5:INDEX('02-任务清单'!$B:$B,MAX(5,COUNTA('02-任务清单'!$A:$A)+1)),"")),""))</f>
        <v/>
      </c>
      <c r="H25" s="5">
        <f>IF($J25="","",CEILING(SUMIFS('02-任务清单'!$I:$I,'02-任务清单'!$A:$A,$J25),INDEX('90-估算标准'!$R$5:$R$12,MATCH("ROUND_STORY",'90-估算标准'!$P$5:$P$12,0))))</f>
        <v/>
      </c>
      <c r="I25" s="5">
        <f>IF(COUNTA($A25:$F25)=0,"",IF(OR($A25="",$B25="",$C25="",$D25="",$E25=""),"必填项缺失",IF(COUNTIF($C:$C,$C25)&gt;1,"故事名称重复",IF(COUNTIF($J:$J,$J25)&gt;1,"故事路径重复",IF(AND($D25&lt;&gt;"是",$D25&lt;&gt;"否"),"UAT适用值非法",IF(COUNTIF('02-任务清单'!$A:$A,$J25)=0,"故事缺少任务","通过"))))))</f>
        <v/>
      </c>
      <c r="J25" s="5">
        <f>IF(OR($A25="",$B25="",$C25=""),"",$A25&amp;" &gt; "&amp;$B25&amp;" &gt; "&amp;$C25)</f>
        <v/>
      </c>
    </row>
    <row r="26" ht="42" customHeight="1">
      <c r="A26" s="4" t="inlineStr">
        <is>
          <t>上线与质量保障</t>
        </is>
      </c>
      <c r="B26" s="4" t="inlineStr">
        <is>
          <t>自动化、性能与生产质量验证</t>
        </is>
      </c>
      <c r="C26" s="4" t="inlineStr">
        <is>
          <t>扩展自动化与性能验证</t>
        </is>
      </c>
      <c r="D26" s="4" t="inlineStr">
        <is>
          <t>否</t>
        </is>
      </c>
      <c r="E26" s="4" t="inlineStr">
        <is>
          <t>P0/P1 自动化用例全部通过且核心查询达到 500 TPS。</t>
        </is>
      </c>
      <c r="F26" s="4" t="inlineStr">
        <is>
          <t>调整框架和用例，覆盖核心 API、状态机和峰值场景。</t>
        </is>
      </c>
      <c r="G26" s="5">
        <f t="array" ref="G26">IF($J26="","",IFERROR(_xlfn.TEXTJOIN(CHAR(10),TRUE,IF('02-任务清单'!$A$5:INDEX('02-任务清单'!$A:$A,MAX(5,COUNTA('02-任务清单'!$A:$A)+1))=$J26,"• "&amp;'02-任务清单'!$B$5:INDEX('02-任务清单'!$B:$B,MAX(5,COUNTA('02-任务清单'!$A:$A)+1)),"")),""))</f>
        <v/>
      </c>
      <c r="H26" s="5">
        <f>IF($J26="","",CEILING(SUMIFS('02-任务清单'!$I:$I,'02-任务清单'!$A:$A,$J26),INDEX('90-估算标准'!$R$5:$R$12,MATCH("ROUND_STORY",'90-估算标准'!$P$5:$P$12,0))))</f>
        <v/>
      </c>
      <c r="I26" s="5">
        <f>IF(COUNTA($A26:$F26)=0,"",IF(OR($A26="",$B26="",$C26="",$D26="",$E26=""),"必填项缺失",IF(COUNTIF($C:$C,$C26)&gt;1,"故事名称重复",IF(COUNTIF($J:$J,$J26)&gt;1,"故事路径重复",IF(AND($D26&lt;&gt;"是",$D26&lt;&gt;"否"),"UAT适用值非法",IF(COUNTIF('02-任务清单'!$A:$A,$J26)=0,"故事缺少任务","通过"))))))</f>
        <v/>
      </c>
      <c r="J26" s="5">
        <f>IF(OR($A26="",$B26="",$C26=""),"",$A26&amp;" &gt; "&amp;$B26&amp;" &gt; "&amp;$C26)</f>
        <v/>
      </c>
    </row>
    <row r="27" ht="42" customHeight="1">
      <c r="A27" s="4" t="inlineStr">
        <is>
          <t>上线与质量保障</t>
        </is>
      </c>
      <c r="B27" s="4" t="inlineStr">
        <is>
          <t>自动化、性能与生产质量验证</t>
        </is>
      </c>
      <c r="C27" s="4" t="inlineStr">
        <is>
          <t>执行兼容性与工程回归</t>
        </is>
      </c>
      <c r="D27" s="4" t="inlineStr">
        <is>
          <t>否</t>
        </is>
      </c>
      <c r="E27" s="4" t="inlineStr">
        <is>
          <t>支持的浏览器和设备矩阵通过工程回归且无阻断缺陷。</t>
        </is>
      </c>
      <c r="F27" s="4" t="inlineStr">
        <is>
          <t>验证支持的浏览器、设备矩阵和工程回归范围。</t>
        </is>
      </c>
      <c r="G27" s="5">
        <f t="array" ref="G27">IF($J27="","",IFERROR(_xlfn.TEXTJOIN(CHAR(10),TRUE,IF('02-任务清单'!$A$5:INDEX('02-任务清单'!$A:$A,MAX(5,COUNTA('02-任务清单'!$A:$A)+1))=$J27,"• "&amp;'02-任务清单'!$B$5:INDEX('02-任务清单'!$B:$B,MAX(5,COUNTA('02-任务清单'!$A:$A)+1)),"")),""))</f>
        <v/>
      </c>
      <c r="H27" s="5">
        <f>IF($J27="","",CEILING(SUMIFS('02-任务清单'!$I:$I,'02-任务清单'!$A:$A,$J27),INDEX('90-估算标准'!$R$5:$R$12,MATCH("ROUND_STORY",'90-估算标准'!$P$5:$P$12,0))))</f>
        <v/>
      </c>
      <c r="I27" s="5">
        <f>IF(COUNTA($A27:$F27)=0,"",IF(OR($A27="",$B27="",$C27="",$D27="",$E27=""),"必填项缺失",IF(COUNTIF($C:$C,$C27)&gt;1,"故事名称重复",IF(COUNTIF($J:$J,$J27)&gt;1,"故事路径重复",IF(AND($D27&lt;&gt;"是",$D27&lt;&gt;"否"),"UAT适用值非法",IF(COUNTIF('02-任务清单'!$A:$A,$J27)=0,"故事缺少任务","通过"))))))</f>
        <v/>
      </c>
      <c r="J27" s="5">
        <f>IF(OR($A27="",$B27="",$C27=""),"",$A27&amp;" &gt; "&amp;$B27&amp;" &gt; "&amp;$C27)</f>
        <v/>
      </c>
    </row>
  </sheetData>
  <sheetProtection selectLockedCells="0" selectUnlockedCells="0" sheet="1" objects="0" insertRows="0" insertHyperlinks="1" autoFilter="0" scenarios="0" formatColumns="0" deleteColumns="1" insertColumns="1" pivotTables="1" deleteRows="0" formatCells="1" formatRows="0" sort="0"/>
  <mergeCells count="2">
    <mergeCell ref="A1:J1"/>
    <mergeCell ref="A2:J2"/>
  </mergeCells>
  <conditionalFormatting sqref="I5:I1048576">
    <cfRule type="expression" priority="1" dxfId="0">
      <formula>AND($I5&lt;&gt;"",$I5&lt;&gt;"通过")</formula>
    </cfRule>
  </conditionalFormatting>
  <dataValidations count="1">
    <dataValidation sqref="D5:D1048576" showDropDown="0" showInputMessage="1" showErrorMessage="1" allowBlank="1" errorTitle="输入值不受支持" error="请选择受支持的值；粘贴数据后仍需运行补全 Skill 严格校验。" promptTitle="填写提示" prompt="请从下拉选项中选择。" type="list">
      <formula1>"是,否"</formula1>
    </dataValidation>
  </dataValidations>
  <pageMargins left="0.75" right="0.75" top="1" bottom="1" header="0.5" footer="0.5"/>
  <pageSetup orientation="landscape" fitToWidth="1"/>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1"/>
    <pageSetUpPr fitToPage="1"/>
  </sheetPr>
  <dimension ref="A1:K50"/>
  <sheetViews>
    <sheetView showGridLines="0" workbookViewId="0">
      <pane ySplit="4" topLeftCell="A5" activePane="bottomLeft" state="frozen"/>
      <selection pane="bottomLeft" activeCell="A1" sqref="A1"/>
    </sheetView>
  </sheetViews>
  <sheetFormatPr baseColWidth="8" defaultRowHeight="15"/>
  <cols>
    <col width="44" customWidth="1" min="1" max="1"/>
    <col width="30" customWidth="1" min="2" max="2"/>
    <col width="24" customWidth="1" min="3" max="3"/>
    <col width="12" customWidth="1" min="4" max="4"/>
    <col width="10" customWidth="1" min="5" max="5"/>
    <col width="36" customWidth="1" min="6" max="6"/>
    <col width="14" customWidth="1" min="7" max="7"/>
    <col width="14" customWidth="1" min="8" max="8"/>
    <col width="12" customWidth="1" min="9" max="9"/>
    <col width="14" customWidth="1" min="10" max="10"/>
    <col width="26" customWidth="1" min="11" max="11"/>
  </cols>
  <sheetData>
    <row r="1" ht="30" customHeight="1">
      <c r="A1" s="1" t="inlineStr">
        <is>
          <t>任务清单</t>
        </is>
      </c>
    </row>
    <row r="2" ht="34" customHeight="1">
      <c r="A2" s="2" t="inlineStr">
        <is>
          <t>每个基础单元实例一行；任务类型、工作方式和复杂度必须使用正式选项。灰色列由公式维护。</t>
        </is>
      </c>
    </row>
    <row r="3"/>
    <row r="4" ht="30" customHeight="1">
      <c r="A4" s="3" t="inlineStr">
        <is>
          <t>所属故事</t>
        </is>
      </c>
      <c r="B4" s="3" t="inlineStr">
        <is>
          <t>任务名称</t>
        </is>
      </c>
      <c r="C4" s="3" t="inlineStr">
        <is>
          <t>任务类型</t>
        </is>
      </c>
      <c r="D4" s="3" t="inlineStr">
        <is>
          <t>工作方式</t>
        </is>
      </c>
      <c r="E4" s="3" t="inlineStr">
        <is>
          <t>复杂度</t>
        </is>
      </c>
      <c r="F4" s="3" t="inlineStr">
        <is>
          <t>备注</t>
        </is>
      </c>
      <c r="G4" s="3" t="inlineStr">
        <is>
          <t>M档标准人天</t>
        </is>
      </c>
      <c r="H4" s="3" t="inlineStr">
        <is>
          <t>复杂度系数</t>
        </is>
      </c>
      <c r="I4" s="3" t="inlineStr">
        <is>
          <t>任务人天</t>
        </is>
      </c>
      <c r="J4" s="3" t="inlineStr">
        <is>
          <t>SIT支持人天</t>
        </is>
      </c>
      <c r="K4" s="3" t="inlineStr">
        <is>
          <t>校验结果</t>
        </is>
      </c>
    </row>
    <row r="5" ht="124" customHeight="1">
      <c r="A5" s="4" t="inlineStr">
        <is>
          <t>会员与客户管理 &gt; 创建并查看客户档案 &gt; 创建并查看客户档案</t>
        </is>
      </c>
      <c r="B5" s="4" t="inlineStr">
        <is>
          <t>调整客户档案页面和状态</t>
        </is>
      </c>
      <c r="C5" s="4" t="inlineStr">
        <is>
          <t>界面与交互</t>
        </is>
      </c>
      <c r="D5" s="4" t="inlineStr">
        <is>
          <t>调整</t>
        </is>
      </c>
      <c r="E5" s="4" t="inlineStr">
        <is>
          <t>S</t>
        </is>
      </c>
      <c r="F5" s="4" t="inlineStr">
        <is>
          <t>任务理由：调整一个可独立验收的客户档案界面实例。
工作方式理由：沿用可复用的客户档案框架及其页面入口，修改本次交付范围内的界面状态和校验。
复杂度理由：仅一个界面和单一路径，使用成熟组件，无复杂权限或跨界面状态恢复。</t>
        </is>
      </c>
      <c r="G5" s="5">
        <f>IFERROR(IF($D5="新建",INDEX('90-估算标准'!$H$5:$H$41,MATCH($C5,'90-估算标准'!$D$5:$D$41,0)),IF($D5="调整",INDEX('90-估算标准'!$I$5:$I$41,MATCH($C5,'90-估算标准'!$D$5:$D$41,0)),IF($D5="接入复用",INDEX('90-估算标准'!$J$5:$J$41,MATCH($C5,'90-估算标准'!$D$5:$D$41,0)),""))),"")</f>
        <v/>
      </c>
      <c r="H5" s="5">
        <f>IFERROR(INDEX('90-估算标准'!$R$5:$R$12,MATCH("K_COMPLEXITY_"&amp;$E5,'90-估算标准'!$P$5:$P$12,0)),"")</f>
        <v/>
      </c>
      <c r="I5" s="5">
        <f>IF(OR(NOT(ISNUMBER($G5)),NOT(ISNUMBER($H5))),"",ROUND($G5*$H5,1))</f>
        <v/>
      </c>
      <c r="J5" s="5">
        <f>IF($C5="内部系统对接",ROUND(INDEX('90-估算标准'!$R$5:$R$12,MATCH("SIT_INT_SUPPORT",'90-估算标准'!$P$5:$P$12,0))*$H5,1),IF($C5="外部系统对接",ROUND(INDEX('90-估算标准'!$R$5:$R$12,MATCH("SIT_EXT_SUPPORT",'90-估算标准'!$P$5:$P$12,0))*$H5,1),0))</f>
        <v/>
      </c>
      <c r="K5" s="5">
        <f>IF(COUNTA($A5:$F5)=0,"",IF(OR($A5="",$B5="",$C5="",$D5="",$E5=""),"必填项缺失",IF(COUNTIF($B:$B,$B5)&gt;1,"任务名称重复",IF(COUNTIF('01-需求故事'!$J:$J,$A5)&lt;&gt;1,"所属故事未知",IF(OR($E5="S",$E5="M",$E5="L"),IF(ISNUMBER($G5),"通过","任务类型与工作方式不适用"),"复杂度非法")))))</f>
        <v/>
      </c>
    </row>
    <row r="6" ht="79" customHeight="1">
      <c r="A6" s="4" t="inlineStr">
        <is>
          <t>平台与服务边界 &gt; 客户档案操作 API &gt; 提供客户档案操作</t>
        </is>
      </c>
      <c r="B6" s="4" t="inlineStr">
        <is>
          <t>调整客户档案业务服务与接口</t>
        </is>
      </c>
      <c r="C6" s="4" t="inlineStr">
        <is>
          <t>业务服务与接口</t>
        </is>
      </c>
      <c r="D6" s="4" t="inlineStr">
        <is>
          <t>调整</t>
        </is>
      </c>
      <c r="E6" s="4" t="inlineStr">
        <is>
          <t>M</t>
        </is>
      </c>
      <c r="F6" s="4" t="inlineStr">
        <is>
          <t>任务理由：一组围绕客户档案操作的紧密相关接口，符合单实例计数口径。
工作方式理由：保留可复用的客户档案框架对应的服务边界，扩展创建和检索规则及接口。</t>
        </is>
      </c>
      <c r="G6" s="5">
        <f>IFERROR(IF($D6="新建",INDEX('90-估算标准'!$H$5:$H$41,MATCH($C6,'90-估算标准'!$D$5:$D$41,0)),IF($D6="调整",INDEX('90-估算标准'!$I$5:$I$41,MATCH($C6,'90-估算标准'!$D$5:$D$41,0)),IF($D6="接入复用",INDEX('90-估算标准'!$J$5:$J$41,MATCH($C6,'90-估算标准'!$D$5:$D$41,0)),""))),"")</f>
        <v/>
      </c>
      <c r="H6" s="5">
        <f>IFERROR(INDEX('90-估算标准'!$R$5:$R$12,MATCH("K_COMPLEXITY_"&amp;$E6,'90-估算标准'!$P$5:$P$12,0)),"")</f>
        <v/>
      </c>
      <c r="I6" s="5">
        <f>IF(OR(NOT(ISNUMBER($G6)),NOT(ISNUMBER($H6))),"",ROUND($G6*$H6,1))</f>
        <v/>
      </c>
      <c r="J6" s="5">
        <f>IF($C6="内部系统对接",ROUND(INDEX('90-估算标准'!$R$5:$R$12,MATCH("SIT_INT_SUPPORT",'90-估算标准'!$P$5:$P$12,0))*$H6,1),IF($C6="外部系统对接",ROUND(INDEX('90-估算标准'!$R$5:$R$12,MATCH("SIT_EXT_SUPPORT",'90-估算标准'!$P$5:$P$12,0))*$H6,1),0))</f>
        <v/>
      </c>
      <c r="K6" s="5">
        <f>IF(COUNTA($A6:$F6)=0,"",IF(OR($A6="",$B6="",$C6="",$D6="",$E6=""),"必填项缺失",IF(COUNTIF($B:$B,$B6)&gt;1,"任务名称重复",IF(COUNTIF('01-需求故事'!$J:$J,$A6)&lt;&gt;1,"所属故事未知",IF(OR($E6="S",$E6="M",$E6="L"),IF(ISNUMBER($G6),"通过","任务类型与工作方式不适用"),"复杂度非法")))))</f>
        <v/>
      </c>
    </row>
    <row r="7" ht="109" customHeight="1">
      <c r="A7" s="4" t="inlineStr">
        <is>
          <t>平台与服务边界 &gt; 客户档案操作 API &gt; 集成会员主数据查询</t>
        </is>
      </c>
      <c r="B7" s="4" t="inlineStr">
        <is>
          <t>接入内部客户档案 API</t>
        </is>
      </c>
      <c r="C7" s="4" t="inlineStr">
        <is>
          <t>内部系统对接</t>
        </is>
      </c>
      <c r="D7" s="4" t="inlineStr">
        <is>
          <t>接入复用</t>
        </is>
      </c>
      <c r="E7" s="4" t="inlineStr">
        <is>
          <t>S</t>
        </is>
      </c>
      <c r="F7" s="4" t="inlineStr">
        <is>
          <t>任务理由：实现一个已登记的内部出站集成，不包含另行开展的 SIT。
工作方式理由：可复用的客户档案框架保持不变；本项目负责并交付：认证、映射、适配。
复杂度理由：同组织稳定接口、单向查询和简单字段映射，不涉及对端改造。</t>
        </is>
      </c>
      <c r="G7" s="5">
        <f>IFERROR(IF($D7="新建",INDEX('90-估算标准'!$H$5:$H$41,MATCH($C7,'90-估算标准'!$D$5:$D$41,0)),IF($D7="调整",INDEX('90-估算标准'!$I$5:$I$41,MATCH($C7,'90-估算标准'!$D$5:$D$41,0)),IF($D7="接入复用",INDEX('90-估算标准'!$J$5:$J$41,MATCH($C7,'90-估算标准'!$D$5:$D$41,0)),""))),"")</f>
        <v/>
      </c>
      <c r="H7" s="5">
        <f>IFERROR(INDEX('90-估算标准'!$R$5:$R$12,MATCH("K_COMPLEXITY_"&amp;$E7,'90-估算标准'!$P$5:$P$12,0)),"")</f>
        <v/>
      </c>
      <c r="I7" s="5">
        <f>IF(OR(NOT(ISNUMBER($G7)),NOT(ISNUMBER($H7))),"",ROUND($G7*$H7,1))</f>
        <v/>
      </c>
      <c r="J7" s="5">
        <f>IF($C7="内部系统对接",ROUND(INDEX('90-估算标准'!$R$5:$R$12,MATCH("SIT_INT_SUPPORT",'90-估算标准'!$P$5:$P$12,0))*$H7,1),IF($C7="外部系统对接",ROUND(INDEX('90-估算标准'!$R$5:$R$12,MATCH("SIT_EXT_SUPPORT",'90-估算标准'!$P$5:$P$12,0))*$H7,1),0))</f>
        <v/>
      </c>
      <c r="K7" s="5">
        <f>IF(COUNTA($A7:$F7)=0,"",IF(OR($A7="",$B7="",$C7="",$D7="",$E7=""),"必填项缺失",IF(COUNTIF($B:$B,$B7)&gt;1,"任务名称重复",IF(COUNTIF('01-需求故事'!$J:$J,$A7)&lt;&gt;1,"所属故事未知",IF(OR($E7="S",$E7="M",$E7="L"),IF(ISNUMBER($G7),"通过","任务类型与工作方式不适用"),"复杂度非法")))))</f>
        <v/>
      </c>
    </row>
    <row r="8" ht="79" customHeight="1">
      <c r="A8" s="4" t="inlineStr">
        <is>
          <t>会员与客户管理 &gt; 创建并查看客户档案 &gt; 创建并查看客户档案</t>
        </is>
      </c>
      <c r="B8" s="4" t="inlineStr">
        <is>
          <t>调整可复用的客户档案框架字段模型</t>
        </is>
      </c>
      <c r="C8" s="4" t="inlineStr">
        <is>
          <t>数据模型与存储结构</t>
        </is>
      </c>
      <c r="D8" s="4" t="inlineStr">
        <is>
          <t>调整</t>
        </is>
      </c>
      <c r="E8" s="4" t="inlineStr">
        <is>
          <t>M</t>
        </is>
      </c>
      <c r="F8" s="4" t="inlineStr">
        <is>
          <t>任务理由：一个客户档案数据模型实例，覆盖字段、约束和审计列。
工作方式理由：在可复用的客户档案框架中增加一期顺延字段、授权标识和变更审计列。</t>
        </is>
      </c>
      <c r="G8" s="5">
        <f>IFERROR(IF($D8="新建",INDEX('90-估算标准'!$H$5:$H$41,MATCH($C8,'90-估算标准'!$D$5:$D$41,0)),IF($D8="调整",INDEX('90-估算标准'!$I$5:$I$41,MATCH($C8,'90-估算标准'!$D$5:$D$41,0)),IF($D8="接入复用",INDEX('90-估算标准'!$J$5:$J$41,MATCH($C8,'90-估算标准'!$D$5:$D$41,0)),""))),"")</f>
        <v/>
      </c>
      <c r="H8" s="5">
        <f>IFERROR(INDEX('90-估算标准'!$R$5:$R$12,MATCH("K_COMPLEXITY_"&amp;$E8,'90-估算标准'!$P$5:$P$12,0)),"")</f>
        <v/>
      </c>
      <c r="I8" s="5">
        <f>IF(OR(NOT(ISNUMBER($G8)),NOT(ISNUMBER($H8))),"",ROUND($G8*$H8,1))</f>
        <v/>
      </c>
      <c r="J8" s="5">
        <f>IF($C8="内部系统对接",ROUND(INDEX('90-估算标准'!$R$5:$R$12,MATCH("SIT_INT_SUPPORT",'90-估算标准'!$P$5:$P$12,0))*$H8,1),IF($C8="外部系统对接",ROUND(INDEX('90-估算标准'!$R$5:$R$12,MATCH("SIT_EXT_SUPPORT",'90-估算标准'!$P$5:$P$12,0))*$H8,1),0))</f>
        <v/>
      </c>
      <c r="K8" s="5">
        <f>IF(COUNTA($A8:$F8)=0,"",IF(OR($A8="",$B8="",$C8="",$D8="",$E8=""),"必填项缺失",IF(COUNTIF($B:$B,$B8)&gt;1,"任务名称重复",IF(COUNTIF('01-需求故事'!$J:$J,$A8)&lt;&gt;1,"所属故事未知",IF(OR($E8="S",$E8="M",$E8="L"),IF(ISNUMBER($G8),"通过","任务类型与工作方式不适用"),"复杂度非法")))))</f>
        <v/>
      </c>
    </row>
    <row r="9" ht="64" customHeight="1">
      <c r="A9" s="4" t="inlineStr">
        <is>
          <t>平台与服务边界 &gt; 客户档案操作 API &gt; 提供客户档案操作</t>
        </is>
      </c>
      <c r="B9" s="4" t="inlineStr">
        <is>
          <t>建立档案 API 身份与字段权限</t>
        </is>
      </c>
      <c r="C9" s="4" t="inlineStr">
        <is>
          <t>身份与权限管理</t>
        </is>
      </c>
      <c r="D9" s="4" t="inlineStr">
        <is>
          <t>新建</t>
        </is>
      </c>
      <c r="E9" s="4" t="inlineStr">
        <is>
          <t>M</t>
        </is>
      </c>
      <c r="F9" s="4" t="inlineStr">
        <is>
          <t>任务理由：一个档案 API 权限控制实例，覆盖门店、客服和会员三类主体。
工作方式理由：为档案 API 新增角色、权限范围和敏感字段过滤规则。</t>
        </is>
      </c>
      <c r="G9" s="5">
        <f>IFERROR(IF($D9="新建",INDEX('90-估算标准'!$H$5:$H$41,MATCH($C9,'90-估算标准'!$D$5:$D$41,0)),IF($D9="调整",INDEX('90-估算标准'!$I$5:$I$41,MATCH($C9,'90-估算标准'!$D$5:$D$41,0)),IF($D9="接入复用",INDEX('90-估算标准'!$J$5:$J$41,MATCH($C9,'90-估算标准'!$D$5:$D$41,0)),""))),"")</f>
        <v/>
      </c>
      <c r="H9" s="5">
        <f>IFERROR(INDEX('90-估算标准'!$R$5:$R$12,MATCH("K_COMPLEXITY_"&amp;$E9,'90-估算标准'!$P$5:$P$12,0)),"")</f>
        <v/>
      </c>
      <c r="I9" s="5">
        <f>IF(OR(NOT(ISNUMBER($G9)),NOT(ISNUMBER($H9))),"",ROUND($G9*$H9,1))</f>
        <v/>
      </c>
      <c r="J9" s="5">
        <f>IF($C9="内部系统对接",ROUND(INDEX('90-估算标准'!$R$5:$R$12,MATCH("SIT_INT_SUPPORT",'90-估算标准'!$P$5:$P$12,0))*$H9,1),IF($C9="外部系统对接",ROUND(INDEX('90-估算标准'!$R$5:$R$12,MATCH("SIT_EXT_SUPPORT",'90-估算标准'!$P$5:$P$12,0))*$H9,1),0))</f>
        <v/>
      </c>
      <c r="K9" s="5">
        <f>IF(COUNTA($A9:$F9)=0,"",IF(OR($A9="",$B9="",$C9="",$D9="",$E9=""),"必填项缺失",IF(COUNTIF($B:$B,$B9)&gt;1,"任务名称重复",IF(COUNTIF('01-需求故事'!$J:$J,$A9)&lt;&gt;1,"所属故事未知",IF(OR($E9="S",$E9="M",$E9="L"),IF(ISNUMBER($G9),"通过","任务类型与工作方式不适用"),"复杂度非法")))))</f>
        <v/>
      </c>
    </row>
    <row r="10" ht="64" customHeight="1">
      <c r="A10" s="4" t="inlineStr">
        <is>
          <t>会员与客户管理 &gt; 会员等级计算与版本 &gt; 计算并追溯会员等级</t>
        </is>
      </c>
      <c r="B10" s="4" t="inlineStr">
        <is>
          <t>调整既有会员主数据模型的等级计算服务</t>
        </is>
      </c>
      <c r="C10" s="4" t="inlineStr">
        <is>
          <t>业务服务与接口</t>
        </is>
      </c>
      <c r="D10" s="4" t="inlineStr">
        <is>
          <t>调整</t>
        </is>
      </c>
      <c r="E10" s="4" t="inlineStr">
        <is>
          <t>M</t>
        </is>
      </c>
      <c r="F10" s="4" t="inlineStr">
        <is>
          <t>任务理由：一组围绕等级规则生效的紧密相关业务操作。
工作方式理由：基于既有会员主数据模型新增等级试算、生效和查询操作。</t>
        </is>
      </c>
      <c r="G10" s="5">
        <f>IFERROR(IF($D10="新建",INDEX('90-估算标准'!$H$5:$H$41,MATCH($C10,'90-估算标准'!$D$5:$D$41,0)),IF($D10="调整",INDEX('90-估算标准'!$I$5:$I$41,MATCH($C10,'90-估算标准'!$D$5:$D$41,0)),IF($D10="接入复用",INDEX('90-估算标准'!$J$5:$J$41,MATCH($C10,'90-估算标准'!$D$5:$D$41,0)),""))),"")</f>
        <v/>
      </c>
      <c r="H10" s="5">
        <f>IFERROR(INDEX('90-估算标准'!$R$5:$R$12,MATCH("K_COMPLEXITY_"&amp;$E10,'90-估算标准'!$P$5:$P$12,0)),"")</f>
        <v/>
      </c>
      <c r="I10" s="5">
        <f>IF(OR(NOT(ISNUMBER($G10)),NOT(ISNUMBER($H10))),"",ROUND($G10*$H10,1))</f>
        <v/>
      </c>
      <c r="J10" s="5">
        <f>IF($C10="内部系统对接",ROUND(INDEX('90-估算标准'!$R$5:$R$12,MATCH("SIT_INT_SUPPORT",'90-估算标准'!$P$5:$P$12,0))*$H10,1),IF($C10="外部系统对接",ROUND(INDEX('90-估算标准'!$R$5:$R$12,MATCH("SIT_EXT_SUPPORT",'90-估算标准'!$P$5:$P$12,0))*$H10,1),0))</f>
        <v/>
      </c>
      <c r="K10" s="5">
        <f>IF(COUNTA($A10:$F10)=0,"",IF(OR($A10="",$B10="",$C10="",$D10="",$E10=""),"必填项缺失",IF(COUNTIF($B:$B,$B10)&gt;1,"任务名称重复",IF(COUNTIF('01-需求故事'!$J:$J,$A10)&lt;&gt;1,"所属故事未知",IF(OR($E10="S",$E10="M",$E10="L"),IF(ISNUMBER($G10),"通过","任务类型与工作方式不适用"),"复杂度非法")))))</f>
        <v/>
      </c>
    </row>
    <row r="11" ht="94" customHeight="1">
      <c r="A11" s="4" t="inlineStr">
        <is>
          <t>会员与客户管理 &gt; 会员等级计算与版本 &gt; 计算并追溯会员等级</t>
        </is>
      </c>
      <c r="B11" s="4" t="inlineStr">
        <is>
          <t>调整既有会员主数据模型的等级历史</t>
        </is>
      </c>
      <c r="C11" s="4" t="inlineStr">
        <is>
          <t>数据模型与存储结构</t>
        </is>
      </c>
      <c r="D11" s="4" t="inlineStr">
        <is>
          <t>调整</t>
        </is>
      </c>
      <c r="E11" s="4" t="inlineStr">
        <is>
          <t>S</t>
        </is>
      </c>
      <c r="F11" s="4" t="inlineStr">
        <is>
          <t>任务理由：一个会员等级数据模型实例。
工作方式理由：扩展既有会员主数据模型，增加规则版本、生效区间和等级变更历史。
复杂度理由：新增两张关系清晰的历史表和唯一性约束，不涉及分区或跨库事务。</t>
        </is>
      </c>
      <c r="G11" s="5">
        <f>IFERROR(IF($D11="新建",INDEX('90-估算标准'!$H$5:$H$41,MATCH($C11,'90-估算标准'!$D$5:$D$41,0)),IF($D11="调整",INDEX('90-估算标准'!$I$5:$I$41,MATCH($C11,'90-估算标准'!$D$5:$D$41,0)),IF($D11="接入复用",INDEX('90-估算标准'!$J$5:$J$41,MATCH($C11,'90-估算标准'!$D$5:$D$41,0)),""))),"")</f>
        <v/>
      </c>
      <c r="H11" s="5">
        <f>IFERROR(INDEX('90-估算标准'!$R$5:$R$12,MATCH("K_COMPLEXITY_"&amp;$E11,'90-估算标准'!$P$5:$P$12,0)),"")</f>
        <v/>
      </c>
      <c r="I11" s="5">
        <f>IF(OR(NOT(ISNUMBER($G11)),NOT(ISNUMBER($H11))),"",ROUND($G11*$H11,1))</f>
        <v/>
      </c>
      <c r="J11" s="5">
        <f>IF($C11="内部系统对接",ROUND(INDEX('90-估算标准'!$R$5:$R$12,MATCH("SIT_INT_SUPPORT",'90-估算标准'!$P$5:$P$12,0))*$H11,1),IF($C11="外部系统对接",ROUND(INDEX('90-估算标准'!$R$5:$R$12,MATCH("SIT_EXT_SUPPORT",'90-估算标准'!$P$5:$P$12,0))*$H11,1),0))</f>
        <v/>
      </c>
      <c r="K11" s="5">
        <f>IF(COUNTA($A11:$F11)=0,"",IF(OR($A11="",$B11="",$C11="",$D11="",$E11=""),"必填项缺失",IF(COUNTIF($B:$B,$B11)&gt;1,"任务名称重复",IF(COUNTIF('01-需求故事'!$J:$J,$A11)&lt;&gt;1,"所属故事未知",IF(OR($E11="S",$E11="M",$E11="L"),IF(ISNUMBER($G11),"通过","任务类型与工作方式不适用"),"复杂度非法")))))</f>
        <v/>
      </c>
    </row>
    <row r="12" ht="64" customHeight="1">
      <c r="A12" s="4" t="inlineStr">
        <is>
          <t>订单与履约 &gt; 统一订单编排与状态机 &gt; 统一创建全渠道订单</t>
        </is>
      </c>
      <c r="B12" s="4" t="inlineStr">
        <is>
          <t>新建全渠道订单创建交互</t>
        </is>
      </c>
      <c r="C12" s="4" t="inlineStr">
        <is>
          <t>界面与交互</t>
        </is>
      </c>
      <c r="D12" s="4" t="inlineStr">
        <is>
          <t>新建</t>
        </is>
      </c>
      <c r="E12" s="4" t="inlineStr">
        <is>
          <t>M</t>
        </is>
      </c>
      <c r="F12" s="4" t="inlineStr">
        <is>
          <t>任务理由：一个订单创建主流程界面实例，包含统一校验和错误反馈。
工作方式理由：新增门店与线上共用的价格、权益和履约方式校验交互。</t>
        </is>
      </c>
      <c r="G12" s="5">
        <f>IFERROR(IF($D12="新建",INDEX('90-估算标准'!$H$5:$H$41,MATCH($C12,'90-估算标准'!$D$5:$D$41,0)),IF($D12="调整",INDEX('90-估算标准'!$I$5:$I$41,MATCH($C12,'90-估算标准'!$D$5:$D$41,0)),IF($D12="接入复用",INDEX('90-估算标准'!$J$5:$J$41,MATCH($C12,'90-估算标准'!$D$5:$D$41,0)),""))),"")</f>
        <v/>
      </c>
      <c r="H12" s="5">
        <f>IFERROR(INDEX('90-估算标准'!$R$5:$R$12,MATCH("K_COMPLEXITY_"&amp;$E12,'90-估算标准'!$P$5:$P$12,0)),"")</f>
        <v/>
      </c>
      <c r="I12" s="5">
        <f>IF(OR(NOT(ISNUMBER($G12)),NOT(ISNUMBER($H12))),"",ROUND($G12*$H12,1))</f>
        <v/>
      </c>
      <c r="J12" s="5">
        <f>IF($C12="内部系统对接",ROUND(INDEX('90-估算标准'!$R$5:$R$12,MATCH("SIT_INT_SUPPORT",'90-估算标准'!$P$5:$P$12,0))*$H12,1),IF($C12="外部系统对接",ROUND(INDEX('90-估算标准'!$R$5:$R$12,MATCH("SIT_EXT_SUPPORT",'90-估算标准'!$P$5:$P$12,0))*$H12,1),0))</f>
        <v/>
      </c>
      <c r="K12" s="5">
        <f>IF(COUNTA($A12:$F12)=0,"",IF(OR($A12="",$B12="",$C12="",$D12="",$E12=""),"必填项缺失",IF(COUNTIF($B:$B,$B12)&gt;1,"任务名称重复",IF(COUNTIF('01-需求故事'!$J:$J,$A12)&lt;&gt;1,"所属故事未知",IF(OR($E12="S",$E12="M",$E12="L"),IF(ISNUMBER($G12),"通过","任务类型与工作方式不适用"),"复杂度非法")))))</f>
        <v/>
      </c>
    </row>
    <row r="13" ht="109" customHeight="1">
      <c r="A13" s="4" t="inlineStr">
        <is>
          <t>订单与履约 &gt; 统一订单编排与状态机 &gt; 统一创建全渠道订单</t>
        </is>
      </c>
      <c r="B13" s="4" t="inlineStr">
        <is>
          <t>新建全渠道订单创建服务</t>
        </is>
      </c>
      <c r="C13" s="4" t="inlineStr">
        <is>
          <t>业务服务与接口</t>
        </is>
      </c>
      <c r="D13" s="4" t="inlineStr">
        <is>
          <t>新建</t>
        </is>
      </c>
      <c r="E13" s="4" t="inlineStr">
        <is>
          <t>L</t>
        </is>
      </c>
      <c r="F13" s="4" t="inlineStr">
        <is>
          <t>任务理由：一个全渠道订单创建服务实例。
工作方式理由：新增跨渠道订单创建、价格快照、权益核验和幂等控制。
复杂度理由：涉及门店与线上两类渠道、四项业务校验、跨域价格权益快照和并发幂等。</t>
        </is>
      </c>
      <c r="G13" s="5">
        <f>IFERROR(IF($D13="新建",INDEX('90-估算标准'!$H$5:$H$41,MATCH($C13,'90-估算标准'!$D$5:$D$41,0)),IF($D13="调整",INDEX('90-估算标准'!$I$5:$I$41,MATCH($C13,'90-估算标准'!$D$5:$D$41,0)),IF($D13="接入复用",INDEX('90-估算标准'!$J$5:$J$41,MATCH($C13,'90-估算标准'!$D$5:$D$41,0)),""))),"")</f>
        <v/>
      </c>
      <c r="H13" s="5">
        <f>IFERROR(INDEX('90-估算标准'!$R$5:$R$12,MATCH("K_COMPLEXITY_"&amp;$E13,'90-估算标准'!$P$5:$P$12,0)),"")</f>
        <v/>
      </c>
      <c r="I13" s="5">
        <f>IF(OR(NOT(ISNUMBER($G13)),NOT(ISNUMBER($H13))),"",ROUND($G13*$H13,1))</f>
        <v/>
      </c>
      <c r="J13" s="5">
        <f>IF($C13="内部系统对接",ROUND(INDEX('90-估算标准'!$R$5:$R$12,MATCH("SIT_INT_SUPPORT",'90-估算标准'!$P$5:$P$12,0))*$H13,1),IF($C13="外部系统对接",ROUND(INDEX('90-估算标准'!$R$5:$R$12,MATCH("SIT_EXT_SUPPORT",'90-估算标准'!$P$5:$P$12,0))*$H13,1),0))</f>
        <v/>
      </c>
      <c r="K13" s="5">
        <f>IF(COUNTA($A13:$F13)=0,"",IF(OR($A13="",$B13="",$C13="",$D13="",$E13=""),"必填项缺失",IF(COUNTIF($B:$B,$B13)&gt;1,"任务名称重复",IF(COUNTIF('01-需求故事'!$J:$J,$A13)&lt;&gt;1,"所属故事未知",IF(OR($E13="S",$E13="M",$E13="L"),IF(ISNUMBER($G13),"通过","任务类型与工作方式不适用"),"复杂度非法")))))</f>
        <v/>
      </c>
    </row>
    <row r="14" ht="79" customHeight="1">
      <c r="A14" s="4" t="inlineStr">
        <is>
          <t>订单与履约 &gt; 统一订单编排与状态机 &gt; 驱动订单状态与事件</t>
        </is>
      </c>
      <c r="B14" s="4" t="inlineStr">
        <is>
          <t>调整既有订单服务与状态机</t>
        </is>
      </c>
      <c r="C14" s="4" t="inlineStr">
        <is>
          <t>业务服务与接口</t>
        </is>
      </c>
      <c r="D14" s="4" t="inlineStr">
        <is>
          <t>调整</t>
        </is>
      </c>
      <c r="E14" s="4" t="inlineStr">
        <is>
          <t>M</t>
        </is>
      </c>
      <c r="F14" s="4" t="inlineStr">
        <is>
          <t>任务理由：一个订单状态机调整实例，包含新增状态、命令和合法迁移。
工作方式理由：扩展既有订单服务与状态机，增加门店接单、退货、退款和开票状态。</t>
        </is>
      </c>
      <c r="G14" s="5">
        <f>IFERROR(IF($D14="新建",INDEX('90-估算标准'!$H$5:$H$41,MATCH($C14,'90-估算标准'!$D$5:$D$41,0)),IF($D14="调整",INDEX('90-估算标准'!$I$5:$I$41,MATCH($C14,'90-估算标准'!$D$5:$D$41,0)),IF($D14="接入复用",INDEX('90-估算标准'!$J$5:$J$41,MATCH($C14,'90-估算标准'!$D$5:$D$41,0)),""))),"")</f>
        <v/>
      </c>
      <c r="H14" s="5">
        <f>IFERROR(INDEX('90-估算标准'!$R$5:$R$12,MATCH("K_COMPLEXITY_"&amp;$E14,'90-估算标准'!$P$5:$P$12,0)),"")</f>
        <v/>
      </c>
      <c r="I14" s="5">
        <f>IF(OR(NOT(ISNUMBER($G14)),NOT(ISNUMBER($H14))),"",ROUND($G14*$H14,1))</f>
        <v/>
      </c>
      <c r="J14" s="5">
        <f>IF($C14="内部系统对接",ROUND(INDEX('90-估算标准'!$R$5:$R$12,MATCH("SIT_INT_SUPPORT",'90-估算标准'!$P$5:$P$12,0))*$H14,1),IF($C14="外部系统对接",ROUND(INDEX('90-估算标准'!$R$5:$R$12,MATCH("SIT_EXT_SUPPORT",'90-估算标准'!$P$5:$P$12,0))*$H14,1),0))</f>
        <v/>
      </c>
      <c r="K14" s="5">
        <f>IF(COUNTA($A14:$F14)=0,"",IF(OR($A14="",$B14="",$C14="",$D14="",$E14=""),"必填项缺失",IF(COUNTIF($B:$B,$B14)&gt;1,"任务名称重复",IF(COUNTIF('01-需求故事'!$J:$J,$A14)&lt;&gt;1,"所属故事未知",IF(OR($E14="S",$E14="M",$E14="L"),IF(ISNUMBER($G14),"通过","任务类型与工作方式不适用"),"复杂度非法")))))</f>
        <v/>
      </c>
    </row>
    <row r="15" ht="109" customHeight="1">
      <c r="A15" s="4" t="inlineStr">
        <is>
          <t>订单与履约 &gt; 统一订单编排与状态机 &gt; 驱动订单状态与事件</t>
        </is>
      </c>
      <c r="B15" s="4" t="inlineStr">
        <is>
          <t>新建订单状态事件处理</t>
        </is>
      </c>
      <c r="C15" s="4" t="inlineStr">
        <is>
          <t>事件与消息处理</t>
        </is>
      </c>
      <c r="D15" s="4" t="inlineStr">
        <is>
          <t>新建</t>
        </is>
      </c>
      <c r="E15" s="4" t="inlineStr">
        <is>
          <t>L</t>
        </is>
      </c>
      <c r="F15" s="4" t="inlineStr">
        <is>
          <t>任务理由：一个订单状态事件主题及其生产消费处理实例。
工作方式理由：新增带事件编号、业务键和重放保护的订单状态事件。
复杂度理由：覆盖九类状态事件、顺序保证、重复消费和失败重放，并被多个下游订阅。</t>
        </is>
      </c>
      <c r="G15" s="5">
        <f>IFERROR(IF($D15="新建",INDEX('90-估算标准'!$H$5:$H$41,MATCH($C15,'90-估算标准'!$D$5:$D$41,0)),IF($D15="调整",INDEX('90-估算标准'!$I$5:$I$41,MATCH($C15,'90-估算标准'!$D$5:$D$41,0)),IF($D15="接入复用",INDEX('90-估算标准'!$J$5:$J$41,MATCH($C15,'90-估算标准'!$D$5:$D$41,0)),""))),"")</f>
        <v/>
      </c>
      <c r="H15" s="5">
        <f>IFERROR(INDEX('90-估算标准'!$R$5:$R$12,MATCH("K_COMPLEXITY_"&amp;$E15,'90-估算标准'!$P$5:$P$12,0)),"")</f>
        <v/>
      </c>
      <c r="I15" s="5">
        <f>IF(OR(NOT(ISNUMBER($G15)),NOT(ISNUMBER($H15))),"",ROUND($G15*$H15,1))</f>
        <v/>
      </c>
      <c r="J15" s="5">
        <f>IF($C15="内部系统对接",ROUND(INDEX('90-估算标准'!$R$5:$R$12,MATCH("SIT_INT_SUPPORT",'90-估算标准'!$P$5:$P$12,0))*$H15,1),IF($C15="外部系统对接",ROUND(INDEX('90-估算标准'!$R$5:$R$12,MATCH("SIT_EXT_SUPPORT",'90-估算标准'!$P$5:$P$12,0))*$H15,1),0))</f>
        <v/>
      </c>
      <c r="K15" s="5">
        <f>IF(COUNTA($A15:$F15)=0,"",IF(OR($A15="",$B15="",$C15="",$D15="",$E15=""),"必填项缺失",IF(COUNTIF($B:$B,$B15)&gt;1,"任务名称重复",IF(COUNTIF('01-需求故事'!$J:$J,$A15)&lt;&gt;1,"所属故事未知",IF(OR($E15="S",$E15="M",$E15="L"),IF(ISNUMBER($G15),"通过","任务类型与工作方式不适用"),"复杂度非法")))))</f>
        <v/>
      </c>
    </row>
    <row r="16" ht="79" customHeight="1">
      <c r="A16" s="4" t="inlineStr">
        <is>
          <t>订单与履约 &gt; 库存预占与释放 &gt; 预占和释放 ERP 库存</t>
        </is>
      </c>
      <c r="B16" s="4" t="inlineStr">
        <is>
          <t>接入既有 ERP 库存接口</t>
        </is>
      </c>
      <c r="C16" s="4" t="inlineStr">
        <is>
          <t>内部系统对接</t>
        </is>
      </c>
      <c r="D16" s="4" t="inlineStr">
        <is>
          <t>接入复用</t>
        </is>
      </c>
      <c r="E16" s="4" t="inlineStr">
        <is>
          <t>M</t>
        </is>
      </c>
      <c r="F16" s="4" t="inlineStr">
        <is>
          <t>任务理由：实现一个已登记的内部 ERP 库存集成，SIT 人天由集成表公式另计。
工作方式理由：既有 ERP 库存接口保持不变；本项目负责并交付：映射、适配、认证、专项验证。</t>
        </is>
      </c>
      <c r="G16" s="5">
        <f>IFERROR(IF($D16="新建",INDEX('90-估算标准'!$H$5:$H$41,MATCH($C16,'90-估算标准'!$D$5:$D$41,0)),IF($D16="调整",INDEX('90-估算标准'!$I$5:$I$41,MATCH($C16,'90-估算标准'!$D$5:$D$41,0)),IF($D16="接入复用",INDEX('90-估算标准'!$J$5:$J$41,MATCH($C16,'90-估算标准'!$D$5:$D$41,0)),""))),"")</f>
        <v/>
      </c>
      <c r="H16" s="5">
        <f>IFERROR(INDEX('90-估算标准'!$R$5:$R$12,MATCH("K_COMPLEXITY_"&amp;$E16,'90-估算标准'!$P$5:$P$12,0)),"")</f>
        <v/>
      </c>
      <c r="I16" s="5">
        <f>IF(OR(NOT(ISNUMBER($G16)),NOT(ISNUMBER($H16))),"",ROUND($G16*$H16,1))</f>
        <v/>
      </c>
      <c r="J16" s="5">
        <f>IF($C16="内部系统对接",ROUND(INDEX('90-估算标准'!$R$5:$R$12,MATCH("SIT_INT_SUPPORT",'90-估算标准'!$P$5:$P$12,0))*$H16,1),IF($C16="外部系统对接",ROUND(INDEX('90-估算标准'!$R$5:$R$12,MATCH("SIT_EXT_SUPPORT",'90-估算标准'!$P$5:$P$12,0))*$H16,1),0))</f>
        <v/>
      </c>
      <c r="K16" s="5">
        <f>IF(COUNTA($A16:$F16)=0,"",IF(OR($A16="",$B16="",$C16="",$D16="",$E16=""),"必填项缺失",IF(COUNTIF($B:$B,$B16)&gt;1,"任务名称重复",IF(COUNTIF('01-需求故事'!$J:$J,$A16)&lt;&gt;1,"所属故事未知",IF(OR($E16="S",$E16="M",$E16="L"),IF(ISNUMBER($G16),"通过","任务类型与工作方式不适用"),"复杂度非法")))))</f>
        <v/>
      </c>
    </row>
    <row r="17" ht="94" customHeight="1">
      <c r="A17" s="4" t="inlineStr">
        <is>
          <t>订单与履约 &gt; 库存预占与释放 &gt; 预占和释放 ERP 库存</t>
        </is>
      </c>
      <c r="B17" s="4" t="inlineStr">
        <is>
          <t>验证库存预占幂等与补偿</t>
        </is>
      </c>
      <c r="C17" s="4" t="inlineStr">
        <is>
          <t>人工测试</t>
        </is>
      </c>
      <c r="D17" s="4" t="inlineStr">
        <is>
          <t>新建</t>
        </is>
      </c>
      <c r="E17" s="4" t="inlineStr">
        <is>
          <t>S</t>
        </is>
      </c>
      <c r="F17" s="4" t="inlineStr">
        <is>
          <t>任务理由：一个库存集成专项人工测试实例，不替代集成支持 SIT 公式。
工作方式理由：新增 ERP 超时、重试、重复请求和释放失败的人工验证场景。
复杂度理由：集中验证四个已定义异常场景，数据准备简单且无需跨设备矩阵。</t>
        </is>
      </c>
      <c r="G17" s="5">
        <f>IFERROR(IF($D17="新建",INDEX('90-估算标准'!$H$5:$H$41,MATCH($C17,'90-估算标准'!$D$5:$D$41,0)),IF($D17="调整",INDEX('90-估算标准'!$I$5:$I$41,MATCH($C17,'90-估算标准'!$D$5:$D$41,0)),IF($D17="接入复用",INDEX('90-估算标准'!$J$5:$J$41,MATCH($C17,'90-估算标准'!$D$5:$D$41,0)),""))),"")</f>
        <v/>
      </c>
      <c r="H17" s="5">
        <f>IFERROR(INDEX('90-估算标准'!$R$5:$R$12,MATCH("K_COMPLEXITY_"&amp;$E17,'90-估算标准'!$P$5:$P$12,0)),"")</f>
        <v/>
      </c>
      <c r="I17" s="5">
        <f>IF(OR(NOT(ISNUMBER($G17)),NOT(ISNUMBER($H17))),"",ROUND($G17*$H17,1))</f>
        <v/>
      </c>
      <c r="J17" s="5">
        <f>IF($C17="内部系统对接",ROUND(INDEX('90-估算标准'!$R$5:$R$12,MATCH("SIT_INT_SUPPORT",'90-估算标准'!$P$5:$P$12,0))*$H17,1),IF($C17="外部系统对接",ROUND(INDEX('90-估算标准'!$R$5:$R$12,MATCH("SIT_EXT_SUPPORT",'90-估算标准'!$P$5:$P$12,0))*$H17,1),0))</f>
        <v/>
      </c>
      <c r="K17" s="5">
        <f>IF(COUNTA($A17:$F17)=0,"",IF(OR($A17="",$B17="",$C17="",$D17="",$E17=""),"必填项缺失",IF(COUNTIF($B:$B,$B17)&gt;1,"任务名称重复",IF(COUNTIF('01-需求故事'!$J:$J,$A17)&lt;&gt;1,"所属故事未知",IF(OR($E17="S",$E17="M",$E17="L"),IF(ISNUMBER($G17),"通过","任务类型与工作方式不适用"),"复杂度非法")))))</f>
        <v/>
      </c>
    </row>
    <row r="18" ht="64" customHeight="1">
      <c r="A18" s="4" t="inlineStr">
        <is>
          <t>订单与履约 &gt; 退货退款闭环 &gt; 提交并审核退货申请</t>
        </is>
      </c>
      <c r="B18" s="4" t="inlineStr">
        <is>
          <t>新建退货申请与审核交互</t>
        </is>
      </c>
      <c r="C18" s="4" t="inlineStr">
        <is>
          <t>界面与交互</t>
        </is>
      </c>
      <c r="D18" s="4" t="inlineStr">
        <is>
          <t>新建</t>
        </is>
      </c>
      <c r="E18" s="4" t="inlineStr">
        <is>
          <t>M</t>
        </is>
      </c>
      <c r="F18" s="4" t="inlineStr">
        <is>
          <t>任务理由：一个退货申请与审核主流程界面实例。
工作方式理由：新增门店和客服使用的退货明细、可退校验和审核反馈。</t>
        </is>
      </c>
      <c r="G18" s="5">
        <f>IFERROR(IF($D18="新建",INDEX('90-估算标准'!$H$5:$H$41,MATCH($C18,'90-估算标准'!$D$5:$D$41,0)),IF($D18="调整",INDEX('90-估算标准'!$I$5:$I$41,MATCH($C18,'90-估算标准'!$D$5:$D$41,0)),IF($D18="接入复用",INDEX('90-估算标准'!$J$5:$J$41,MATCH($C18,'90-估算标准'!$D$5:$D$41,0)),""))),"")</f>
        <v/>
      </c>
      <c r="H18" s="5">
        <f>IFERROR(INDEX('90-估算标准'!$R$5:$R$12,MATCH("K_COMPLEXITY_"&amp;$E18,'90-估算标准'!$P$5:$P$12,0)),"")</f>
        <v/>
      </c>
      <c r="I18" s="5">
        <f>IF(OR(NOT(ISNUMBER($G18)),NOT(ISNUMBER($H18))),"",ROUND($G18*$H18,1))</f>
        <v/>
      </c>
      <c r="J18" s="5">
        <f>IF($C18="内部系统对接",ROUND(INDEX('90-估算标准'!$R$5:$R$12,MATCH("SIT_INT_SUPPORT",'90-估算标准'!$P$5:$P$12,0))*$H18,1),IF($C18="外部系统对接",ROUND(INDEX('90-估算标准'!$R$5:$R$12,MATCH("SIT_EXT_SUPPORT",'90-估算标准'!$P$5:$P$12,0))*$H18,1),0))</f>
        <v/>
      </c>
      <c r="K18" s="5">
        <f>IF(COUNTA($A18:$F18)=0,"",IF(OR($A18="",$B18="",$C18="",$D18="",$E18=""),"必填项缺失",IF(COUNTIF($B:$B,$B18)&gt;1,"任务名称重复",IF(COUNTIF('01-需求故事'!$J:$J,$A18)&lt;&gt;1,"所属故事未知",IF(OR($E18="S",$E18="M",$E18="L"),IF(ISNUMBER($G18),"通过","任务类型与工作方式不适用"),"复杂度非法")))))</f>
        <v/>
      </c>
    </row>
    <row r="19" ht="64" customHeight="1">
      <c r="A19" s="4" t="inlineStr">
        <is>
          <t>订单与履约 &gt; 退货退款闭环 &gt; 提交并审核退货申请</t>
        </is>
      </c>
      <c r="B19" s="4" t="inlineStr">
        <is>
          <t>调整既有订单服务与状态机的退货规则</t>
        </is>
      </c>
      <c r="C19" s="4" t="inlineStr">
        <is>
          <t>业务服务与接口</t>
        </is>
      </c>
      <c r="D19" s="4" t="inlineStr">
        <is>
          <t>调整</t>
        </is>
      </c>
      <c r="E19" s="4" t="inlineStr">
        <is>
          <t>M</t>
        </is>
      </c>
      <c r="F19" s="4" t="inlineStr">
        <is>
          <t>任务理由：一个退货领域服务调整实例。
工作方式理由：在既有订单服务与状态机中增加可退数量、退货审核和退货单状态。</t>
        </is>
      </c>
      <c r="G19" s="5">
        <f>IFERROR(IF($D19="新建",INDEX('90-估算标准'!$H$5:$H$41,MATCH($C19,'90-估算标准'!$D$5:$D$41,0)),IF($D19="调整",INDEX('90-估算标准'!$I$5:$I$41,MATCH($C19,'90-估算标准'!$D$5:$D$41,0)),IF($D19="接入复用",INDEX('90-估算标准'!$J$5:$J$41,MATCH($C19,'90-估算标准'!$D$5:$D$41,0)),""))),"")</f>
        <v/>
      </c>
      <c r="H19" s="5">
        <f>IFERROR(INDEX('90-估算标准'!$R$5:$R$12,MATCH("K_COMPLEXITY_"&amp;$E19,'90-估算标准'!$P$5:$P$12,0)),"")</f>
        <v/>
      </c>
      <c r="I19" s="5">
        <f>IF(OR(NOT(ISNUMBER($G19)),NOT(ISNUMBER($H19))),"",ROUND($G19*$H19,1))</f>
        <v/>
      </c>
      <c r="J19" s="5">
        <f>IF($C19="内部系统对接",ROUND(INDEX('90-估算标准'!$R$5:$R$12,MATCH("SIT_INT_SUPPORT",'90-估算标准'!$P$5:$P$12,0))*$H19,1),IF($C19="外部系统对接",ROUND(INDEX('90-估算标准'!$R$5:$R$12,MATCH("SIT_EXT_SUPPORT",'90-估算标准'!$P$5:$P$12,0))*$H19,1),0))</f>
        <v/>
      </c>
      <c r="K19" s="5">
        <f>IF(COUNTA($A19:$F19)=0,"",IF(OR($A19="",$B19="",$C19="",$D19="",$E19=""),"必填项缺失",IF(COUNTIF($B:$B,$B19)&gt;1,"任务名称重复",IF(COUNTIF('01-需求故事'!$J:$J,$A19)&lt;&gt;1,"所属故事未知",IF(OR($E19="S",$E19="M",$E19="L"),IF(ISNUMBER($G19),"通过","任务类型与工作方式不适用"),"复杂度非法")))))</f>
        <v/>
      </c>
    </row>
    <row r="20" ht="139" customHeight="1">
      <c r="A20" s="4" t="inlineStr">
        <is>
          <t>订单与履约 &gt; 退货退款闭环 &gt; 发起退款并回写结果</t>
        </is>
      </c>
      <c r="B20" s="4" t="inlineStr">
        <is>
          <t>接入既有支付网关租户</t>
        </is>
      </c>
      <c r="C20" s="4" t="inlineStr">
        <is>
          <t>外部系统对接</t>
        </is>
      </c>
      <c r="D20" s="4" t="inlineStr">
        <is>
          <t>接入复用</t>
        </is>
      </c>
      <c r="E20" s="4" t="inlineStr">
        <is>
          <t>L</t>
        </is>
      </c>
      <c r="F20" s="4" t="inlineStr">
        <is>
          <t>任务理由：实现一个已登记的外部支付退款集成，外部支持成本在集成表单列展示。
工作方式理由：既有支付网关租户保持不变；本项目负责并交付：配置、映射、适配、认证、专项验证。
复杂度理由：涉及外部认证、同步申请与异步回调、金额幂等、供应商错误码和认证窗口。</t>
        </is>
      </c>
      <c r="G20" s="5">
        <f>IFERROR(IF($D20="新建",INDEX('90-估算标准'!$H$5:$H$41,MATCH($C20,'90-估算标准'!$D$5:$D$41,0)),IF($D20="调整",INDEX('90-估算标准'!$I$5:$I$41,MATCH($C20,'90-估算标准'!$D$5:$D$41,0)),IF($D20="接入复用",INDEX('90-估算标准'!$J$5:$J$41,MATCH($C20,'90-估算标准'!$D$5:$D$41,0)),""))),"")</f>
        <v/>
      </c>
      <c r="H20" s="5">
        <f>IFERROR(INDEX('90-估算标准'!$R$5:$R$12,MATCH("K_COMPLEXITY_"&amp;$E20,'90-估算标准'!$P$5:$P$12,0)),"")</f>
        <v/>
      </c>
      <c r="I20" s="5">
        <f>IF(OR(NOT(ISNUMBER($G20)),NOT(ISNUMBER($H20))),"",ROUND($G20*$H20,1))</f>
        <v/>
      </c>
      <c r="J20" s="5">
        <f>IF($C20="内部系统对接",ROUND(INDEX('90-估算标准'!$R$5:$R$12,MATCH("SIT_INT_SUPPORT",'90-估算标准'!$P$5:$P$12,0))*$H20,1),IF($C20="外部系统对接",ROUND(INDEX('90-估算标准'!$R$5:$R$12,MATCH("SIT_EXT_SUPPORT",'90-估算标准'!$P$5:$P$12,0))*$H20,1),0))</f>
        <v/>
      </c>
      <c r="K20" s="5">
        <f>IF(COUNTA($A20:$F20)=0,"",IF(OR($A20="",$B20="",$C20="",$D20="",$E20=""),"必填项缺失",IF(COUNTIF($B:$B,$B20)&gt;1,"任务名称重复",IF(COUNTIF('01-需求故事'!$J:$J,$A20)&lt;&gt;1,"所属故事未知",IF(OR($E20="S",$E20="M",$E20="L"),IF(ISNUMBER($G20),"通过","任务类型与工作方式不适用"),"复杂度非法")))))</f>
        <v/>
      </c>
    </row>
    <row r="21" ht="64" customHeight="1">
      <c r="A21" s="4" t="inlineStr">
        <is>
          <t>订单与履约 &gt; 退货退款闭环 &gt; 发起退款并回写结果</t>
        </is>
      </c>
      <c r="B21" s="4" t="inlineStr">
        <is>
          <t>验证退款签名与隐私保护</t>
        </is>
      </c>
      <c r="C21" s="4" t="inlineStr">
        <is>
          <t>安全与隐私测试</t>
        </is>
      </c>
      <c r="D21" s="4" t="inlineStr">
        <is>
          <t>新建</t>
        </is>
      </c>
      <c r="E21" s="4" t="inlineStr">
        <is>
          <t>M</t>
        </is>
      </c>
      <c r="F21" s="4" t="inlineStr">
        <is>
          <t>任务理由：一个退款链路安全与隐私测试实例。
工作方式理由：新增退款回调签名、重放攻击、敏感字段和越权场景验证。</t>
        </is>
      </c>
      <c r="G21" s="5">
        <f>IFERROR(IF($D21="新建",INDEX('90-估算标准'!$H$5:$H$41,MATCH($C21,'90-估算标准'!$D$5:$D$41,0)),IF($D21="调整",INDEX('90-估算标准'!$I$5:$I$41,MATCH($C21,'90-估算标准'!$D$5:$D$41,0)),IF($D21="接入复用",INDEX('90-估算标准'!$J$5:$J$41,MATCH($C21,'90-估算标准'!$D$5:$D$41,0)),""))),"")</f>
        <v/>
      </c>
      <c r="H21" s="5">
        <f>IFERROR(INDEX('90-估算标准'!$R$5:$R$12,MATCH("K_COMPLEXITY_"&amp;$E21,'90-估算标准'!$P$5:$P$12,0)),"")</f>
        <v/>
      </c>
      <c r="I21" s="5">
        <f>IF(OR(NOT(ISNUMBER($G21)),NOT(ISNUMBER($H21))),"",ROUND($G21*$H21,1))</f>
        <v/>
      </c>
      <c r="J21" s="5">
        <f>IF($C21="内部系统对接",ROUND(INDEX('90-估算标准'!$R$5:$R$12,MATCH("SIT_INT_SUPPORT",'90-估算标准'!$P$5:$P$12,0))*$H21,1),IF($C21="外部系统对接",ROUND(INDEX('90-估算标准'!$R$5:$R$12,MATCH("SIT_EXT_SUPPORT",'90-估算标准'!$P$5:$P$12,0))*$H21,1),0))</f>
        <v/>
      </c>
      <c r="K21" s="5">
        <f>IF(COUNTA($A21:$F21)=0,"",IF(OR($A21="",$B21="",$C21="",$D21="",$E21=""),"必填项缺失",IF(COUNTIF($B:$B,$B21)&gt;1,"任务名称重复",IF(COUNTIF('01-需求故事'!$J:$J,$A21)&lt;&gt;1,"所属故事未知",IF(OR($E21="S",$E21="M",$E21="L"),IF(ISNUMBER($G21),"通过","任务类型与工作方式不适用"),"复杂度非法")))))</f>
        <v/>
      </c>
    </row>
    <row r="22" ht="64" customHeight="1">
      <c r="A22" s="4" t="inlineStr">
        <is>
          <t>全渠道运营 &gt; 门店接单工作台 &gt; 门店处理订单与交接</t>
        </is>
      </c>
      <c r="B22" s="4" t="inlineStr">
        <is>
          <t>新建门店订单队列与交接界面</t>
        </is>
      </c>
      <c r="C22" s="4" t="inlineStr">
        <is>
          <t>界面与交互</t>
        </is>
      </c>
      <c r="D22" s="4" t="inlineStr">
        <is>
          <t>新建</t>
        </is>
      </c>
      <c r="E22" s="4" t="inlineStr">
        <is>
          <t>M</t>
        </is>
      </c>
      <c r="F22" s="4" t="inlineStr">
        <is>
          <t>任务理由：一个门店接单工作台主界面实例。
工作方式理由：新增门店待处理队列、缺货替代、备注和班次交接交互。</t>
        </is>
      </c>
      <c r="G22" s="5">
        <f>IFERROR(IF($D22="新建",INDEX('90-估算标准'!$H$5:$H$41,MATCH($C22,'90-估算标准'!$D$5:$D$41,0)),IF($D22="调整",INDEX('90-估算标准'!$I$5:$I$41,MATCH($C22,'90-估算标准'!$D$5:$D$41,0)),IF($D22="接入复用",INDEX('90-估算标准'!$J$5:$J$41,MATCH($C22,'90-估算标准'!$D$5:$D$41,0)),""))),"")</f>
        <v/>
      </c>
      <c r="H22" s="5">
        <f>IFERROR(INDEX('90-估算标准'!$R$5:$R$12,MATCH("K_COMPLEXITY_"&amp;$E22,'90-估算标准'!$P$5:$P$12,0)),"")</f>
        <v/>
      </c>
      <c r="I22" s="5">
        <f>IF(OR(NOT(ISNUMBER($G22)),NOT(ISNUMBER($H22))),"",ROUND($G22*$H22,1))</f>
        <v/>
      </c>
      <c r="J22" s="5">
        <f>IF($C22="内部系统对接",ROUND(INDEX('90-估算标准'!$R$5:$R$12,MATCH("SIT_INT_SUPPORT",'90-估算标准'!$P$5:$P$12,0))*$H22,1),IF($C22="外部系统对接",ROUND(INDEX('90-估算标准'!$R$5:$R$12,MATCH("SIT_EXT_SUPPORT",'90-估算标准'!$P$5:$P$12,0))*$H22,1),0))</f>
        <v/>
      </c>
      <c r="K22" s="5">
        <f>IF(COUNTA($A22:$F22)=0,"",IF(OR($A22="",$B22="",$C22="",$D22="",$E22=""),"必填项缺失",IF(COUNTIF($B:$B,$B22)&gt;1,"任务名称重复",IF(COUNTIF('01-需求故事'!$J:$J,$A22)&lt;&gt;1,"所属故事未知",IF(OR($E22="S",$E22="M",$E22="L"),IF(ISNUMBER($G22),"通过","任务类型与工作方式不适用"),"复杂度非法")))))</f>
        <v/>
      </c>
    </row>
    <row r="23" ht="94" customHeight="1">
      <c r="A23" s="4" t="inlineStr">
        <is>
          <t>全渠道运营 &gt; 门店接单工作台 &gt; 门店处理订单与交接</t>
        </is>
      </c>
      <c r="B23" s="4" t="inlineStr">
        <is>
          <t>新建门店接单与交接服务</t>
        </is>
      </c>
      <c r="C23" s="4" t="inlineStr">
        <is>
          <t>业务服务与接口</t>
        </is>
      </c>
      <c r="D23" s="4" t="inlineStr">
        <is>
          <t>新建</t>
        </is>
      </c>
      <c r="E23" s="4" t="inlineStr">
        <is>
          <t>L</t>
        </is>
      </c>
      <c r="F23" s="4" t="inlineStr">
        <is>
          <t>任务理由：一个门店接单领域服务实例。
工作方式理由：交付一期顺延的门店接单、缺货替代、权限校验和交接操作。
复杂度理由：涉及门店数据隔离、并发抢单、缺货替代和跨班次交接四类复杂规则。</t>
        </is>
      </c>
      <c r="G23" s="5">
        <f>IFERROR(IF($D23="新建",INDEX('90-估算标准'!$H$5:$H$41,MATCH($C23,'90-估算标准'!$D$5:$D$41,0)),IF($D23="调整",INDEX('90-估算标准'!$I$5:$I$41,MATCH($C23,'90-估算标准'!$D$5:$D$41,0)),IF($D23="接入复用",INDEX('90-估算标准'!$J$5:$J$41,MATCH($C23,'90-估算标准'!$D$5:$D$41,0)),""))),"")</f>
        <v/>
      </c>
      <c r="H23" s="5">
        <f>IFERROR(INDEX('90-估算标准'!$R$5:$R$12,MATCH("K_COMPLEXITY_"&amp;$E23,'90-估算标准'!$P$5:$P$12,0)),"")</f>
        <v/>
      </c>
      <c r="I23" s="5">
        <f>IF(OR(NOT(ISNUMBER($G23)),NOT(ISNUMBER($H23))),"",ROUND($G23*$H23,1))</f>
        <v/>
      </c>
      <c r="J23" s="5">
        <f>IF($C23="内部系统对接",ROUND(INDEX('90-估算标准'!$R$5:$R$12,MATCH("SIT_INT_SUPPORT",'90-估算标准'!$P$5:$P$12,0))*$H23,1),IF($C23="外部系统对接",ROUND(INDEX('90-估算标准'!$R$5:$R$12,MATCH("SIT_EXT_SUPPORT",'90-估算标准'!$P$5:$P$12,0))*$H23,1),0))</f>
        <v/>
      </c>
      <c r="K23" s="5">
        <f>IF(COUNTA($A23:$F23)=0,"",IF(OR($A23="",$B23="",$C23="",$D23="",$E23=""),"必填项缺失",IF(COUNTIF($B:$B,$B23)&gt;1,"任务名称重复",IF(COUNTIF('01-需求故事'!$J:$J,$A23)&lt;&gt;1,"所属故事未知",IF(OR($E23="S",$E23="M",$E23="L"),IF(ISNUMBER($G23),"通过","任务类型与工作方式不适用"),"复杂度非法")))))</f>
        <v/>
      </c>
    </row>
    <row r="24" ht="79" customHeight="1">
      <c r="A24" s="4" t="inlineStr">
        <is>
          <t>全渠道运营 &gt; 订单状态与履约轨迹 &gt; 查看统一履约轨迹</t>
        </is>
      </c>
      <c r="B24" s="4" t="inlineStr">
        <is>
          <t>新建统一订单履约轨迹</t>
        </is>
      </c>
      <c r="C24" s="4" t="inlineStr">
        <is>
          <t>界面与交互</t>
        </is>
      </c>
      <c r="D24" s="4" t="inlineStr">
        <is>
          <t>新建</t>
        </is>
      </c>
      <c r="E24" s="4" t="inlineStr">
        <is>
          <t>S</t>
        </is>
      </c>
      <c r="F24" s="4" t="inlineStr">
        <is>
          <t>任务理由：一个订单履约轨迹界面实例。
工作方式理由：新增顾客与客服共用的状态、履约节点和异常原因时间轴。
复杂度理由：单一只读时间轴，复用现有列表组件且无复杂编辑状态。</t>
        </is>
      </c>
      <c r="G24" s="5">
        <f>IFERROR(IF($D24="新建",INDEX('90-估算标准'!$H$5:$H$41,MATCH($C24,'90-估算标准'!$D$5:$D$41,0)),IF($D24="调整",INDEX('90-估算标准'!$I$5:$I$41,MATCH($C24,'90-估算标准'!$D$5:$D$41,0)),IF($D24="接入复用",INDEX('90-估算标准'!$J$5:$J$41,MATCH($C24,'90-估算标准'!$D$5:$D$41,0)),""))),"")</f>
        <v/>
      </c>
      <c r="H24" s="5">
        <f>IFERROR(INDEX('90-估算标准'!$R$5:$R$12,MATCH("K_COMPLEXITY_"&amp;$E24,'90-估算标准'!$P$5:$P$12,0)),"")</f>
        <v/>
      </c>
      <c r="I24" s="5">
        <f>IF(OR(NOT(ISNUMBER($G24)),NOT(ISNUMBER($H24))),"",ROUND($G24*$H24,1))</f>
        <v/>
      </c>
      <c r="J24" s="5">
        <f>IF($C24="内部系统对接",ROUND(INDEX('90-估算标准'!$R$5:$R$12,MATCH("SIT_INT_SUPPORT",'90-估算标准'!$P$5:$P$12,0))*$H24,1),IF($C24="外部系统对接",ROUND(INDEX('90-估算标准'!$R$5:$R$12,MATCH("SIT_EXT_SUPPORT",'90-估算标准'!$P$5:$P$12,0))*$H24,1),0))</f>
        <v/>
      </c>
      <c r="K24" s="5">
        <f>IF(COUNTA($A24:$F24)=0,"",IF(OR($A24="",$B24="",$C24="",$D24="",$E24=""),"必填项缺失",IF(COUNTIF($B:$B,$B24)&gt;1,"任务名称重复",IF(COUNTIF('01-需求故事'!$J:$J,$A24)&lt;&gt;1,"所属故事未知",IF(OR($E24="S",$E24="M",$E24="L"),IF(ISNUMBER($G24),"通过","任务类型与工作方式不适用"),"复杂度非法")))))</f>
        <v/>
      </c>
    </row>
    <row r="25" ht="64" customHeight="1">
      <c r="A25" s="4" t="inlineStr">
        <is>
          <t>全渠道运营 &gt; 订单状态与履约轨迹 &gt; 查看统一履约轨迹</t>
        </is>
      </c>
      <c r="B25" s="4" t="inlineStr">
        <is>
          <t>新建履约轨迹事件投影</t>
        </is>
      </c>
      <c r="C25" s="4" t="inlineStr">
        <is>
          <t>事件与消息处理</t>
        </is>
      </c>
      <c r="D25" s="4" t="inlineStr">
        <is>
          <t>新建</t>
        </is>
      </c>
      <c r="E25" s="4" t="inlineStr">
        <is>
          <t>M</t>
        </is>
      </c>
      <c r="F25" s="4" t="inlineStr">
        <is>
          <t>任务理由：一个履约轨迹事件消费和投影实例。
工作方式理由：新增订单状态事件到渠道可读轨迹的投影与延迟补偿。</t>
        </is>
      </c>
      <c r="G25" s="5">
        <f>IFERROR(IF($D25="新建",INDEX('90-估算标准'!$H$5:$H$41,MATCH($C25,'90-估算标准'!$D$5:$D$41,0)),IF($D25="调整",INDEX('90-估算标准'!$I$5:$I$41,MATCH($C25,'90-估算标准'!$D$5:$D$41,0)),IF($D25="接入复用",INDEX('90-估算标准'!$J$5:$J$41,MATCH($C25,'90-估算标准'!$D$5:$D$41,0)),""))),"")</f>
        <v/>
      </c>
      <c r="H25" s="5">
        <f>IFERROR(INDEX('90-估算标准'!$R$5:$R$12,MATCH("K_COMPLEXITY_"&amp;$E25,'90-估算标准'!$P$5:$P$12,0)),"")</f>
        <v/>
      </c>
      <c r="I25" s="5">
        <f>IF(OR(NOT(ISNUMBER($G25)),NOT(ISNUMBER($H25))),"",ROUND($G25*$H25,1))</f>
        <v/>
      </c>
      <c r="J25" s="5">
        <f>IF($C25="内部系统对接",ROUND(INDEX('90-估算标准'!$R$5:$R$12,MATCH("SIT_INT_SUPPORT",'90-估算标准'!$P$5:$P$12,0))*$H25,1),IF($C25="外部系统对接",ROUND(INDEX('90-估算标准'!$R$5:$R$12,MATCH("SIT_EXT_SUPPORT",'90-估算标准'!$P$5:$P$12,0))*$H25,1),0))</f>
        <v/>
      </c>
      <c r="K25" s="5">
        <f>IF(COUNTA($A25:$F25)=0,"",IF(OR($A25="",$B25="",$C25="",$D25="",$E25=""),"必填项缺失",IF(COUNTIF($B:$B,$B25)&gt;1,"任务名称重复",IF(COUNTIF('01-需求故事'!$J:$J,$A25)&lt;&gt;1,"所属故事未知",IF(OR($E25="S",$E25="M",$E25="L"),IF(ISNUMBER($G25),"通过","任务类型与工作方式不适用"),"复杂度非法")))))</f>
        <v/>
      </c>
    </row>
    <row r="26" ht="64" customHeight="1">
      <c r="A26" s="4" t="inlineStr">
        <is>
          <t>财务结算与经营分析 &gt; 支付退款日结对账 &gt; 执行支付退款日结对账</t>
        </is>
      </c>
      <c r="B26" s="4" t="inlineStr">
        <is>
          <t>新建支付退款日结作业</t>
        </is>
      </c>
      <c r="C26" s="4" t="inlineStr">
        <is>
          <t>后台任务</t>
        </is>
      </c>
      <c r="D26" s="4" t="inlineStr">
        <is>
          <t>新建</t>
        </is>
      </c>
      <c r="E26" s="4" t="inlineStr">
        <is>
          <t>M</t>
        </is>
      </c>
      <c r="F26" s="4" t="inlineStr">
        <is>
          <t>任务理由：一个按自然日调度的支付对账后台作业实例。
工作方式理由：新增每日交易归集、手续费计算、差异识别和失败重跑作业。</t>
        </is>
      </c>
      <c r="G26" s="5">
        <f>IFERROR(IF($D26="新建",INDEX('90-估算标准'!$H$5:$H$41,MATCH($C26,'90-估算标准'!$D$5:$D$41,0)),IF($D26="调整",INDEX('90-估算标准'!$I$5:$I$41,MATCH($C26,'90-估算标准'!$D$5:$D$41,0)),IF($D26="接入复用",INDEX('90-估算标准'!$J$5:$J$41,MATCH($C26,'90-估算标准'!$D$5:$D$41,0)),""))),"")</f>
        <v/>
      </c>
      <c r="H26" s="5">
        <f>IFERROR(INDEX('90-估算标准'!$R$5:$R$12,MATCH("K_COMPLEXITY_"&amp;$E26,'90-估算标准'!$P$5:$P$12,0)),"")</f>
        <v/>
      </c>
      <c r="I26" s="5">
        <f>IF(OR(NOT(ISNUMBER($G26)),NOT(ISNUMBER($H26))),"",ROUND($G26*$H26,1))</f>
        <v/>
      </c>
      <c r="J26" s="5">
        <f>IF($C26="内部系统对接",ROUND(INDEX('90-估算标准'!$R$5:$R$12,MATCH("SIT_INT_SUPPORT",'90-估算标准'!$P$5:$P$12,0))*$H26,1),IF($C26="外部系统对接",ROUND(INDEX('90-估算标准'!$R$5:$R$12,MATCH("SIT_EXT_SUPPORT",'90-估算标准'!$P$5:$P$12,0))*$H26,1),0))</f>
        <v/>
      </c>
      <c r="K26" s="5">
        <f>IF(COUNTA($A26:$F26)=0,"",IF(OR($A26="",$B26="",$C26="",$D26="",$E26=""),"必填项缺失",IF(COUNTIF($B:$B,$B26)&gt;1,"任务名称重复",IF(COUNTIF('01-需求故事'!$J:$J,$A26)&lt;&gt;1,"所属故事未知",IF(OR($E26="S",$E26="M",$E26="L"),IF(ISNUMBER($G26),"通过","任务类型与工作方式不适用"),"复杂度非法")))))</f>
        <v/>
      </c>
    </row>
    <row r="27" ht="64" customHeight="1">
      <c r="A27" s="4" t="inlineStr">
        <is>
          <t>财务结算与经营分析 &gt; 支付退款日结对账 &gt; 执行支付退款日结对账</t>
        </is>
      </c>
      <c r="B27" s="4" t="inlineStr">
        <is>
          <t>新建支付差异复核视图</t>
        </is>
      </c>
      <c r="C27" s="4" t="inlineStr">
        <is>
          <t>报表与指标</t>
        </is>
      </c>
      <c r="D27" s="4" t="inlineStr">
        <is>
          <t>新建</t>
        </is>
      </c>
      <c r="E27" s="4" t="inlineStr">
        <is>
          <t>M</t>
        </is>
      </c>
      <c r="F27" s="4" t="inlineStr">
        <is>
          <t>任务理由：一个支付日结差异报表实例。
工作方式理由：新增按渠道、门店和订单查看实收、退款与手续费差异的财务视图。</t>
        </is>
      </c>
      <c r="G27" s="5">
        <f>IFERROR(IF($D27="新建",INDEX('90-估算标准'!$H$5:$H$41,MATCH($C27,'90-估算标准'!$D$5:$D$41,0)),IF($D27="调整",INDEX('90-估算标准'!$I$5:$I$41,MATCH($C27,'90-估算标准'!$D$5:$D$41,0)),IF($D27="接入复用",INDEX('90-估算标准'!$J$5:$J$41,MATCH($C27,'90-估算标准'!$D$5:$D$41,0)),""))),"")</f>
        <v/>
      </c>
      <c r="H27" s="5">
        <f>IFERROR(INDEX('90-估算标准'!$R$5:$R$12,MATCH("K_COMPLEXITY_"&amp;$E27,'90-估算标准'!$P$5:$P$12,0)),"")</f>
        <v/>
      </c>
      <c r="I27" s="5">
        <f>IF(OR(NOT(ISNUMBER($G27)),NOT(ISNUMBER($H27))),"",ROUND($G27*$H27,1))</f>
        <v/>
      </c>
      <c r="J27" s="5">
        <f>IF($C27="内部系统对接",ROUND(INDEX('90-估算标准'!$R$5:$R$12,MATCH("SIT_INT_SUPPORT",'90-估算标准'!$P$5:$P$12,0))*$H27,1),IF($C27="外部系统对接",ROUND(INDEX('90-估算标准'!$R$5:$R$12,MATCH("SIT_EXT_SUPPORT",'90-估算标准'!$P$5:$P$12,0))*$H27,1),0))</f>
        <v/>
      </c>
      <c r="K27" s="5">
        <f>IF(COUNTA($A27:$F27)=0,"",IF(OR($A27="",$B27="",$C27="",$D27="",$E27=""),"必填项缺失",IF(COUNTIF($B:$B,$B27)&gt;1,"任务名称重复",IF(COUNTIF('01-需求故事'!$J:$J,$A27)&lt;&gt;1,"所属故事未知",IF(OR($E27="S",$E27="M",$E27="L"),IF(ISNUMBER($G27),"通过","任务类型与工作方式不适用"),"复杂度非法")))))</f>
        <v/>
      </c>
    </row>
    <row r="28" ht="79" customHeight="1">
      <c r="A28" s="4" t="inlineStr">
        <is>
          <t>财务结算与经营分析 &gt; 电子发票申请与状态 &gt; 申请并追踪电子发票</t>
        </is>
      </c>
      <c r="B28" s="4" t="inlineStr">
        <is>
          <t>接入既有电子发票通道</t>
        </is>
      </c>
      <c r="C28" s="4" t="inlineStr">
        <is>
          <t>外部系统对接</t>
        </is>
      </c>
      <c r="D28" s="4" t="inlineStr">
        <is>
          <t>接入复用</t>
        </is>
      </c>
      <c r="E28" s="4" t="inlineStr">
        <is>
          <t>M</t>
        </is>
      </c>
      <c r="F28" s="4" t="inlineStr">
        <is>
          <t>任务理由：实现一个已登记的外部电子发票集成，并单列外部支持成本。
工作方式理由：既有电子发票通道保持不变；本项目负责并交付：配置、映射、适配、认证、租户设置、专项验证。</t>
        </is>
      </c>
      <c r="G28" s="5">
        <f>IFERROR(IF($D28="新建",INDEX('90-估算标准'!$H$5:$H$41,MATCH($C28,'90-估算标准'!$D$5:$D$41,0)),IF($D28="调整",INDEX('90-估算标准'!$I$5:$I$41,MATCH($C28,'90-估算标准'!$D$5:$D$41,0)),IF($D28="接入复用",INDEX('90-估算标准'!$J$5:$J$41,MATCH($C28,'90-估算标准'!$D$5:$D$41,0)),""))),"")</f>
        <v/>
      </c>
      <c r="H28" s="5">
        <f>IFERROR(INDEX('90-估算标准'!$R$5:$R$12,MATCH("K_COMPLEXITY_"&amp;$E28,'90-估算标准'!$P$5:$P$12,0)),"")</f>
        <v/>
      </c>
      <c r="I28" s="5">
        <f>IF(OR(NOT(ISNUMBER($G28)),NOT(ISNUMBER($H28))),"",ROUND($G28*$H28,1))</f>
        <v/>
      </c>
      <c r="J28" s="5">
        <f>IF($C28="内部系统对接",ROUND(INDEX('90-估算标准'!$R$5:$R$12,MATCH("SIT_INT_SUPPORT",'90-估算标准'!$P$5:$P$12,0))*$H28,1),IF($C28="外部系统对接",ROUND(INDEX('90-估算标准'!$R$5:$R$12,MATCH("SIT_EXT_SUPPORT",'90-估算标准'!$P$5:$P$12,0))*$H28,1),0))</f>
        <v/>
      </c>
      <c r="K28" s="5">
        <f>IF(COUNTA($A28:$F28)=0,"",IF(OR($A28="",$B28="",$C28="",$D28="",$E28=""),"必填项缺失",IF(COUNTIF($B:$B,$B28)&gt;1,"任务名称重复",IF(COUNTIF('01-需求故事'!$J:$J,$A28)&lt;&gt;1,"所属故事未知",IF(OR($E28="S",$E28="M",$E28="L"),IF(ISNUMBER($G28),"通过","任务类型与工作方式不适用"),"复杂度非法")))))</f>
        <v/>
      </c>
    </row>
    <row r="29" ht="64" customHeight="1">
      <c r="A29" s="4" t="inlineStr">
        <is>
          <t>财务结算与经营分析 &gt; 电子发票申请与状态 &gt; 申请并追踪电子发票</t>
        </is>
      </c>
      <c r="B29" s="4" t="inlineStr">
        <is>
          <t>新建发票状态补偿作业</t>
        </is>
      </c>
      <c r="C29" s="4" t="inlineStr">
        <is>
          <t>后台任务</t>
        </is>
      </c>
      <c r="D29" s="4" t="inlineStr">
        <is>
          <t>新建</t>
        </is>
      </c>
      <c r="E29" s="4" t="inlineStr">
        <is>
          <t>M</t>
        </is>
      </c>
      <c r="F29" s="4" t="inlineStr">
        <is>
          <t>任务理由：一个电子发票状态补偿后台作业实例。
工作方式理由：新增开票状态轮询、失败重试、重复申请拦截和结果回写作业。</t>
        </is>
      </c>
      <c r="G29" s="5">
        <f>IFERROR(IF($D29="新建",INDEX('90-估算标准'!$H$5:$H$41,MATCH($C29,'90-估算标准'!$D$5:$D$41,0)),IF($D29="调整",INDEX('90-估算标准'!$I$5:$I$41,MATCH($C29,'90-估算标准'!$D$5:$D$41,0)),IF($D29="接入复用",INDEX('90-估算标准'!$J$5:$J$41,MATCH($C29,'90-估算标准'!$D$5:$D$41,0)),""))),"")</f>
        <v/>
      </c>
      <c r="H29" s="5">
        <f>IFERROR(INDEX('90-估算标准'!$R$5:$R$12,MATCH("K_COMPLEXITY_"&amp;$E29,'90-估算标准'!$P$5:$P$12,0)),"")</f>
        <v/>
      </c>
      <c r="I29" s="5">
        <f>IF(OR(NOT(ISNUMBER($G29)),NOT(ISNUMBER($H29))),"",ROUND($G29*$H29,1))</f>
        <v/>
      </c>
      <c r="J29" s="5">
        <f>IF($C29="内部系统对接",ROUND(INDEX('90-估算标准'!$R$5:$R$12,MATCH("SIT_INT_SUPPORT",'90-估算标准'!$P$5:$P$12,0))*$H29,1),IF($C29="外部系统对接",ROUND(INDEX('90-估算标准'!$R$5:$R$12,MATCH("SIT_EXT_SUPPORT",'90-估算标准'!$P$5:$P$12,0))*$H29,1),0))</f>
        <v/>
      </c>
      <c r="K29" s="5">
        <f>IF(COUNTA($A29:$F29)=0,"",IF(OR($A29="",$B29="",$C29="",$D29="",$E29=""),"必填项缺失",IF(COUNTIF($B:$B,$B29)&gt;1,"任务名称重复",IF(COUNTIF('01-需求故事'!$J:$J,$A29)&lt;&gt;1,"所属故事未知",IF(OR($E29="S",$E29="M",$E29="L"),IF(ISNUMBER($G29),"通过","任务类型与工作方式不适用"),"复杂度非法")))))</f>
        <v/>
      </c>
    </row>
    <row r="30" ht="94" customHeight="1">
      <c r="A30" s="4" t="inlineStr">
        <is>
          <t>财务结算与经营分析 &gt; 财务经营报表 &gt; 查看财务经营日报</t>
        </is>
      </c>
      <c r="B30" s="4" t="inlineStr">
        <is>
          <t>新建财务经营日报</t>
        </is>
      </c>
      <c r="C30" s="4" t="inlineStr">
        <is>
          <t>报表与指标</t>
        </is>
      </c>
      <c r="D30" s="4" t="inlineStr">
        <is>
          <t>新建</t>
        </is>
      </c>
      <c r="E30" s="4" t="inlineStr">
        <is>
          <t>L</t>
        </is>
      </c>
      <c r="F30" s="4" t="inlineStr">
        <is>
          <t>任务理由：一个财务经营日报与指标集合实例。
工作方式理由：新增销售、退款、优惠和未对账金额的多维指标与下钻。
复杂度理由：包含四类金额、日期区域渠道三维切片、逐笔下钻和财务口径校验。</t>
        </is>
      </c>
      <c r="G30" s="5">
        <f>IFERROR(IF($D30="新建",INDEX('90-估算标准'!$H$5:$H$41,MATCH($C30,'90-估算标准'!$D$5:$D$41,0)),IF($D30="调整",INDEX('90-估算标准'!$I$5:$I$41,MATCH($C30,'90-估算标准'!$D$5:$D$41,0)),IF($D30="接入复用",INDEX('90-估算标准'!$J$5:$J$41,MATCH($C30,'90-估算标准'!$D$5:$D$41,0)),""))),"")</f>
        <v/>
      </c>
      <c r="H30" s="5">
        <f>IFERROR(INDEX('90-估算标准'!$R$5:$R$12,MATCH("K_COMPLEXITY_"&amp;$E30,'90-估算标准'!$P$5:$P$12,0)),"")</f>
        <v/>
      </c>
      <c r="I30" s="5">
        <f>IF(OR(NOT(ISNUMBER($G30)),NOT(ISNUMBER($H30))),"",ROUND($G30*$H30,1))</f>
        <v/>
      </c>
      <c r="J30" s="5">
        <f>IF($C30="内部系统对接",ROUND(INDEX('90-估算标准'!$R$5:$R$12,MATCH("SIT_INT_SUPPORT",'90-估算标准'!$P$5:$P$12,0))*$H30,1),IF($C30="外部系统对接",ROUND(INDEX('90-估算标准'!$R$5:$R$12,MATCH("SIT_EXT_SUPPORT",'90-估算标准'!$P$5:$P$12,0))*$H30,1),0))</f>
        <v/>
      </c>
      <c r="K30" s="5">
        <f>IF(COUNTA($A30:$F30)=0,"",IF(OR($A30="",$B30="",$C30="",$D30="",$E30=""),"必填项缺失",IF(COUNTIF($B:$B,$B30)&gt;1,"任务名称重复",IF(COUNTIF('01-需求故事'!$J:$J,$A30)&lt;&gt;1,"所属故事未知",IF(OR($E30="S",$E30="M",$E30="L"),IF(ISNUMBER($G30),"通过","任务类型与工作方式不适用"),"复杂度非法")))))</f>
        <v/>
      </c>
    </row>
    <row r="31" ht="64" customHeight="1">
      <c r="A31" s="4" t="inlineStr">
        <is>
          <t>财务结算与经营分析 &gt; 财务经营报表 &gt; 查看财务经营日报</t>
        </is>
      </c>
      <c r="B31" s="4" t="inlineStr">
        <is>
          <t>新建财务指标处理流程</t>
        </is>
      </c>
      <c r="C31" s="4" t="inlineStr">
        <is>
          <t>数据处理流程</t>
        </is>
      </c>
      <c r="D31" s="4" t="inlineStr">
        <is>
          <t>新建</t>
        </is>
      </c>
      <c r="E31" s="4" t="inlineStr">
        <is>
          <t>M</t>
        </is>
      </c>
      <c r="F31" s="4" t="inlineStr">
        <is>
          <t>任务理由：一个财务指标数据处理流程实例。
工作方式理由：新增订单、支付、退款和发票明细的清洗、关联与日汇总流程。</t>
        </is>
      </c>
      <c r="G31" s="5">
        <f>IFERROR(IF($D31="新建",INDEX('90-估算标准'!$H$5:$H$41,MATCH($C31,'90-估算标准'!$D$5:$D$41,0)),IF($D31="调整",INDEX('90-估算标准'!$I$5:$I$41,MATCH($C31,'90-估算标准'!$D$5:$D$41,0)),IF($D31="接入复用",INDEX('90-估算标准'!$J$5:$J$41,MATCH($C31,'90-估算标准'!$D$5:$D$41,0)),""))),"")</f>
        <v/>
      </c>
      <c r="H31" s="5">
        <f>IFERROR(INDEX('90-估算标准'!$R$5:$R$12,MATCH("K_COMPLEXITY_"&amp;$E31,'90-估算标准'!$P$5:$P$12,0)),"")</f>
        <v/>
      </c>
      <c r="I31" s="5">
        <f>IF(OR(NOT(ISNUMBER($G31)),NOT(ISNUMBER($H31))),"",ROUND($G31*$H31,1))</f>
        <v/>
      </c>
      <c r="J31" s="5">
        <f>IF($C31="内部系统对接",ROUND(INDEX('90-估算标准'!$R$5:$R$12,MATCH("SIT_INT_SUPPORT",'90-估算标准'!$P$5:$P$12,0))*$H31,1),IF($C31="外部系统对接",ROUND(INDEX('90-估算标准'!$R$5:$R$12,MATCH("SIT_EXT_SUPPORT",'90-估算标准'!$P$5:$P$12,0))*$H31,1),0))</f>
        <v/>
      </c>
      <c r="K31" s="5">
        <f>IF(COUNTA($A31:$F31)=0,"",IF(OR($A31="",$B31="",$C31="",$D31="",$E31=""),"必填项缺失",IF(COUNTIF($B:$B,$B31)&gt;1,"任务名称重复",IF(COUNTIF('01-需求故事'!$J:$J,$A31)&lt;&gt;1,"所属故事未知",IF(OR($E31="S",$E31="M",$E31="L"),IF(ISNUMBER($G31),"通过","任务类型与工作方式不适用"),"复杂度非法")))))</f>
        <v/>
      </c>
    </row>
    <row r="32" ht="64" customHeight="1">
      <c r="A32" s="4" t="inlineStr">
        <is>
          <t>平台与服务边界 &gt; 生产准备、切换与验证 &gt; 准备生产环境和发布流水线</t>
        </is>
      </c>
      <c r="B32" s="4" t="inlineStr">
        <is>
          <t>调整既有生产环境与发布流水线的运行配置</t>
        </is>
      </c>
      <c r="C32" s="4" t="inlineStr">
        <is>
          <t>运行环境</t>
        </is>
      </c>
      <c r="D32" s="4" t="inlineStr">
        <is>
          <t>调整</t>
        </is>
      </c>
      <c r="E32" s="4" t="inlineStr">
        <is>
          <t>M</t>
        </is>
      </c>
      <c r="F32" s="4" t="inlineStr">
        <is>
          <t>任务理由：一个生产运行环境配置实例。
工作方式理由：在既有生产环境与发布流水线中增加会员、订单、批处理和外部证书配置。</t>
        </is>
      </c>
      <c r="G32" s="5">
        <f>IFERROR(IF($D32="新建",INDEX('90-估算标准'!$H$5:$H$41,MATCH($C32,'90-估算标准'!$D$5:$D$41,0)),IF($D32="调整",INDEX('90-估算标准'!$I$5:$I$41,MATCH($C32,'90-估算标准'!$D$5:$D$41,0)),IF($D32="接入复用",INDEX('90-估算标准'!$J$5:$J$41,MATCH($C32,'90-估算标准'!$D$5:$D$41,0)),""))),"")</f>
        <v/>
      </c>
      <c r="H32" s="5">
        <f>IFERROR(INDEX('90-估算标准'!$R$5:$R$12,MATCH("K_COMPLEXITY_"&amp;$E32,'90-估算标准'!$P$5:$P$12,0)),"")</f>
        <v/>
      </c>
      <c r="I32" s="5">
        <f>IF(OR(NOT(ISNUMBER($G32)),NOT(ISNUMBER($H32))),"",ROUND($G32*$H32,1))</f>
        <v/>
      </c>
      <c r="J32" s="5">
        <f>IF($C32="内部系统对接",ROUND(INDEX('90-估算标准'!$R$5:$R$12,MATCH("SIT_INT_SUPPORT",'90-估算标准'!$P$5:$P$12,0))*$H32,1),IF($C32="外部系统对接",ROUND(INDEX('90-估算标准'!$R$5:$R$12,MATCH("SIT_EXT_SUPPORT",'90-估算标准'!$P$5:$P$12,0))*$H32,1),0))</f>
        <v/>
      </c>
      <c r="K32" s="5">
        <f>IF(COUNTA($A32:$F32)=0,"",IF(OR($A32="",$B32="",$C32="",$D32="",$E32=""),"必填项缺失",IF(COUNTIF($B:$B,$B32)&gt;1,"任务名称重复",IF(COUNTIF('01-需求故事'!$J:$J,$A32)&lt;&gt;1,"所属故事未知",IF(OR($E32="S",$E32="M",$E32="L"),IF(ISNUMBER($G32),"通过","任务类型与工作方式不适用"),"复杂度非法")))))</f>
        <v/>
      </c>
    </row>
    <row r="33" ht="79" customHeight="1">
      <c r="A33" s="4" t="inlineStr">
        <is>
          <t>平台与服务边界 &gt; 生产准备、切换与验证 &gt; 准备生产环境和发布流水线</t>
        </is>
      </c>
      <c r="B33" s="4" t="inlineStr">
        <is>
          <t>调整既有生产环境与发布流水线的部署步骤</t>
        </is>
      </c>
      <c r="C33" s="4" t="inlineStr">
        <is>
          <t>构建与部署流水线</t>
        </is>
      </c>
      <c r="D33" s="4" t="inlineStr">
        <is>
          <t>调整</t>
        </is>
      </c>
      <c r="E33" s="4" t="inlineStr">
        <is>
          <t>M</t>
        </is>
      </c>
      <c r="F33" s="4" t="inlineStr">
        <is>
          <t>任务理由：一个应用构建与部署流水线调整实例。
工作方式理由：扩展既有生产环境与发布流水线，增加迁移前检查、分步发布和验证门禁。</t>
        </is>
      </c>
      <c r="G33" s="5">
        <f>IFERROR(IF($D33="新建",INDEX('90-估算标准'!$H$5:$H$41,MATCH($C33,'90-估算标准'!$D$5:$D$41,0)),IF($D33="调整",INDEX('90-估算标准'!$I$5:$I$41,MATCH($C33,'90-估算标准'!$D$5:$D$41,0)),IF($D33="接入复用",INDEX('90-估算标准'!$J$5:$J$41,MATCH($C33,'90-估算标准'!$D$5:$D$41,0)),""))),"")</f>
        <v/>
      </c>
      <c r="H33" s="5">
        <f>IFERROR(INDEX('90-估算标准'!$R$5:$R$12,MATCH("K_COMPLEXITY_"&amp;$E33,'90-估算标准'!$P$5:$P$12,0)),"")</f>
        <v/>
      </c>
      <c r="I33" s="5">
        <f>IF(OR(NOT(ISNUMBER($G33)),NOT(ISNUMBER($H33))),"",ROUND($G33*$H33,1))</f>
        <v/>
      </c>
      <c r="J33" s="5">
        <f>IF($C33="内部系统对接",ROUND(INDEX('90-估算标准'!$R$5:$R$12,MATCH("SIT_INT_SUPPORT",'90-估算标准'!$P$5:$P$12,0))*$H33,1),IF($C33="外部系统对接",ROUND(INDEX('90-估算标准'!$R$5:$R$12,MATCH("SIT_EXT_SUPPORT",'90-估算标准'!$P$5:$P$12,0))*$H33,1),0))</f>
        <v/>
      </c>
      <c r="K33" s="5">
        <f>IF(COUNTA($A33:$F33)=0,"",IF(OR($A33="",$B33="",$C33="",$D33="",$E33=""),"必填项缺失",IF(COUNTIF($B:$B,$B33)&gt;1,"任务名称重复",IF(COUNTIF('01-需求故事'!$J:$J,$A33)&lt;&gt;1,"所属故事未知",IF(OR($E33="S",$E33="M",$E33="L"),IF(ISNUMBER($G33),"通过","任务类型与工作方式不适用"),"复杂度非法")))))</f>
        <v/>
      </c>
    </row>
    <row r="34" ht="94" customHeight="1">
      <c r="A34" s="4" t="inlineStr">
        <is>
          <t>平台与服务边界 &gt; 生产准备、切换与验证 &gt; 准备生产环境和发布流水线</t>
        </is>
      </c>
      <c r="B34" s="4" t="inlineStr">
        <is>
          <t>调整既有生产环境与发布流水线的功能开关</t>
        </is>
      </c>
      <c r="C34" s="4" t="inlineStr">
        <is>
          <t>配置与功能开关</t>
        </is>
      </c>
      <c r="D34" s="4" t="inlineStr">
        <is>
          <t>调整</t>
        </is>
      </c>
      <c r="E34" s="4" t="inlineStr">
        <is>
          <t>S</t>
        </is>
      </c>
      <c r="F34" s="4" t="inlineStr">
        <is>
          <t>任务理由：一个上线功能开关配置实例。
工作方式理由：在既有生产环境与发布流水线中配置渠道切流、退款和开票功能开关。
复杂度理由：三个独立布尔开关及默认值，沿用现有配置中心且无复杂灰度算法。</t>
        </is>
      </c>
      <c r="G34" s="5">
        <f>IFERROR(IF($D34="新建",INDEX('90-估算标准'!$H$5:$H$41,MATCH($C34,'90-估算标准'!$D$5:$D$41,0)),IF($D34="调整",INDEX('90-估算标准'!$I$5:$I$41,MATCH($C34,'90-估算标准'!$D$5:$D$41,0)),IF($D34="接入复用",INDEX('90-估算标准'!$J$5:$J$41,MATCH($C34,'90-估算标准'!$D$5:$D$41,0)),""))),"")</f>
        <v/>
      </c>
      <c r="H34" s="5">
        <f>IFERROR(INDEX('90-估算标准'!$R$5:$R$12,MATCH("K_COMPLEXITY_"&amp;$E34,'90-估算标准'!$P$5:$P$12,0)),"")</f>
        <v/>
      </c>
      <c r="I34" s="5">
        <f>IF(OR(NOT(ISNUMBER($G34)),NOT(ISNUMBER($H34))),"",ROUND($G34*$H34,1))</f>
        <v/>
      </c>
      <c r="J34" s="5">
        <f>IF($C34="内部系统对接",ROUND(INDEX('90-估算标准'!$R$5:$R$12,MATCH("SIT_INT_SUPPORT",'90-估算标准'!$P$5:$P$12,0))*$H34,1),IF($C34="外部系统对接",ROUND(INDEX('90-估算标准'!$R$5:$R$12,MATCH("SIT_EXT_SUPPORT",'90-估算标准'!$P$5:$P$12,0))*$H34,1),0))</f>
        <v/>
      </c>
      <c r="K34" s="5">
        <f>IF(COUNTA($A34:$F34)=0,"",IF(OR($A34="",$B34="",$C34="",$D34="",$E34=""),"必填项缺失",IF(COUNTIF($B:$B,$B34)&gt;1,"任务名称重复",IF(COUNTIF('01-需求故事'!$J:$J,$A34)&lt;&gt;1,"所属故事未知",IF(OR($E34="S",$E34="M",$E34="L"),IF(ISNUMBER($G34),"通过","任务类型与工作方式不适用"),"复杂度非法")))))</f>
        <v/>
      </c>
    </row>
    <row r="35" ht="124" customHeight="1">
      <c r="A35" s="4" t="inlineStr">
        <is>
          <t>平台与服务边界 &gt; 生产准备、切换与验证 &gt; 执行生产切换与回滚演练</t>
        </is>
      </c>
      <c r="B35" s="4" t="inlineStr">
        <is>
          <t>执行生产切换与回滚</t>
        </is>
      </c>
      <c r="C35" s="4" t="inlineStr">
        <is>
          <t>发布切换</t>
        </is>
      </c>
      <c r="D35" s="4" t="inlineStr">
        <is>
          <t>新建</t>
        </is>
      </c>
      <c r="E35" s="4" t="inlineStr">
        <is>
          <t>L</t>
        </is>
      </c>
      <c r="F35" s="4" t="inlineStr">
        <is>
          <t>任务理由：一个批准上线窗口内的生产发布切换实例。
工作方式理由：基于既有生产环境与发布流水线编制并执行分步切流、检查点和回滚清单。
复杂度理由：涉及会员、订单、四个集成链路、迁移窗口、三次继续回滚决策和多团队协同。</t>
        </is>
      </c>
      <c r="G35" s="5">
        <f>IFERROR(IF($D35="新建",INDEX('90-估算标准'!$H$5:$H$41,MATCH($C35,'90-估算标准'!$D$5:$D$41,0)),IF($D35="调整",INDEX('90-估算标准'!$I$5:$I$41,MATCH($C35,'90-估算标准'!$D$5:$D$41,0)),IF($D35="接入复用",INDEX('90-估算标准'!$J$5:$J$41,MATCH($C35,'90-估算标准'!$D$5:$D$41,0)),""))),"")</f>
        <v/>
      </c>
      <c r="H35" s="5">
        <f>IFERROR(INDEX('90-估算标准'!$R$5:$R$12,MATCH("K_COMPLEXITY_"&amp;$E35,'90-估算标准'!$P$5:$P$12,0)),"")</f>
        <v/>
      </c>
      <c r="I35" s="5">
        <f>IF(OR(NOT(ISNUMBER($G35)),NOT(ISNUMBER($H35))),"",ROUND($G35*$H35,1))</f>
        <v/>
      </c>
      <c r="J35" s="5">
        <f>IF($C35="内部系统对接",ROUND(INDEX('90-估算标准'!$R$5:$R$12,MATCH("SIT_INT_SUPPORT",'90-估算标准'!$P$5:$P$12,0))*$H35,1),IF($C35="外部系统对接",ROUND(INDEX('90-估算标准'!$R$5:$R$12,MATCH("SIT_EXT_SUPPORT",'90-估算标准'!$P$5:$P$12,0))*$H35,1),0))</f>
        <v/>
      </c>
      <c r="K35" s="5">
        <f>IF(COUNTA($A35:$F35)=0,"",IF(OR($A35="",$B35="",$C35="",$D35="",$E35=""),"必填项缺失",IF(COUNTIF($B:$B,$B35)&gt;1,"任务名称重复",IF(COUNTIF('01-需求故事'!$J:$J,$A35)&lt;&gt;1,"所属故事未知",IF(OR($E35="S",$E35="M",$E35="L"),IF(ISNUMBER($G35),"通过","任务类型与工作方式不适用"),"复杂度非法")))))</f>
        <v/>
      </c>
    </row>
    <row r="36" ht="79" customHeight="1">
      <c r="A36" s="4" t="inlineStr">
        <is>
          <t>平台与服务边界 &gt; 生产准备、切换与验证 &gt; 执行生产切换与回滚演练</t>
        </is>
      </c>
      <c r="B36" s="4" t="inlineStr">
        <is>
          <t>验证切换与回滚检查清单</t>
        </is>
      </c>
      <c r="C36" s="4" t="inlineStr">
        <is>
          <t>人工测试</t>
        </is>
      </c>
      <c r="D36" s="4" t="inlineStr">
        <is>
          <t>新建</t>
        </is>
      </c>
      <c r="E36" s="4" t="inlineStr">
        <is>
          <t>S</t>
        </is>
      </c>
      <c r="F36" s="4" t="inlineStr">
        <is>
          <t>任务理由：一个切换回滚清单验证实例。
工作方式理由：新增切换前置条件、检查点、回滚触发器和联系人桌面演练。
复杂度理由：一次桌面演练和一套固定清单，不涉及额外环境或大规模数据准备。</t>
        </is>
      </c>
      <c r="G36" s="5">
        <f>IFERROR(IF($D36="新建",INDEX('90-估算标准'!$H$5:$H$41,MATCH($C36,'90-估算标准'!$D$5:$D$41,0)),IF($D36="调整",INDEX('90-估算标准'!$I$5:$I$41,MATCH($C36,'90-估算标准'!$D$5:$D$41,0)),IF($D36="接入复用",INDEX('90-估算标准'!$J$5:$J$41,MATCH($C36,'90-估算标准'!$D$5:$D$41,0)),""))),"")</f>
        <v/>
      </c>
      <c r="H36" s="5">
        <f>IFERROR(INDEX('90-估算标准'!$R$5:$R$12,MATCH("K_COMPLEXITY_"&amp;$E36,'90-估算标准'!$P$5:$P$12,0)),"")</f>
        <v/>
      </c>
      <c r="I36" s="5">
        <f>IF(OR(NOT(ISNUMBER($G36)),NOT(ISNUMBER($H36))),"",ROUND($G36*$H36,1))</f>
        <v/>
      </c>
      <c r="J36" s="5">
        <f>IF($C36="内部系统对接",ROUND(INDEX('90-估算标准'!$R$5:$R$12,MATCH("SIT_INT_SUPPORT",'90-估算标准'!$P$5:$P$12,0))*$H36,1),IF($C36="外部系统对接",ROUND(INDEX('90-估算标准'!$R$5:$R$12,MATCH("SIT_EXT_SUPPORT",'90-估算标准'!$P$5:$P$12,0))*$H36,1),0))</f>
        <v/>
      </c>
      <c r="K36" s="5">
        <f>IF(COUNTA($A36:$F36)=0,"",IF(OR($A36="",$B36="",$C36="",$D36="",$E36=""),"必填项缺失",IF(COUNTIF($B:$B,$B36)&gt;1,"任务名称重复",IF(COUNTIF('01-需求故事'!$J:$J,$A36)&lt;&gt;1,"所属故事未知",IF(OR($E36="S",$E36="M",$E36="L"),IF(ISNUMBER($G36),"通过","任务类型与工作方式不适用"),"复杂度非法")))))</f>
        <v/>
      </c>
    </row>
    <row r="37" ht="109" customHeight="1">
      <c r="A37" s="4" t="inlineStr">
        <is>
          <t>平台与服务边界 &gt; 生产准备、切换与验证 &gt; 完成生产烟测与业务确认</t>
        </is>
      </c>
      <c r="B37" s="4" t="inlineStr">
        <is>
          <t>执行核心查询性能验证</t>
        </is>
      </c>
      <c r="C37" s="4" t="inlineStr">
        <is>
          <t>性能与容量测试</t>
        </is>
      </c>
      <c r="D37" s="4" t="inlineStr">
        <is>
          <t>新建</t>
        </is>
      </c>
      <c r="E37" s="4" t="inlineStr">
        <is>
          <t>L</t>
        </is>
      </c>
      <c r="F37" s="4" t="inlineStr">
        <is>
          <t>任务理由：一个生产前性能与容量测试实例。
工作方式理由：新增档案查询、订单创建和轨迹查询的峰值负载与稳定性验证。
复杂度理由：三条核心链路、500 TPS 峰值、两小时稳定性和容量拐点分析需要多轮调优。</t>
        </is>
      </c>
      <c r="G37" s="5">
        <f>IFERROR(IF($D37="新建",INDEX('90-估算标准'!$H$5:$H$41,MATCH($C37,'90-估算标准'!$D$5:$D$41,0)),IF($D37="调整",INDEX('90-估算标准'!$I$5:$I$41,MATCH($C37,'90-估算标准'!$D$5:$D$41,0)),IF($D37="接入复用",INDEX('90-估算标准'!$J$5:$J$41,MATCH($C37,'90-估算标准'!$D$5:$D$41,0)),""))),"")</f>
        <v/>
      </c>
      <c r="H37" s="5">
        <f>IFERROR(INDEX('90-估算标准'!$R$5:$R$12,MATCH("K_COMPLEXITY_"&amp;$E37,'90-估算标准'!$P$5:$P$12,0)),"")</f>
        <v/>
      </c>
      <c r="I37" s="5">
        <f>IF(OR(NOT(ISNUMBER($G37)),NOT(ISNUMBER($H37))),"",ROUND($G37*$H37,1))</f>
        <v/>
      </c>
      <c r="J37" s="5">
        <f>IF($C37="内部系统对接",ROUND(INDEX('90-估算标准'!$R$5:$R$12,MATCH("SIT_INT_SUPPORT",'90-估算标准'!$P$5:$P$12,0))*$H37,1),IF($C37="外部系统对接",ROUND(INDEX('90-估算标准'!$R$5:$R$12,MATCH("SIT_EXT_SUPPORT",'90-估算标准'!$P$5:$P$12,0))*$H37,1),0))</f>
        <v/>
      </c>
      <c r="K37" s="5">
        <f>IF(COUNTA($A37:$F37)=0,"",IF(OR($A37="",$B37="",$C37="",$D37="",$E37=""),"必填项缺失",IF(COUNTIF($B:$B,$B37)&gt;1,"任务名称重复",IF(COUNTIF('01-需求故事'!$J:$J,$A37)&lt;&gt;1,"所属故事未知",IF(OR($E37="S",$E37="M",$E37="L"),IF(ISNUMBER($G37),"通过","任务类型与工作方式不适用"),"复杂度非法")))))</f>
        <v/>
      </c>
    </row>
    <row r="38" ht="79" customHeight="1">
      <c r="A38" s="4" t="inlineStr">
        <is>
          <t>平台与服务边界 &gt; 生产准备、切换与验证 &gt; 完成生产烟测与业务确认</t>
        </is>
      </c>
      <c r="B38" s="4" t="inlineStr">
        <is>
          <t>执行生产权限与证书验证</t>
        </is>
      </c>
      <c r="C38" s="4" t="inlineStr">
        <is>
          <t>安全与隐私测试</t>
        </is>
      </c>
      <c r="D38" s="4" t="inlineStr">
        <is>
          <t>新建</t>
        </is>
      </c>
      <c r="E38" s="4" t="inlineStr">
        <is>
          <t>M</t>
        </is>
      </c>
      <c r="F38" s="4" t="inlineStr">
        <is>
          <t>任务理由：一个生产安全与隐私验证实例。
工作方式理由：新增生产角色最小权限、外部证书、密钥轮换和敏感字段脱敏检查。</t>
        </is>
      </c>
      <c r="G38" s="5">
        <f>IFERROR(IF($D38="新建",INDEX('90-估算标准'!$H$5:$H$41,MATCH($C38,'90-估算标准'!$D$5:$D$41,0)),IF($D38="调整",INDEX('90-估算标准'!$I$5:$I$41,MATCH($C38,'90-估算标准'!$D$5:$D$41,0)),IF($D38="接入复用",INDEX('90-估算标准'!$J$5:$J$41,MATCH($C38,'90-估算标准'!$D$5:$D$41,0)),""))),"")</f>
        <v/>
      </c>
      <c r="H38" s="5">
        <f>IFERROR(INDEX('90-估算标准'!$R$5:$R$12,MATCH("K_COMPLEXITY_"&amp;$E38,'90-估算标准'!$P$5:$P$12,0)),"")</f>
        <v/>
      </c>
      <c r="I38" s="5">
        <f>IF(OR(NOT(ISNUMBER($G38)),NOT(ISNUMBER($H38))),"",ROUND($G38*$H38,1))</f>
        <v/>
      </c>
      <c r="J38" s="5">
        <f>IF($C38="内部系统对接",ROUND(INDEX('90-估算标准'!$R$5:$R$12,MATCH("SIT_INT_SUPPORT",'90-估算标准'!$P$5:$P$12,0))*$H38,1),IF($C38="外部系统对接",ROUND(INDEX('90-估算标准'!$R$5:$R$12,MATCH("SIT_EXT_SUPPORT",'90-估算标准'!$P$5:$P$12,0))*$H38,1),0))</f>
        <v/>
      </c>
      <c r="K38" s="5">
        <f>IF(COUNTA($A38:$F38)=0,"",IF(OR($A38="",$B38="",$C38="",$D38="",$E38=""),"必填项缺失",IF(COUNTIF($B:$B,$B38)&gt;1,"任务名称重复",IF(COUNTIF('01-需求故事'!$J:$J,$A38)&lt;&gt;1,"所属故事未知",IF(OR($E38="S",$E38="M",$E38="L"),IF(ISNUMBER($G38),"通过","任务类型与工作方式不适用"),"复杂度非法")))))</f>
        <v/>
      </c>
    </row>
    <row r="39" ht="64" customHeight="1">
      <c r="A39" s="4" t="inlineStr">
        <is>
          <t>平台与服务边界 &gt; 生产准备、切换与验证 &gt; 完成生产烟测与业务确认</t>
        </is>
      </c>
      <c r="B39" s="4" t="inlineStr">
        <is>
          <t>执行五条生产业务烟测</t>
        </is>
      </c>
      <c r="C39" s="4" t="inlineStr">
        <is>
          <t>人工测试</t>
        </is>
      </c>
      <c r="D39" s="4" t="inlineStr">
        <is>
          <t>新建</t>
        </is>
      </c>
      <c r="E39" s="4" t="inlineStr">
        <is>
          <t>M</t>
        </is>
      </c>
      <c r="F39" s="4" t="inlineStr">
        <is>
          <t>任务理由：一个生产关键业务链路烟测实例。
工作方式理由：新增档案、下单、退款、开票和对账五条生产烟测并留存证据。</t>
        </is>
      </c>
      <c r="G39" s="5">
        <f>IFERROR(IF($D39="新建",INDEX('90-估算标准'!$H$5:$H$41,MATCH($C39,'90-估算标准'!$D$5:$D$41,0)),IF($D39="调整",INDEX('90-估算标准'!$I$5:$I$41,MATCH($C39,'90-估算标准'!$D$5:$D$41,0)),IF($D39="接入复用",INDEX('90-估算标准'!$J$5:$J$41,MATCH($C39,'90-估算标准'!$D$5:$D$41,0)),""))),"")</f>
        <v/>
      </c>
      <c r="H39" s="5">
        <f>IFERROR(INDEX('90-估算标准'!$R$5:$R$12,MATCH("K_COMPLEXITY_"&amp;$E39,'90-估算标准'!$P$5:$P$12,0)),"")</f>
        <v/>
      </c>
      <c r="I39" s="5">
        <f>IF(OR(NOT(ISNUMBER($G39)),NOT(ISNUMBER($H39))),"",ROUND($G39*$H39,1))</f>
        <v/>
      </c>
      <c r="J39" s="5">
        <f>IF($C39="内部系统对接",ROUND(INDEX('90-估算标准'!$R$5:$R$12,MATCH("SIT_INT_SUPPORT",'90-估算标准'!$P$5:$P$12,0))*$H39,1),IF($C39="外部系统对接",ROUND(INDEX('90-估算标准'!$R$5:$R$12,MATCH("SIT_EXT_SUPPORT",'90-估算标准'!$P$5:$P$12,0))*$H39,1),0))</f>
        <v/>
      </c>
      <c r="K39" s="5">
        <f>IF(COUNTA($A39:$F39)=0,"",IF(OR($A39="",$B39="",$C39="",$D39="",$E39=""),"必填项缺失",IF(COUNTIF($B:$B,$B39)&gt;1,"任务名称重复",IF(COUNTIF('01-需求故事'!$J:$J,$A39)&lt;&gt;1,"所属故事未知",IF(OR($E39="S",$E39="M",$E39="L"),IF(ISNUMBER($G39),"通过","任务类型与工作方式不适用"),"复杂度非法")))))</f>
        <v/>
      </c>
    </row>
    <row r="40" ht="124" customHeight="1">
      <c r="A40" s="4" t="inlineStr">
        <is>
          <t>上线与质量保障 &gt; 会员与订单数据迁移 &gt; 迁移会员与历史订单数据</t>
        </is>
      </c>
      <c r="B40" s="4" t="inlineStr">
        <is>
          <t>迁移会员与两年历史订单</t>
        </is>
      </c>
      <c r="C40" s="4" t="inlineStr">
        <is>
          <t>数据迁移</t>
        </is>
      </c>
      <c r="D40" s="4" t="inlineStr">
        <is>
          <t>新建</t>
        </is>
      </c>
      <c r="E40" s="4" t="inlineStr">
        <is>
          <t>L</t>
        </is>
      </c>
      <c r="F40" s="4" t="inlineStr">
        <is>
          <t>任务理由：一个会员与订单迁移批次方案实例，与发布切换分别估算。
工作方式理由：从既有会员主数据模型和既有订单服务与状态机抽取数据，执行映射、加载、校验和补偿。
复杂度理由：涉及两类源数据、约 1200 万订单行、历史状态映射、增量窗口和失败补偿。</t>
        </is>
      </c>
      <c r="G40" s="5">
        <f>IFERROR(IF($D40="新建",INDEX('90-估算标准'!$H$5:$H$41,MATCH($C40,'90-估算标准'!$D$5:$D$41,0)),IF($D40="调整",INDEX('90-估算标准'!$I$5:$I$41,MATCH($C40,'90-估算标准'!$D$5:$D$41,0)),IF($D40="接入复用",INDEX('90-估算标准'!$J$5:$J$41,MATCH($C40,'90-估算标准'!$D$5:$D$41,0)),""))),"")</f>
        <v/>
      </c>
      <c r="H40" s="5">
        <f>IFERROR(INDEX('90-估算标准'!$R$5:$R$12,MATCH("K_COMPLEXITY_"&amp;$E40,'90-估算标准'!$P$5:$P$12,0)),"")</f>
        <v/>
      </c>
      <c r="I40" s="5">
        <f>IF(OR(NOT(ISNUMBER($G40)),NOT(ISNUMBER($H40))),"",ROUND($G40*$H40,1))</f>
        <v/>
      </c>
      <c r="J40" s="5">
        <f>IF($C40="内部系统对接",ROUND(INDEX('90-估算标准'!$R$5:$R$12,MATCH("SIT_INT_SUPPORT",'90-估算标准'!$P$5:$P$12,0))*$H40,1),IF($C40="外部系统对接",ROUND(INDEX('90-估算标准'!$R$5:$R$12,MATCH("SIT_EXT_SUPPORT",'90-估算标准'!$P$5:$P$12,0))*$H40,1),0))</f>
        <v/>
      </c>
      <c r="K40" s="5">
        <f>IF(COUNTA($A40:$F40)=0,"",IF(OR($A40="",$B40="",$C40="",$D40="",$E40=""),"必填项缺失",IF(COUNTIF($B:$B,$B40)&gt;1,"任务名称重复",IF(COUNTIF('01-需求故事'!$J:$J,$A40)&lt;&gt;1,"所属故事未知",IF(OR($E40="S",$E40="M",$E40="L"),IF(ISNUMBER($G40),"通过","任务类型与工作方式不适用"),"复杂度非法")))))</f>
        <v/>
      </c>
    </row>
    <row r="41" ht="109" customHeight="1">
      <c r="A41" s="4" t="inlineStr">
        <is>
          <t>上线与质量保障 &gt; 会员与订单数据迁移 &gt; 迁移会员与历史订单数据</t>
        </is>
      </c>
      <c r="B41" s="4" t="inlineStr">
        <is>
          <t>新建迁移抽取转换流程</t>
        </is>
      </c>
      <c r="C41" s="4" t="inlineStr">
        <is>
          <t>数据处理流程</t>
        </is>
      </c>
      <c r="D41" s="4" t="inlineStr">
        <is>
          <t>新建</t>
        </is>
      </c>
      <c r="E41" s="4" t="inlineStr">
        <is>
          <t>L</t>
        </is>
      </c>
      <c r="F41" s="4" t="inlineStr">
        <is>
          <t>任务理由：一个可重复执行的数据迁移处理流程实例。
工作方式理由：新增全量与增量抽取、字段标准化、状态映射和失败重放流程。
复杂度理由：包含全量与增量两条路径、跨版本状态映射、断点续传和可重复执行控制。</t>
        </is>
      </c>
      <c r="G41" s="5">
        <f>IFERROR(IF($D41="新建",INDEX('90-估算标准'!$H$5:$H$41,MATCH($C41,'90-估算标准'!$D$5:$D$41,0)),IF($D41="调整",INDEX('90-估算标准'!$I$5:$I$41,MATCH($C41,'90-估算标准'!$D$5:$D$41,0)),IF($D41="接入复用",INDEX('90-估算标准'!$J$5:$J$41,MATCH($C41,'90-估算标准'!$D$5:$D$41,0)),""))),"")</f>
        <v/>
      </c>
      <c r="H41" s="5">
        <f>IFERROR(INDEX('90-估算标准'!$R$5:$R$12,MATCH("K_COMPLEXITY_"&amp;$E41,'90-估算标准'!$P$5:$P$12,0)),"")</f>
        <v/>
      </c>
      <c r="I41" s="5">
        <f>IF(OR(NOT(ISNUMBER($G41)),NOT(ISNUMBER($H41))),"",ROUND($G41*$H41,1))</f>
        <v/>
      </c>
      <c r="J41" s="5">
        <f>IF($C41="内部系统对接",ROUND(INDEX('90-估算标准'!$R$5:$R$12,MATCH("SIT_INT_SUPPORT",'90-估算标准'!$P$5:$P$12,0))*$H41,1),IF($C41="外部系统对接",ROUND(INDEX('90-估算标准'!$R$5:$R$12,MATCH("SIT_EXT_SUPPORT",'90-估算标准'!$P$5:$P$12,0))*$H41,1),0))</f>
        <v/>
      </c>
      <c r="K41" s="5">
        <f>IF(COUNTA($A41:$F41)=0,"",IF(OR($A41="",$B41="",$C41="",$D41="",$E41=""),"必填项缺失",IF(COUNTIF($B:$B,$B41)&gt;1,"任务名称重复",IF(COUNTIF('01-需求故事'!$J:$J,$A41)&lt;&gt;1,"所属故事未知",IF(OR($E41="S",$E41="M",$E41="L"),IF(ISNUMBER($G41),"通过","任务类型与工作方式不适用"),"复杂度非法")))))</f>
        <v/>
      </c>
    </row>
    <row r="42" ht="64" customHeight="1">
      <c r="A42" s="4" t="inlineStr">
        <is>
          <t>上线与质量保障 &gt; 会员与订单数据迁移 &gt; 迁移会员与历史订单数据</t>
        </is>
      </c>
      <c r="B42" s="4" t="inlineStr">
        <is>
          <t>验证迁移数量与关键字段</t>
        </is>
      </c>
      <c r="C42" s="4" t="inlineStr">
        <is>
          <t>人工测试</t>
        </is>
      </c>
      <c r="D42" s="4" t="inlineStr">
        <is>
          <t>新建</t>
        </is>
      </c>
      <c r="E42" s="4" t="inlineStr">
        <is>
          <t>M</t>
        </is>
      </c>
      <c r="F42" s="4" t="inlineStr">
        <is>
          <t>任务理由：一个迁移核对与业务签署测试实例。
工作方式理由：新增数量、金额、业务主键、抽样字段和失败补偿核对场景。</t>
        </is>
      </c>
      <c r="G42" s="5">
        <f>IFERROR(IF($D42="新建",INDEX('90-估算标准'!$H$5:$H$41,MATCH($C42,'90-估算标准'!$D$5:$D$41,0)),IF($D42="调整",INDEX('90-估算标准'!$I$5:$I$41,MATCH($C42,'90-估算标准'!$D$5:$D$41,0)),IF($D42="接入复用",INDEX('90-估算标准'!$J$5:$J$41,MATCH($C42,'90-估算标准'!$D$5:$D$41,0)),""))),"")</f>
        <v/>
      </c>
      <c r="H42" s="5">
        <f>IFERROR(INDEX('90-估算标准'!$R$5:$R$12,MATCH("K_COMPLEXITY_"&amp;$E42,'90-估算标准'!$P$5:$P$12,0)),"")</f>
        <v/>
      </c>
      <c r="I42" s="5">
        <f>IF(OR(NOT(ISNUMBER($G42)),NOT(ISNUMBER($H42))),"",ROUND($G42*$H42,1))</f>
        <v/>
      </c>
      <c r="J42" s="5">
        <f>IF($C42="内部系统对接",ROUND(INDEX('90-估算标准'!$R$5:$R$12,MATCH("SIT_INT_SUPPORT",'90-估算标准'!$P$5:$P$12,0))*$H42,1),IF($C42="外部系统对接",ROUND(INDEX('90-估算标准'!$R$5:$R$12,MATCH("SIT_EXT_SUPPORT",'90-估算标准'!$P$5:$P$12,0))*$H42,1),0))</f>
        <v/>
      </c>
      <c r="K42" s="5">
        <f>IF(COUNTA($A42:$F42)=0,"",IF(OR($A42="",$B42="",$C42="",$D42="",$E42=""),"必填项缺失",IF(COUNTIF($B:$B,$B42)&gt;1,"任务名称重复",IF(COUNTIF('01-需求故事'!$J:$J,$A42)&lt;&gt;1,"所属故事未知",IF(OR($E42="S",$E42="M",$E42="L"),IF(ISNUMBER($G42),"通过","任务类型与工作方式不适用"),"复杂度非法")))))</f>
        <v/>
      </c>
    </row>
    <row r="43" ht="79" customHeight="1">
      <c r="A43" s="4" t="inlineStr">
        <is>
          <t>上线与质量保障 &gt; 监控、运维交接与用户赋能 &gt; 监控核心交易与财务作业</t>
        </is>
      </c>
      <c r="B43" s="4" t="inlineStr">
        <is>
          <t>调整既有统一监控平台的交易与财务看板</t>
        </is>
      </c>
      <c r="C43" s="4" t="inlineStr">
        <is>
          <t>监控、追踪与审计</t>
        </is>
      </c>
      <c r="D43" s="4" t="inlineStr">
        <is>
          <t>调整</t>
        </is>
      </c>
      <c r="E43" s="4" t="inlineStr">
        <is>
          <t>M</t>
        </is>
      </c>
      <c r="F43" s="4" t="inlineStr">
        <is>
          <t>任务理由：一个核心交易与财务作业可观测性实例。
工作方式理由：在既有统一监控平台新增订单成功率、退款失败、开票积压和对账延迟指标。</t>
        </is>
      </c>
      <c r="G43" s="5">
        <f>IFERROR(IF($D43="新建",INDEX('90-估算标准'!$H$5:$H$41,MATCH($C43,'90-估算标准'!$D$5:$D$41,0)),IF($D43="调整",INDEX('90-估算标准'!$I$5:$I$41,MATCH($C43,'90-估算标准'!$D$5:$D$41,0)),IF($D43="接入复用",INDEX('90-估算标准'!$J$5:$J$41,MATCH($C43,'90-估算标准'!$D$5:$D$41,0)),""))),"")</f>
        <v/>
      </c>
      <c r="H43" s="5">
        <f>IFERROR(INDEX('90-估算标准'!$R$5:$R$12,MATCH("K_COMPLEXITY_"&amp;$E43,'90-估算标准'!$P$5:$P$12,0)),"")</f>
        <v/>
      </c>
      <c r="I43" s="5">
        <f>IF(OR(NOT(ISNUMBER($G43)),NOT(ISNUMBER($H43))),"",ROUND($G43*$H43,1))</f>
        <v/>
      </c>
      <c r="J43" s="5">
        <f>IF($C43="内部系统对接",ROUND(INDEX('90-估算标准'!$R$5:$R$12,MATCH("SIT_INT_SUPPORT",'90-估算标准'!$P$5:$P$12,0))*$H43,1),IF($C43="外部系统对接",ROUND(INDEX('90-估算标准'!$R$5:$R$12,MATCH("SIT_EXT_SUPPORT",'90-估算标准'!$P$5:$P$12,0))*$H43,1),0))</f>
        <v/>
      </c>
      <c r="K43" s="5">
        <f>IF(COUNTA($A43:$F43)=0,"",IF(OR($A43="",$B43="",$C43="",$D43="",$E43=""),"必填项缺失",IF(COUNTIF($B:$B,$B43)&gt;1,"任务名称重复",IF(COUNTIF('01-需求故事'!$J:$J,$A43)&lt;&gt;1,"所属故事未知",IF(OR($E43="S",$E43="M",$E43="L"),IF(ISNUMBER($G43),"通过","任务类型与工作方式不适用"),"复杂度非法")))))</f>
        <v/>
      </c>
    </row>
    <row r="44" ht="64" customHeight="1">
      <c r="A44" s="4" t="inlineStr">
        <is>
          <t>上线与质量保障 &gt; 监控、运维交接与用户赋能 &gt; 监控核心交易与财务作业</t>
        </is>
      </c>
      <c r="B44" s="4" t="inlineStr">
        <is>
          <t>新建关键链路稳定性控制</t>
        </is>
      </c>
      <c r="C44" s="4" t="inlineStr">
        <is>
          <t>性能与稳定性保障</t>
        </is>
      </c>
      <c r="D44" s="4" t="inlineStr">
        <is>
          <t>新建</t>
        </is>
      </c>
      <c r="E44" s="4" t="inlineStr">
        <is>
          <t>M</t>
        </is>
      </c>
      <c r="F44" s="4" t="inlineStr">
        <is>
          <t>任务理由：一个跨外部依赖的性能与稳定性保障实例。
工作方式理由：新增 ERP、支付和发票调用的超时、限流、重试与熔断配置。</t>
        </is>
      </c>
      <c r="G44" s="5">
        <f>IFERROR(IF($D44="新建",INDEX('90-估算标准'!$H$5:$H$41,MATCH($C44,'90-估算标准'!$D$5:$D$41,0)),IF($D44="调整",INDEX('90-估算标准'!$I$5:$I$41,MATCH($C44,'90-估算标准'!$D$5:$D$41,0)),IF($D44="接入复用",INDEX('90-估算标准'!$J$5:$J$41,MATCH($C44,'90-估算标准'!$D$5:$D$41,0)),""))),"")</f>
        <v/>
      </c>
      <c r="H44" s="5">
        <f>IFERROR(INDEX('90-估算标准'!$R$5:$R$12,MATCH("K_COMPLEXITY_"&amp;$E44,'90-估算标准'!$P$5:$P$12,0)),"")</f>
        <v/>
      </c>
      <c r="I44" s="5">
        <f>IF(OR(NOT(ISNUMBER($G44)),NOT(ISNUMBER($H44))),"",ROUND($G44*$H44,1))</f>
        <v/>
      </c>
      <c r="J44" s="5">
        <f>IF($C44="内部系统对接",ROUND(INDEX('90-估算标准'!$R$5:$R$12,MATCH("SIT_INT_SUPPORT",'90-估算标准'!$P$5:$P$12,0))*$H44,1),IF($C44="外部系统对接",ROUND(INDEX('90-估算标准'!$R$5:$R$12,MATCH("SIT_EXT_SUPPORT",'90-估算标准'!$P$5:$P$12,0))*$H44,1),0))</f>
        <v/>
      </c>
      <c r="K44" s="5">
        <f>IF(COUNTA($A44:$F44)=0,"",IF(OR($A44="",$B44="",$C44="",$D44="",$E44=""),"必填项缺失",IF(COUNTIF($B:$B,$B44)&gt;1,"任务名称重复",IF(COUNTIF('01-需求故事'!$J:$J,$A44)&lt;&gt;1,"所属故事未知",IF(OR($E44="S",$E44="M",$E44="L"),IF(ISNUMBER($G44),"通过","任务类型与工作方式不适用"),"复杂度非法")))))</f>
        <v/>
      </c>
    </row>
    <row r="45" ht="79" customHeight="1">
      <c r="A45" s="4" t="inlineStr">
        <is>
          <t>上线与质量保障 &gt; 监控、运维交接与用户赋能 &gt; 完成运维交接与演练</t>
        </is>
      </c>
      <c r="B45" s="4" t="inlineStr">
        <is>
          <t>调整既有统一监控平台的运维手册与交接</t>
        </is>
      </c>
      <c r="C45" s="4" t="inlineStr">
        <is>
          <t>运维交接与操作手册</t>
        </is>
      </c>
      <c r="D45" s="4" t="inlineStr">
        <is>
          <t>调整</t>
        </is>
      </c>
      <c r="E45" s="4" t="inlineStr">
        <is>
          <t>M</t>
        </is>
      </c>
      <c r="F45" s="4" t="inlineStr">
        <is>
          <t>任务理由：一个运维交接包和一次故障演练实例。
工作方式理由：基于既有统一监控平台补齐指标说明、责任人、通知渠道、排障和升级流程。</t>
        </is>
      </c>
      <c r="G45" s="5">
        <f>IFERROR(IF($D45="新建",INDEX('90-估算标准'!$H$5:$H$41,MATCH($C45,'90-估算标准'!$D$5:$D$41,0)),IF($D45="调整",INDEX('90-估算标准'!$I$5:$I$41,MATCH($C45,'90-估算标准'!$D$5:$D$41,0)),IF($D45="接入复用",INDEX('90-估算标准'!$J$5:$J$41,MATCH($C45,'90-估算标准'!$D$5:$D$41,0)),""))),"")</f>
        <v/>
      </c>
      <c r="H45" s="5">
        <f>IFERROR(INDEX('90-估算标准'!$R$5:$R$12,MATCH("K_COMPLEXITY_"&amp;$E45,'90-估算标准'!$P$5:$P$12,0)),"")</f>
        <v/>
      </c>
      <c r="I45" s="5">
        <f>IF(OR(NOT(ISNUMBER($G45)),NOT(ISNUMBER($H45))),"",ROUND($G45*$H45,1))</f>
        <v/>
      </c>
      <c r="J45" s="5">
        <f>IF($C45="内部系统对接",ROUND(INDEX('90-估算标准'!$R$5:$R$12,MATCH("SIT_INT_SUPPORT",'90-估算标准'!$P$5:$P$12,0))*$H45,1),IF($C45="外部系统对接",ROUND(INDEX('90-估算标准'!$R$5:$R$12,MATCH("SIT_EXT_SUPPORT",'90-估算标准'!$P$5:$P$12,0))*$H45,1),0))</f>
        <v/>
      </c>
      <c r="K45" s="5">
        <f>IF(COUNTA($A45:$F45)=0,"",IF(OR($A45="",$B45="",$C45="",$D45="",$E45=""),"必填项缺失",IF(COUNTIF($B:$B,$B45)&gt;1,"任务名称重复",IF(COUNTIF('01-需求故事'!$J:$J,$A45)&lt;&gt;1,"所属故事未知",IF(OR($E45="S",$E45="M",$E45="L"),IF(ISNUMBER($G45),"通过","任务类型与工作方式不适用"),"复杂度非法")))))</f>
        <v/>
      </c>
    </row>
    <row r="46" ht="79" customHeight="1">
      <c r="A46" s="4" t="inlineStr">
        <is>
          <t>上线与质量保障 &gt; 监控、运维交接与用户赋能 &gt; 培训门店、客服和财务用户</t>
        </is>
      </c>
      <c r="B46" s="4" t="inlineStr">
        <is>
          <t>交付门店客服财务培训</t>
        </is>
      </c>
      <c r="C46" s="4" t="inlineStr">
        <is>
          <t>用户培训与使用材料</t>
        </is>
      </c>
      <c r="D46" s="4" t="inlineStr">
        <is>
          <t>新建</t>
        </is>
      </c>
      <c r="E46" s="4" t="inlineStr">
        <is>
          <t>M</t>
        </is>
      </c>
      <c r="F46" s="4" t="inlineStr">
        <is>
          <t>任务理由：一个角色化用户培训与使用材料交付实例。
工作方式理由：新增门店、客服和财务三类角色材料，并组织两场培训和反馈收集。</t>
        </is>
      </c>
      <c r="G46" s="5">
        <f>IFERROR(IF($D46="新建",INDEX('90-估算标准'!$H$5:$H$41,MATCH($C46,'90-估算标准'!$D$5:$D$41,0)),IF($D46="调整",INDEX('90-估算标准'!$I$5:$I$41,MATCH($C46,'90-估算标准'!$D$5:$D$41,0)),IF($D46="接入复用",INDEX('90-估算标准'!$J$5:$J$41,MATCH($C46,'90-估算标准'!$D$5:$D$41,0)),""))),"")</f>
        <v/>
      </c>
      <c r="H46" s="5">
        <f>IFERROR(INDEX('90-估算标准'!$R$5:$R$12,MATCH("K_COMPLEXITY_"&amp;$E46,'90-估算标准'!$P$5:$P$12,0)),"")</f>
        <v/>
      </c>
      <c r="I46" s="5">
        <f>IF(OR(NOT(ISNUMBER($G46)),NOT(ISNUMBER($H46))),"",ROUND($G46*$H46,1))</f>
        <v/>
      </c>
      <c r="J46" s="5">
        <f>IF($C46="内部系统对接",ROUND(INDEX('90-估算标准'!$R$5:$R$12,MATCH("SIT_INT_SUPPORT",'90-估算标准'!$P$5:$P$12,0))*$H46,1),IF($C46="外部系统对接",ROUND(INDEX('90-估算标准'!$R$5:$R$12,MATCH("SIT_EXT_SUPPORT",'90-估算标准'!$P$5:$P$12,0))*$H46,1),0))</f>
        <v/>
      </c>
      <c r="K46" s="5">
        <f>IF(COUNTA($A46:$F46)=0,"",IF(OR($A46="",$B46="",$C46="",$D46="",$E46=""),"必填项缺失",IF(COUNTIF($B:$B,$B46)&gt;1,"任务名称重复",IF(COUNTIF('01-需求故事'!$J:$J,$A46)&lt;&gt;1,"所属故事未知",IF(OR($E46="S",$E46="M",$E46="L"),IF(ISNUMBER($G46),"通过","任务类型与工作方式不适用"),"复杂度非法")))))</f>
        <v/>
      </c>
    </row>
    <row r="47" ht="64" customHeight="1">
      <c r="A47" s="4" t="inlineStr">
        <is>
          <t>上线与质量保障 &gt; 自动化、性能与生产质量验证 &gt; 扩展自动化与性能验证</t>
        </is>
      </c>
      <c r="B47" s="4" t="inlineStr">
        <is>
          <t>调整既有回归测试资产的自动化框架</t>
        </is>
      </c>
      <c r="C47" s="4" t="inlineStr">
        <is>
          <t>自动化测试框架</t>
        </is>
      </c>
      <c r="D47" s="4" t="inlineStr">
        <is>
          <t>调整</t>
        </is>
      </c>
      <c r="E47" s="4" t="inlineStr">
        <is>
          <t>M</t>
        </is>
      </c>
      <c r="F47" s="4" t="inlineStr">
        <is>
          <t>任务理由：一个 API 自动化测试框架调整实例。
工作方式理由：扩展既有回归测试资产的认证、测试数据、异步回调和报告能力。</t>
        </is>
      </c>
      <c r="G47" s="5">
        <f>IFERROR(IF($D47="新建",INDEX('90-估算标准'!$H$5:$H$41,MATCH($C47,'90-估算标准'!$D$5:$D$41,0)),IF($D47="调整",INDEX('90-估算标准'!$I$5:$I$41,MATCH($C47,'90-估算标准'!$D$5:$D$41,0)),IF($D47="接入复用",INDEX('90-估算标准'!$J$5:$J$41,MATCH($C47,'90-估算标准'!$D$5:$D$41,0)),""))),"")</f>
        <v/>
      </c>
      <c r="H47" s="5">
        <f>IFERROR(INDEX('90-估算标准'!$R$5:$R$12,MATCH("K_COMPLEXITY_"&amp;$E47,'90-估算标准'!$P$5:$P$12,0)),"")</f>
        <v/>
      </c>
      <c r="I47" s="5">
        <f>IF(OR(NOT(ISNUMBER($G47)),NOT(ISNUMBER($H47))),"",ROUND($G47*$H47,1))</f>
        <v/>
      </c>
      <c r="J47" s="5">
        <f>IF($C47="内部系统对接",ROUND(INDEX('90-估算标准'!$R$5:$R$12,MATCH("SIT_INT_SUPPORT",'90-估算标准'!$P$5:$P$12,0))*$H47,1),IF($C47="外部系统对接",ROUND(INDEX('90-估算标准'!$R$5:$R$12,MATCH("SIT_EXT_SUPPORT",'90-估算标准'!$P$5:$P$12,0))*$H47,1),0))</f>
        <v/>
      </c>
      <c r="K47" s="5">
        <f>IF(COUNTA($A47:$F47)=0,"",IF(OR($A47="",$B47="",$C47="",$D47="",$E47=""),"必填项缺失",IF(COUNTIF($B:$B,$B47)&gt;1,"任务名称重复",IF(COUNTIF('01-需求故事'!$J:$J,$A47)&lt;&gt;1,"所属故事未知",IF(OR($E47="S",$E47="M",$E47="L"),IF(ISNUMBER($G47),"通过","任务类型与工作方式不适用"),"复杂度非法")))))</f>
        <v/>
      </c>
    </row>
    <row r="48" ht="124" customHeight="1">
      <c r="A48" s="4" t="inlineStr">
        <is>
          <t>上线与质量保障 &gt; 自动化、性能与生产质量验证 &gt; 扩展自动化与性能验证</t>
        </is>
      </c>
      <c r="B48" s="4" t="inlineStr">
        <is>
          <t>调整既有回归测试资产的核心自动化用例</t>
        </is>
      </c>
      <c r="C48" s="4" t="inlineStr">
        <is>
          <t>自动化测试用例</t>
        </is>
      </c>
      <c r="D48" s="4" t="inlineStr">
        <is>
          <t>调整</t>
        </is>
      </c>
      <c r="E48" s="4" t="inlineStr">
        <is>
          <t>L</t>
        </is>
      </c>
      <c r="F48" s="4" t="inlineStr">
        <is>
          <t>任务理由：一个核心业务自动化用例集实例。
工作方式理由：在既有回归测试资产中增加订单状态、库存、退款、开票和对账自动化用例。
复杂度理由：覆盖五条跨系统链路、异步结果、失败补偿和财务金额断言，数据组合较多。</t>
        </is>
      </c>
      <c r="G48" s="5">
        <f>IFERROR(IF($D48="新建",INDEX('90-估算标准'!$H$5:$H$41,MATCH($C48,'90-估算标准'!$D$5:$D$41,0)),IF($D48="调整",INDEX('90-估算标准'!$I$5:$I$41,MATCH($C48,'90-估算标准'!$D$5:$D$41,0)),IF($D48="接入复用",INDEX('90-估算标准'!$J$5:$J$41,MATCH($C48,'90-估算标准'!$D$5:$D$41,0)),""))),"")</f>
        <v/>
      </c>
      <c r="H48" s="5">
        <f>IFERROR(INDEX('90-估算标准'!$R$5:$R$12,MATCH("K_COMPLEXITY_"&amp;$E48,'90-估算标准'!$P$5:$P$12,0)),"")</f>
        <v/>
      </c>
      <c r="I48" s="5">
        <f>IF(OR(NOT(ISNUMBER($G48)),NOT(ISNUMBER($H48))),"",ROUND($G48*$H48,1))</f>
        <v/>
      </c>
      <c r="J48" s="5">
        <f>IF($C48="内部系统对接",ROUND(INDEX('90-估算标准'!$R$5:$R$12,MATCH("SIT_INT_SUPPORT",'90-估算标准'!$P$5:$P$12,0))*$H48,1),IF($C48="外部系统对接",ROUND(INDEX('90-估算标准'!$R$5:$R$12,MATCH("SIT_EXT_SUPPORT",'90-估算标准'!$P$5:$P$12,0))*$H48,1),0))</f>
        <v/>
      </c>
      <c r="K48" s="5">
        <f>IF(COUNTA($A48:$F48)=0,"",IF(OR($A48="",$B48="",$C48="",$D48="",$E48=""),"必填项缺失",IF(COUNTIF($B:$B,$B48)&gt;1,"任务名称重复",IF(COUNTIF('01-需求故事'!$J:$J,$A48)&lt;&gt;1,"所属故事未知",IF(OR($E48="S",$E48="M",$E48="L"),IF(ISNUMBER($G48),"通过","任务类型与工作方式不适用"),"复杂度非法")))))</f>
        <v/>
      </c>
    </row>
    <row r="49" ht="94" customHeight="1">
      <c r="A49" s="4" t="inlineStr">
        <is>
          <t>上线与质量保障 &gt; 自动化、性能与生产质量验证 &gt; 执行兼容性与工程回归</t>
        </is>
      </c>
      <c r="B49" s="4" t="inlineStr">
        <is>
          <t>调整既有回归测试资产的兼容矩阵</t>
        </is>
      </c>
      <c r="C49" s="4" t="inlineStr">
        <is>
          <t>兼容性与无障碍测试</t>
        </is>
      </c>
      <c r="D49" s="4" t="inlineStr">
        <is>
          <t>调整</t>
        </is>
      </c>
      <c r="E49" s="4" t="inlineStr">
        <is>
          <t>S</t>
        </is>
      </c>
      <c r="F49" s="4" t="inlineStr">
        <is>
          <t>任务理由：一个兼容性与无障碍测试矩阵实例。
工作方式理由：根据既有回归测试资产更新浏览器、门店设备和无障碍检查范围。
复杂度理由：仅验证两类浏览器和一种门店设备，沿用现有脚本且无新增终端。</t>
        </is>
      </c>
      <c r="G49" s="5">
        <f>IFERROR(IF($D49="新建",INDEX('90-估算标准'!$H$5:$H$41,MATCH($C49,'90-估算标准'!$D$5:$D$41,0)),IF($D49="调整",INDEX('90-估算标准'!$I$5:$I$41,MATCH($C49,'90-估算标准'!$D$5:$D$41,0)),IF($D49="接入复用",INDEX('90-估算标准'!$J$5:$J$41,MATCH($C49,'90-估算标准'!$D$5:$D$41,0)),""))),"")</f>
        <v/>
      </c>
      <c r="H49" s="5">
        <f>IFERROR(INDEX('90-估算标准'!$R$5:$R$12,MATCH("K_COMPLEXITY_"&amp;$E49,'90-估算标准'!$P$5:$P$12,0)),"")</f>
        <v/>
      </c>
      <c r="I49" s="5">
        <f>IF(OR(NOT(ISNUMBER($G49)),NOT(ISNUMBER($H49))),"",ROUND($G49*$H49,1))</f>
        <v/>
      </c>
      <c r="J49" s="5">
        <f>IF($C49="内部系统对接",ROUND(INDEX('90-估算标准'!$R$5:$R$12,MATCH("SIT_INT_SUPPORT",'90-估算标准'!$P$5:$P$12,0))*$H49,1),IF($C49="外部系统对接",ROUND(INDEX('90-估算标准'!$R$5:$R$12,MATCH("SIT_EXT_SUPPORT",'90-估算标准'!$P$5:$P$12,0))*$H49,1),0))</f>
        <v/>
      </c>
      <c r="K49" s="5">
        <f>IF(COUNTA($A49:$F49)=0,"",IF(OR($A49="",$B49="",$C49="",$D49="",$E49=""),"必填项缺失",IF(COUNTIF($B:$B,$B49)&gt;1,"任务名称重复",IF(COUNTIF('01-需求故事'!$J:$J,$A49)&lt;&gt;1,"所属故事未知",IF(OR($E49="S",$E49="M",$E49="L"),IF(ISNUMBER($G49),"通过","任务类型与工作方式不适用"),"复杂度非法")))))</f>
        <v/>
      </c>
    </row>
    <row r="50" ht="109" customHeight="1">
      <c r="A50" s="4" t="inlineStr">
        <is>
          <t>上线与质量保障 &gt; 自动化、性能与生产质量验证 &gt; 执行兼容性与工程回归</t>
        </is>
      </c>
      <c r="B50" s="4" t="inlineStr">
        <is>
          <t>调整既有回归测试资产的工程回归范围</t>
        </is>
      </c>
      <c r="C50" s="4" t="inlineStr">
        <is>
          <t>人工测试</t>
        </is>
      </c>
      <c r="D50" s="4" t="inlineStr">
        <is>
          <t>调整</t>
        </is>
      </c>
      <c r="E50" s="4" t="inlineStr">
        <is>
          <t>S</t>
        </is>
      </c>
      <c r="F50" s="4" t="inlineStr">
        <is>
          <t>任务理由：一个不计入 UAT 分母的工程回归测试实例。
工作方式理由：基于既有回归测试资产补充配置、权限、作业恢复和日志审计检查。
复杂度理由：四项工程检查均有现成步骤，只需补充新配置和日志断言。</t>
        </is>
      </c>
      <c r="G50" s="5">
        <f>IFERROR(IF($D50="新建",INDEX('90-估算标准'!$H$5:$H$41,MATCH($C50,'90-估算标准'!$D$5:$D$41,0)),IF($D50="调整",INDEX('90-估算标准'!$I$5:$I$41,MATCH($C50,'90-估算标准'!$D$5:$D$41,0)),IF($D50="接入复用",INDEX('90-估算标准'!$J$5:$J$41,MATCH($C50,'90-估算标准'!$D$5:$D$41,0)),""))),"")</f>
        <v/>
      </c>
      <c r="H50" s="5">
        <f>IFERROR(INDEX('90-估算标准'!$R$5:$R$12,MATCH("K_COMPLEXITY_"&amp;$E50,'90-估算标准'!$P$5:$P$12,0)),"")</f>
        <v/>
      </c>
      <c r="I50" s="5">
        <f>IF(OR(NOT(ISNUMBER($G50)),NOT(ISNUMBER($H50))),"",ROUND($G50*$H50,1))</f>
        <v/>
      </c>
      <c r="J50" s="5">
        <f>IF($C50="内部系统对接",ROUND(INDEX('90-估算标准'!$R$5:$R$12,MATCH("SIT_INT_SUPPORT",'90-估算标准'!$P$5:$P$12,0))*$H50,1),IF($C50="外部系统对接",ROUND(INDEX('90-估算标准'!$R$5:$R$12,MATCH("SIT_EXT_SUPPORT",'90-估算标准'!$P$5:$P$12,0))*$H50,1),0))</f>
        <v/>
      </c>
      <c r="K50" s="5">
        <f>IF(COUNTA($A50:$F50)=0,"",IF(OR($A50="",$B50="",$C50="",$D50="",$E50=""),"必填项缺失",IF(COUNTIF($B:$B,$B50)&gt;1,"任务名称重复",IF(COUNTIF('01-需求故事'!$J:$J,$A50)&lt;&gt;1,"所属故事未知",IF(OR($E50="S",$E50="M",$E50="L"),IF(ISNUMBER($G50),"通过","任务类型与工作方式不适用"),"复杂度非法")))))</f>
        <v/>
      </c>
    </row>
  </sheetData>
  <sheetProtection selectLockedCells="0" selectUnlockedCells="0" sheet="1" objects="0" insertRows="0" insertHyperlinks="1" autoFilter="0" scenarios="0" formatColumns="0" deleteColumns="1" insertColumns="1" pivotTables="1" deleteRows="0" formatCells="1" formatRows="0" sort="0"/>
  <mergeCells count="2">
    <mergeCell ref="A2:K2"/>
    <mergeCell ref="A1:K1"/>
  </mergeCells>
  <conditionalFormatting sqref="K5:K1048576">
    <cfRule type="expression" priority="1" dxfId="0">
      <formula>AND($K5&lt;&gt;"",$K5&lt;&gt;"通过")</formula>
    </cfRule>
  </conditionalFormatting>
  <dataValidations count="4">
    <dataValidation sqref="A5:A1048576" showDropDown="0" showInputMessage="1" showErrorMessage="1" allowBlank="1" errorTitle="输入值不受支持" error="请选择受支持的值；粘贴数据后仍需运行补全 Skill 严格校验。" promptTitle="填写提示" prompt="请从下拉选项中选择。" type="list">
      <formula1>=INDIRECT("SOWStoryTable[故事路径]")</formula1>
    </dataValidation>
    <dataValidation sqref="C5:C1048576" showDropDown="0" showInputMessage="1" showErrorMessage="1" allowBlank="1" errorTitle="输入值不受支持" error="请选择受支持的值；粘贴数据后仍需运行补全 Skill 严格校验。" promptTitle="填写提示" prompt="请从下拉选项中选择。" type="list">
      <formula1>=INDIRECT("BaseUnitCatalogTable[基础单元名称]")</formula1>
    </dataValidation>
    <dataValidation sqref="D5:D1048576" showDropDown="0" showInputMessage="1" showErrorMessage="1" allowBlank="1" errorTitle="输入值不受支持" error="请选择受支持的值；粘贴数据后仍需运行补全 Skill 严格校验。" promptTitle="填写提示" prompt="请从下拉选项中选择。" type="list">
      <formula1>"新建,调整,接入复用"</formula1>
    </dataValidation>
    <dataValidation sqref="E5:E1048576" showDropDown="0" showInputMessage="1" showErrorMessage="1" allowBlank="1" errorTitle="输入值不受支持" error="请选择受支持的值；粘贴数据后仍需运行补全 Skill 严格校验。" promptTitle="填写提示" prompt="请从下拉选项中选择。" type="list">
      <formula1>"S,M,L"</formula1>
    </dataValidation>
  </dataValidations>
  <pageMargins left="0.75" right="0.75" top="1" bottom="1" header="0.5" footer="0.5"/>
  <pageSetup orientation="landscape" fitToWidth="1"/>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fitToPage="1"/>
  </sheetPr>
  <dimension ref="A1:B8"/>
  <sheetViews>
    <sheetView showGridLines="0" workbookViewId="0">
      <pane ySplit="4" topLeftCell="A5" activePane="bottomLeft" state="frozen"/>
      <selection pane="bottomLeft" activeCell="A1" sqref="A1"/>
    </sheetView>
  </sheetViews>
  <sheetFormatPr baseColWidth="8" defaultRowHeight="15"/>
  <cols>
    <col width="28" customWidth="1" min="1" max="1"/>
    <col width="18" customWidth="1" min="2" max="2"/>
  </cols>
  <sheetData>
    <row r="1" ht="30" customHeight="1">
      <c r="A1" s="1" t="inlineStr">
        <is>
          <t>工作量汇总</t>
        </is>
      </c>
    </row>
    <row r="2" ht="34" customHeight="1">
      <c r="A2" s="2" t="inlineStr">
        <is>
          <t>汇总只显示直接开发、SIT 支持、UAT 支持和总开发人天；打开 Excel 后完整重算。</t>
        </is>
      </c>
    </row>
    <row r="3"/>
    <row r="4" ht="30" customHeight="1">
      <c r="A4" s="3" t="inlineStr">
        <is>
          <t>工作量项</t>
        </is>
      </c>
      <c r="B4" s="3" t="inlineStr">
        <is>
          <t>人天</t>
        </is>
      </c>
    </row>
    <row r="5" ht="42" customHeight="1">
      <c r="A5" s="6" t="inlineStr">
        <is>
          <t>直接开发人天</t>
        </is>
      </c>
      <c r="B5" s="7">
        <f>SUM('01-需求故事'!$H:$H)</f>
        <v/>
      </c>
    </row>
    <row r="6" ht="42" customHeight="1">
      <c r="A6" s="6" t="inlineStr">
        <is>
          <t>SIT支持人天</t>
        </is>
      </c>
      <c r="B6" s="7">
        <f>CEILING(SUMIFS('02-任务清单'!$J:$J,'02-任务清单'!$C:$C,"内部系统对接"),INDEX('90-估算标准'!$R$5:$R$12,MATCH("ROUND_PROJECT",'90-估算标准'!$P$5:$P$12,0)))+CEILING(SUMIFS('02-任务清单'!$J:$J,'02-任务清单'!$C:$C,"外部系统对接"),INDEX('90-估算标准'!$R$5:$R$12,MATCH("ROUND_PROJECT",'90-估算标准'!$P$5:$P$12,0)))</f>
        <v/>
      </c>
    </row>
    <row r="7" ht="42" customHeight="1">
      <c r="A7" s="6" t="inlineStr">
        <is>
          <t>UAT支持人天</t>
        </is>
      </c>
      <c r="B7" s="7">
        <f>CEILING(SUMIFS('01-需求故事'!$H:$H,'01-需求故事'!$D:$D,"是")*INDEX('90-估算标准'!$R$5:$R$12,MATCH("K_UAT",'90-估算标准'!$P$5:$P$12,0)),INDEX('90-估算标准'!$R$5:$R$12,MATCH("ROUND_PROJECT",'90-估算标准'!$P$5:$P$12,0)))</f>
        <v/>
      </c>
    </row>
    <row r="8" ht="42" customHeight="1">
      <c r="A8" s="6" t="inlineStr">
        <is>
          <t>总开发人天</t>
        </is>
      </c>
      <c r="B8" s="7">
        <f>B5+B6+B7</f>
        <v/>
      </c>
    </row>
  </sheetData>
  <sheetProtection selectLockedCells="0" selectUnlockedCells="0" sheet="1" objects="0" insertRows="1" insertHyperlinks="1" autoFilter="1" scenarios="0" formatColumns="1" deleteColumns="1" insertColumns="1" pivotTables="1" deleteRows="1" formatCells="1" formatRows="1" sort="1"/>
  <mergeCells count="2">
    <mergeCell ref="A2:B2"/>
    <mergeCell ref="A1:B1"/>
  </mergeCells>
  <pageMargins left="0.75" right="0.75" top="1" bottom="1" header="0.5" footer="0.5"/>
  <pageSetup fitToWidth="1"/>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fitToPage="1"/>
  </sheetPr>
  <dimension ref="A1:U41"/>
  <sheetViews>
    <sheetView showGridLines="0" workbookViewId="0">
      <pane ySplit="4" topLeftCell="A5" activePane="bottomLeft" state="frozen"/>
      <selection pane="bottomLeft" activeCell="A1" sqref="A1"/>
    </sheetView>
  </sheetViews>
  <sheetFormatPr baseColWidth="8" defaultRowHeight="15"/>
  <cols>
    <col hidden="1" width="13" customWidth="1" min="1" max="1"/>
    <col width="18" customWidth="1" min="2" max="2"/>
    <col hidden="1" width="13" customWidth="1" min="3" max="3"/>
    <col width="22" customWidth="1" min="4" max="4"/>
    <col outlineLevel="1" width="30" customWidth="1" min="5" max="7"/>
    <col width="38" customWidth="1" min="6" max="6"/>
    <col width="32" customWidth="1" min="7" max="7"/>
    <col width="14" customWidth="1" min="8" max="8"/>
    <col width="14" customWidth="1" min="9" max="9"/>
    <col width="16" customWidth="1" min="10" max="10"/>
    <col outlineLevel="1" width="32" customWidth="1" min="11" max="14"/>
    <col width="36" customWidth="1" min="12" max="12"/>
    <col width="38" customWidth="1" min="13" max="13"/>
    <col width="38" customWidth="1" min="14" max="14"/>
    <col hidden="1" width="13" customWidth="1" min="16" max="16"/>
    <col width="22" customWidth="1" min="17" max="17"/>
    <col width="12" customWidth="1" min="18" max="18"/>
    <col width="12" customWidth="1" min="19" max="19"/>
    <col width="30" customWidth="1" min="20" max="20"/>
    <col width="18" customWidth="1" min="21" max="21"/>
  </cols>
  <sheetData>
    <row r="1" ht="30" customHeight="1">
      <c r="A1" s="1" t="inlineStr">
        <is>
          <t>估算标准</t>
        </is>
      </c>
    </row>
    <row r="2">
      <c r="A2" s="8" t="inlineStr">
        <is>
          <t>基础单元目录（37 项）</t>
        </is>
      </c>
      <c r="P2" s="8" t="inlineStr">
        <is>
          <t>项目参数（8 项）</t>
        </is>
      </c>
    </row>
    <row r="3"/>
    <row r="4" ht="30" customHeight="1">
      <c r="A4" s="3" t="inlineStr">
        <is>
          <t>任务族ID</t>
        </is>
      </c>
      <c r="B4" s="3" t="inlineStr">
        <is>
          <t>任务族名称</t>
        </is>
      </c>
      <c r="C4" s="3" t="inlineStr">
        <is>
          <t>基础单元ID</t>
        </is>
      </c>
      <c r="D4" s="3" t="inlineStr">
        <is>
          <t>基础单元名称</t>
        </is>
      </c>
      <c r="E4" s="3" t="inlineStr">
        <is>
          <t>计数口径</t>
        </is>
      </c>
      <c r="F4" s="3" t="inlineStr">
        <is>
          <t>包含内容</t>
        </is>
      </c>
      <c r="G4" s="3" t="inlineStr">
        <is>
          <t>不包含内容</t>
        </is>
      </c>
      <c r="H4" s="3" t="inlineStr">
        <is>
          <t>新建M档人天</t>
        </is>
      </c>
      <c r="I4" s="3" t="inlineStr">
        <is>
          <t>调整M档人天</t>
        </is>
      </c>
      <c r="J4" s="3" t="inlineStr">
        <is>
          <t>接入复用M档人天</t>
        </is>
      </c>
      <c r="K4" s="3" t="inlineStr">
        <is>
          <t>S标准</t>
        </is>
      </c>
      <c r="L4" s="3" t="inlineStr">
        <is>
          <t>M标准</t>
        </is>
      </c>
      <c r="M4" s="3" t="inlineStr">
        <is>
          <t>L标准</t>
        </is>
      </c>
      <c r="N4" s="3" t="inlineStr">
        <is>
          <t>X/拆分条件</t>
        </is>
      </c>
      <c r="P4" s="3" t="inlineStr">
        <is>
          <t>参数代码</t>
        </is>
      </c>
      <c r="Q4" s="3" t="inlineStr">
        <is>
          <t>名称</t>
        </is>
      </c>
      <c r="R4" s="3" t="inlineStr">
        <is>
          <t>值</t>
        </is>
      </c>
      <c r="S4" s="3" t="inlineStr">
        <is>
          <t>单位</t>
        </is>
      </c>
      <c r="T4" s="3" t="inlineStr">
        <is>
          <t>适用范围</t>
        </is>
      </c>
      <c r="U4" s="3" t="inlineStr">
        <is>
          <t>验证状态/说明</t>
        </is>
      </c>
    </row>
    <row r="5" ht="48" customHeight="1">
      <c r="A5" s="6" t="inlineStr">
        <is>
          <t>TF-FRONTEND</t>
        </is>
      </c>
      <c r="B5" s="6" t="inlineStr">
        <is>
          <t>前端</t>
        </is>
      </c>
      <c r="C5" s="6" t="inlineStr">
        <is>
          <t>BU-UI-INTERACTION</t>
        </is>
      </c>
      <c r="D5" s="6" t="inlineStr">
        <is>
          <t>界面与交互</t>
        </is>
      </c>
      <c r="E5" s="6" t="inlineStr">
        <is>
          <t>一个可独立验收的界面，或一条紧密关联的交互流程</t>
        </is>
      </c>
      <c r="F5" s="6" t="inlineStr">
        <is>
          <t>界面结构与交互、状态管理、权限呈现、加载、空白和异常状态及开发自测</t>
        </is>
      </c>
      <c r="G5" s="6" t="inlineStr">
        <is>
          <t>后端服务和另行开展的测试</t>
        </is>
      </c>
      <c r="H5" s="6" t="n">
        <v>2.5</v>
      </c>
      <c r="I5" s="6" t="n">
        <v>1.5</v>
      </c>
      <c r="J5" s="6" t="inlineStr">
        <is>
          <t>❌</t>
        </is>
      </c>
      <c r="K5" s="6" t="inlineStr">
        <is>
          <t>1～2 种主要状态；标准组件；简单校验；单一角色</t>
        </is>
      </c>
      <c r="L5" s="6" t="inlineStr">
        <is>
          <t>3～5 种主要状态；条件联动；复杂表格、上传或多角色</t>
        </is>
      </c>
      <c r="M5" s="6" t="inlineStr">
        <is>
          <t>复杂状态机；实时或离线处理；跨界面状态恢复；严格无障碍或多终端适配</t>
        </is>
      </c>
      <c r="N5" s="6" t="inlineStr">
        <is>
          <t>包含多条可独立验收的交互流程，或跨多个应用</t>
        </is>
      </c>
      <c r="P5" s="6" t="inlineStr">
        <is>
          <t>K_COMPLEXITY_S</t>
        </is>
      </c>
      <c r="Q5" s="6" t="inlineStr">
        <is>
          <t>S档复杂度系数</t>
        </is>
      </c>
      <c r="R5" s="6" t="n">
        <v>0.6</v>
      </c>
      <c r="S5" s="6" t="inlineStr">
        <is>
          <t>倍</t>
        </is>
      </c>
      <c r="T5" s="6" t="inlineStr">
        <is>
          <t>任务人天</t>
        </is>
      </c>
      <c r="U5" s="6" t="inlineStr">
        <is>
          <t>固定规则</t>
        </is>
      </c>
    </row>
    <row r="6" ht="48" customHeight="1">
      <c r="A6" s="6" t="inlineStr">
        <is>
          <t>TF-FRONTEND</t>
        </is>
      </c>
      <c r="B6" s="6" t="inlineStr">
        <is>
          <t>前端</t>
        </is>
      </c>
      <c r="C6" s="6" t="inlineStr">
        <is>
          <t>BU-UI-COMPONENT</t>
        </is>
      </c>
      <c r="D6" s="6" t="inlineStr">
        <is>
          <t>通用界面组件</t>
        </is>
      </c>
      <c r="E6" s="6" t="inlineStr">
        <is>
          <t>一个可独立发布和复用的组件；同一组件的紧密相关变体合并计算</t>
        </is>
      </c>
      <c r="F6" s="6" t="inlineStr">
        <is>
          <t>新建或调整时包括组件的属性、事件、状态、样式、主题适配、无障碍、示例和组件测试；接入复用时只包括当前项目的注册、主题适配、封装或必要验证</t>
        </is>
      </c>
      <c r="G6" s="6" t="inlineStr">
        <is>
          <t>具体界面的业务逻辑和普通组件调用</t>
        </is>
      </c>
      <c r="H6" s="6" t="n">
        <v>2</v>
      </c>
      <c r="I6" s="6" t="n">
        <v>1</v>
      </c>
      <c r="J6" s="6" t="n">
        <v>0.5</v>
      </c>
      <c r="K6" s="6" t="inlineStr">
        <is>
          <t>单一基础组件；状态和样式少；沿用现有设计规范</t>
        </is>
      </c>
      <c r="L6" s="6" t="inlineStr">
        <is>
          <t>一个组件及其紧密相关的状态变体；需要响应式、主题或无障碍适配</t>
        </is>
      </c>
      <c r="M6" s="6" t="inlineStr">
        <is>
          <t>复杂组合组件；自定义交互和状态管理；跨应用使用；涉及版本兼容或扩展机制</t>
        </is>
      </c>
      <c r="N6" s="6" t="inlineStr">
        <is>
          <t>包含多个可独立发布的组件，或需要建设完整组件库、设计规范体系</t>
        </is>
      </c>
      <c r="P6" s="6" t="inlineStr">
        <is>
          <t>K_COMPLEXITY_M</t>
        </is>
      </c>
      <c r="Q6" s="6" t="inlineStr">
        <is>
          <t>M档复杂度系数</t>
        </is>
      </c>
      <c r="R6" s="6" t="n">
        <v>1</v>
      </c>
      <c r="S6" s="6" t="inlineStr">
        <is>
          <t>倍</t>
        </is>
      </c>
      <c r="T6" s="6" t="inlineStr">
        <is>
          <t>任务人天</t>
        </is>
      </c>
      <c r="U6" s="6" t="inlineStr">
        <is>
          <t>固定规则</t>
        </is>
      </c>
    </row>
    <row r="7" ht="48" customHeight="1">
      <c r="A7" s="6" t="inlineStr">
        <is>
          <t>TF-BACKEND</t>
        </is>
      </c>
      <c r="B7" s="6" t="inlineStr">
        <is>
          <t>后端</t>
        </is>
      </c>
      <c r="C7" s="6" t="inlineStr">
        <is>
          <t>BU-BUSINESS-SERVICE-API</t>
        </is>
      </c>
      <c r="D7" s="6" t="inlineStr">
        <is>
          <t>业务服务与接口</t>
        </is>
      </c>
      <c r="E7" s="6" t="inlineStr">
        <is>
          <t>一个业务操作及其直接相关的一组接口</t>
        </is>
      </c>
      <c r="F7" s="6" t="inlineStr">
        <is>
          <t>接口约定、业务校验、事务、权限、异常处理和单元验证</t>
        </is>
      </c>
      <c r="G7" s="6" t="inlineStr">
        <is>
          <t>前端界面和独立系统对接</t>
        </is>
      </c>
      <c r="H7" s="6" t="n">
        <v>2.5</v>
      </c>
      <c r="I7" s="6" t="n">
        <v>1.5</v>
      </c>
      <c r="J7" s="6" t="inlineStr">
        <is>
          <t>❌</t>
        </is>
      </c>
      <c r="K7" s="6" t="inlineStr">
        <is>
          <t>单个业务对象的增删改查；简单规则；单一事务；标准权限</t>
        </is>
      </c>
      <c r="L7" s="6" t="inlineStr">
        <is>
          <t>一个业务操作涉及多个业务对象；多条业务规则；异步处理或多角色权限</t>
        </is>
      </c>
      <c r="M7" s="6" t="inlineStr">
        <is>
          <t>单个业务操作需要跨服务编排、复杂状态机、幂等补偿、高并发或严格一致性</t>
        </is>
      </c>
      <c r="N7" s="6" t="inlineStr">
        <is>
          <t>包含多个可独立验收的业务操作，或需要跨多个服务分别交付</t>
        </is>
      </c>
      <c r="P7" s="6" t="inlineStr">
        <is>
          <t>K_COMPLEXITY_L</t>
        </is>
      </c>
      <c r="Q7" s="6" t="inlineStr">
        <is>
          <t>L档复杂度系数</t>
        </is>
      </c>
      <c r="R7" s="6" t="n">
        <v>1.5</v>
      </c>
      <c r="S7" s="6" t="inlineStr">
        <is>
          <t>倍</t>
        </is>
      </c>
      <c r="T7" s="6" t="inlineStr">
        <is>
          <t>任务人天</t>
        </is>
      </c>
      <c r="U7" s="6" t="inlineStr">
        <is>
          <t>固定规则</t>
        </is>
      </c>
    </row>
    <row r="8" ht="48" customHeight="1">
      <c r="A8" s="6" t="inlineStr">
        <is>
          <t>TF-BACKEND</t>
        </is>
      </c>
      <c r="B8" s="6" t="inlineStr">
        <is>
          <t>后端</t>
        </is>
      </c>
      <c r="C8" s="6" t="inlineStr">
        <is>
          <t>BU-BACKGROUND-JOB</t>
        </is>
      </c>
      <c r="D8" s="6" t="inlineStr">
        <is>
          <t>后台任务</t>
        </is>
      </c>
      <c r="E8" s="6" t="inlineStr">
        <is>
          <t>一个可独立调度、运行和恢复的后台任务</t>
        </is>
      </c>
      <c r="F8" s="6" t="inlineStr">
        <is>
          <t>调度入口、批次处理、幂等重试、失败恢复、运行记录和自测</t>
        </is>
      </c>
      <c r="G8" s="6" t="inlineStr">
        <is>
          <t>通用调度平台建设</t>
        </is>
      </c>
      <c r="H8" s="6" t="n">
        <v>2.5</v>
      </c>
      <c r="I8" s="6" t="n">
        <v>1.5</v>
      </c>
      <c r="J8" s="6" t="inlineStr">
        <is>
          <t>❌</t>
        </is>
      </c>
      <c r="K8" s="6" t="inlineStr">
        <is>
          <t>单源单目标；简单调度；小数据量</t>
        </is>
      </c>
      <c r="L8" s="6" t="inlineStr">
        <is>
          <t>多步骤依赖；重试续跑；中等数据量；需要监控</t>
        </is>
      </c>
      <c r="M8" s="6" t="inlineStr">
        <is>
          <t>分片并行；严格批次窗口；断点恢复；大数据量或复杂补偿</t>
        </is>
      </c>
      <c r="N8" s="6" t="inlineStr">
        <is>
          <t>包含多个可独立调度的任务，或需要建设调度平台本身</t>
        </is>
      </c>
      <c r="P8" s="6" t="inlineStr">
        <is>
          <t>K_UAT</t>
        </is>
      </c>
      <c r="Q8" s="6" t="inlineStr">
        <is>
          <t>UAT支持系数</t>
        </is>
      </c>
      <c r="R8" s="6" t="n">
        <v>0.05</v>
      </c>
      <c r="S8" s="6" t="inlineStr">
        <is>
          <t>%</t>
        </is>
      </c>
      <c r="T8" s="6" t="inlineStr">
        <is>
          <t>显式标记 UAT 适用的故事直接人天</t>
        </is>
      </c>
      <c r="U8" s="6" t="inlineStr">
        <is>
          <t>待样本校准</t>
        </is>
      </c>
    </row>
    <row r="9" ht="48" customHeight="1">
      <c r="A9" s="6" t="inlineStr">
        <is>
          <t>TF-BACKEND</t>
        </is>
      </c>
      <c r="B9" s="6" t="inlineStr">
        <is>
          <t>后端</t>
        </is>
      </c>
      <c r="C9" s="6" t="inlineStr">
        <is>
          <t>BU-EVENT-MESSAGE</t>
        </is>
      </c>
      <c r="D9" s="6" t="inlineStr">
        <is>
          <t>事件与消息处理</t>
        </is>
      </c>
      <c r="E9" s="6" t="inlineStr">
        <is>
          <t>一个事件方向下的一类消息及其处理流程</t>
        </is>
      </c>
      <c r="F9" s="6" t="inlineStr">
        <is>
          <t>消息格式和约定、发送与接收、路由、幂等、重试、死信处理、追踪和自测</t>
        </is>
      </c>
      <c r="G9" s="6" t="inlineStr">
        <is>
          <t>消息平台本身建设</t>
        </is>
      </c>
      <c r="H9" s="6" t="n">
        <v>3</v>
      </c>
      <c r="I9" s="6" t="n">
        <v>2</v>
      </c>
      <c r="J9" s="6" t="inlineStr">
        <is>
          <t>❌</t>
        </is>
      </c>
      <c r="K9" s="6" t="inlineStr">
        <is>
          <t>单生产者、单消费者；简单映射；允许重复</t>
        </is>
      </c>
      <c r="L9" s="6" t="inlineStr">
        <is>
          <t>单一事件方向下存在多个相关操作或消费者；需要顺序、重试、幂等或死信处理</t>
        </is>
      </c>
      <c r="M9" s="6" t="inlineStr">
        <is>
          <t>单一事件方向需要分布式事务、版本兼容、高吞吐或跨地域处理</t>
        </is>
      </c>
      <c r="N9" s="6" t="inlineStr">
        <is>
          <t>包含多个独立事件方向或消息类别，或需要建设消息平台本身</t>
        </is>
      </c>
      <c r="P9" s="6" t="inlineStr">
        <is>
          <t>SIT_INT_SUPPORT</t>
        </is>
      </c>
      <c r="Q9" s="6" t="inlineStr">
        <is>
          <t>内部集成点SIT支持</t>
        </is>
      </c>
      <c r="R9" s="6" t="n">
        <v>0.5</v>
      </c>
      <c r="S9" s="6" t="inlineStr">
        <is>
          <t>人天/点</t>
        </is>
      </c>
      <c r="T9" s="6" t="inlineStr">
        <is>
          <t>开发交付估算</t>
        </is>
      </c>
      <c r="U9" s="6" t="inlineStr">
        <is>
          <t>待样本校准</t>
        </is>
      </c>
    </row>
    <row r="10" ht="48" customHeight="1">
      <c r="A10" s="6" t="inlineStr">
        <is>
          <t>TF-DATA-REPORTING</t>
        </is>
      </c>
      <c r="B10" s="6" t="inlineStr">
        <is>
          <t>数据与报表</t>
        </is>
      </c>
      <c r="C10" s="6" t="inlineStr">
        <is>
          <t>BU-DATA-MODEL</t>
        </is>
      </c>
      <c r="D10" s="6" t="inlineStr">
        <is>
          <t>数据模型与存储结构</t>
        </is>
      </c>
      <c r="E10" s="6" t="inlineStr">
        <is>
          <t>一个业务对象，或一组必须同时演进的紧密相关对象</t>
        </is>
      </c>
      <c r="F10" s="6" t="inlineStr">
        <is>
          <t>存储结构、关系、约束、索引、访问层和结构演进验证</t>
        </is>
      </c>
      <c r="G10" s="6" t="inlineStr">
        <is>
          <t>批量业务数据迁移</t>
        </is>
      </c>
      <c r="H10" s="6" t="n">
        <v>2.5</v>
      </c>
      <c r="I10" s="6" t="n">
        <v>1.5</v>
      </c>
      <c r="J10" s="6" t="inlineStr">
        <is>
          <t>❌</t>
        </is>
      </c>
      <c r="K10" s="6" t="inlineStr">
        <is>
          <t>1～2 个对象；简单关系和索引</t>
        </is>
      </c>
      <c r="L10" s="6" t="inlineStr">
        <is>
          <t>一组必须同时演进的 3～6 个相关对象；多约束、索引和结构迁移</t>
        </is>
      </c>
      <c r="M10" s="6" t="inlineStr">
        <is>
          <t>单一对象组存在复杂层级或图关系、分区分片、历史版本或零停机结构演进</t>
        </is>
      </c>
      <c r="N10" s="6" t="inlineStr">
        <is>
          <t>包含多个可独立演进的业务对象组，或需要整体重构存储架构</t>
        </is>
      </c>
      <c r="P10" s="6" t="inlineStr">
        <is>
          <t>SIT_EXT_SUPPORT</t>
        </is>
      </c>
      <c r="Q10" s="6" t="inlineStr">
        <is>
          <t>外部集成点SIT支持</t>
        </is>
      </c>
      <c r="R10" s="6" t="n">
        <v>1</v>
      </c>
      <c r="S10" s="6" t="inlineStr">
        <is>
          <t>人天/点</t>
        </is>
      </c>
      <c r="T10" s="6" t="inlineStr">
        <is>
          <t>开发交付估算</t>
        </is>
      </c>
      <c r="U10" s="6" t="inlineStr">
        <is>
          <t>待样本校准</t>
        </is>
      </c>
    </row>
    <row r="11" ht="48" customHeight="1">
      <c r="A11" s="6" t="inlineStr">
        <is>
          <t>TF-DATA-REPORTING</t>
        </is>
      </c>
      <c r="B11" s="6" t="inlineStr">
        <is>
          <t>数据与报表</t>
        </is>
      </c>
      <c r="C11" s="6" t="inlineStr">
        <is>
          <t>BU-REPORT-METRIC</t>
        </is>
      </c>
      <c r="D11" s="6" t="inlineStr">
        <is>
          <t>报表与指标</t>
        </is>
      </c>
      <c r="E11" s="6" t="inlineStr">
        <is>
          <t>一张可独立验收的报表，或一组使用同一数据口径的紧密相关指标</t>
        </is>
      </c>
      <c r="F11" s="6" t="inlineStr">
        <is>
          <t>指标口径、查询聚合、筛选钻取、权限、展示、导出和结果校验</t>
        </is>
      </c>
      <c r="G11" s="6" t="inlineStr">
        <is>
          <t>新增数据采集流程</t>
        </is>
      </c>
      <c r="H11" s="6" t="n">
        <v>2</v>
      </c>
      <c r="I11" s="6" t="n">
        <v>1.5</v>
      </c>
      <c r="J11" s="6" t="inlineStr">
        <is>
          <t>❌</t>
        </is>
      </c>
      <c r="K11" s="6" t="inlineStr">
        <is>
          <t>单一来源；简单汇总；固定筛选</t>
        </is>
      </c>
      <c r="L11" s="6" t="inlineStr">
        <is>
          <t>一张报表或一组同口径指标需要多表关联、计算、钻取或按角色过滤</t>
        </is>
      </c>
      <c r="M11" s="6" t="inlineStr">
        <is>
          <t>单一验收范围需要统一多个来源口径、复杂计算、近实时、大数据量或严格审计</t>
        </is>
      </c>
      <c r="N11" s="6" t="inlineStr">
        <is>
          <t>包含多张可独立验收的报表，或多组相互独立的指标口径</t>
        </is>
      </c>
      <c r="P11" s="6" t="inlineStr">
        <is>
          <t>ROUND_STORY</t>
        </is>
      </c>
      <c r="Q11" s="6" t="inlineStr">
        <is>
          <t>故事取整粒度</t>
        </is>
      </c>
      <c r="R11" s="6" t="n">
        <v>0.5</v>
      </c>
      <c r="S11" s="6" t="inlineStr">
        <is>
          <t>人天</t>
        </is>
      </c>
      <c r="T11" s="6" t="inlineStr">
        <is>
          <t>任务合计后向上取整</t>
        </is>
      </c>
      <c r="U11" s="6" t="inlineStr">
        <is>
          <t>固定规则</t>
        </is>
      </c>
    </row>
    <row r="12" ht="48" customHeight="1">
      <c r="A12" s="6" t="inlineStr">
        <is>
          <t>TF-DATA-REPORTING</t>
        </is>
      </c>
      <c r="B12" s="6" t="inlineStr">
        <is>
          <t>数据与报表</t>
        </is>
      </c>
      <c r="C12" s="6" t="inlineStr">
        <is>
          <t>BU-DATA-PIPELINE</t>
        </is>
      </c>
      <c r="D12" s="6" t="inlineStr">
        <is>
          <t>数据处理流程</t>
        </is>
      </c>
      <c r="E12" s="6" t="inlineStr">
        <is>
          <t>一条可独立运行和验证的源到目标处理流程</t>
        </is>
      </c>
      <c r="F12" s="6" t="inlineStr">
        <is>
          <t>抽取、映射、转换、质量校验、调度、重试恢复和监控</t>
        </is>
      </c>
      <c r="G12" s="6" t="inlineStr">
        <is>
          <t>一次性数据迁移和发布切换</t>
        </is>
      </c>
      <c r="H12" s="6" t="n">
        <v>2.5</v>
      </c>
      <c r="I12" s="6" t="n">
        <v>1.5</v>
      </c>
      <c r="J12" s="6" t="inlineStr">
        <is>
          <t>❌</t>
        </is>
      </c>
      <c r="K12" s="6" t="inlineStr">
        <is>
          <t>单源单目标；简单映射；全量处理</t>
        </is>
      </c>
      <c r="L12" s="6" t="inlineStr">
        <is>
          <t>一条流程包含多步转换、增量处理、质量规则和调度依赖</t>
        </is>
      </c>
      <c r="M12" s="6" t="inlineStr">
        <is>
          <t>单一流程涉及多源血缘、CDC、流批结合、回放补数或严格时效</t>
        </is>
      </c>
      <c r="N12" s="6" t="inlineStr">
        <is>
          <t>包含多条可独立调度的处理流程，或需要建设数据处理平台本身</t>
        </is>
      </c>
      <c r="P12" s="6" t="inlineStr">
        <is>
          <t>ROUND_PROJECT</t>
        </is>
      </c>
      <c r="Q12" s="6" t="inlineStr">
        <is>
          <t>项目级取整粒度</t>
        </is>
      </c>
      <c r="R12" s="6" t="n">
        <v>0.5</v>
      </c>
      <c r="S12" s="6" t="inlineStr">
        <is>
          <t>人天</t>
        </is>
      </c>
      <c r="T12" s="6" t="inlineStr">
        <is>
          <t>SIT、UAT分别向上取整；总计不再次取整</t>
        </is>
      </c>
      <c r="U12" s="6" t="inlineStr">
        <is>
          <t>固定规则</t>
        </is>
      </c>
    </row>
    <row r="13" ht="48" customHeight="1">
      <c r="A13" s="6" t="inlineStr">
        <is>
          <t>TF-SYSTEM-INTEGRATION</t>
        </is>
      </c>
      <c r="B13" s="6" t="inlineStr">
        <is>
          <t>系统集成</t>
        </is>
      </c>
      <c r="C13" s="6" t="inlineStr">
        <is>
          <t>BU-INTERNAL-INTEGRATION</t>
        </is>
      </c>
      <c r="D13" s="6" t="inlineStr">
        <is>
          <t>内部系统对接</t>
        </is>
      </c>
      <c r="E13" s="6" t="inlineStr">
        <is>
          <t>一个集成记录所定义的单一交互方向</t>
        </is>
      </c>
      <c r="F13" s="6" t="inlineStr">
        <is>
          <t>接口定义、认证、数据转换与适配、幂等重试、异常处理和基本联调</t>
        </is>
      </c>
      <c r="G13" s="6" t="inlineStr">
        <is>
          <t>对端系统改造和另行开展的系统集成测试</t>
        </is>
      </c>
      <c r="H13" s="6" t="n">
        <v>2</v>
      </c>
      <c r="I13" s="6" t="n">
        <v>1.5</v>
      </c>
      <c r="J13" s="6" t="n">
        <v>1</v>
      </c>
      <c r="K13" s="6" t="inlineStr">
        <is>
          <t>同组织；稳定接口；单向；简单映射</t>
        </is>
      </c>
      <c r="L13" s="6" t="inlineStr">
        <is>
          <t>一个交互方向包含多个相关操作；跨团队；需要认证、重试或版本管理</t>
        </is>
      </c>
      <c r="M13" s="6" t="inlineStr">
        <is>
          <t>单一交互方向跨业务域；复杂一致性；联合发布或严格 SLA</t>
        </is>
      </c>
      <c r="N13" s="6" t="inlineStr">
        <is>
          <t>包含多个集成记录、多个交互方向，或对端系统改造也在本项目范围内</t>
        </is>
      </c>
    </row>
    <row r="14" ht="48" customHeight="1">
      <c r="A14" s="6" t="inlineStr">
        <is>
          <t>TF-SYSTEM-INTEGRATION</t>
        </is>
      </c>
      <c r="B14" s="6" t="inlineStr">
        <is>
          <t>系统集成</t>
        </is>
      </c>
      <c r="C14" s="6" t="inlineStr">
        <is>
          <t>BU-EXTERNAL-INTEGRATION</t>
        </is>
      </c>
      <c r="D14" s="6" t="inlineStr">
        <is>
          <t>外部系统对接</t>
        </is>
      </c>
      <c r="E14" s="6" t="inlineStr">
        <is>
          <t>一个集成记录所定义的单一交互方向</t>
        </is>
      </c>
      <c r="F14" s="6" t="inlineStr">
        <is>
          <t>外部接口定义、连接认证、数据转换与适配、幂等重试、异常处理、环境配置和基本联调</t>
        </is>
      </c>
      <c r="G14" s="6" t="inlineStr">
        <is>
          <t>外部方实现和另行开展的系统集成测试</t>
        </is>
      </c>
      <c r="H14" s="6" t="n">
        <v>3</v>
      </c>
      <c r="I14" s="6" t="n">
        <v>2</v>
      </c>
      <c r="J14" s="6" t="n">
        <v>2</v>
      </c>
      <c r="K14" s="6" t="inlineStr">
        <is>
          <t>文档完整；标准协议和认证；单向</t>
        </is>
      </c>
      <c r="L14" s="6" t="inlineStr">
        <is>
          <t>一个交互方向包含多个相关接口；复杂映射；幂等重试；依赖外部测试环境</t>
        </is>
      </c>
      <c r="M14" s="6" t="inlineStr">
        <is>
          <t>单一交互方向使用专有协议；复杂对账；多方协调；严格安全、性能或可用性</t>
        </is>
      </c>
      <c r="N14" s="6" t="inlineStr">
        <is>
          <t>包含多个集成记录、多个交互方向，或外部方实现也计入本项目范围</t>
        </is>
      </c>
    </row>
    <row r="15" ht="48" customHeight="1">
      <c r="A15" s="6" t="inlineStr">
        <is>
          <t>TF-QUALITY</t>
        </is>
      </c>
      <c r="B15" s="6" t="inlineStr">
        <is>
          <t>质量验证</t>
        </is>
      </c>
      <c r="C15" s="6" t="inlineStr">
        <is>
          <t>BU-MANUAL-TESTING</t>
        </is>
      </c>
      <c r="D15" s="6" t="inlineStr">
        <is>
          <t>人工测试</t>
        </is>
      </c>
      <c r="E15" s="6" t="inlineStr">
        <is>
          <t>约 10 条紧密相关的测试场景，或一个可独立出具结果的测试范围</t>
        </is>
      </c>
      <c r="F15" s="6" t="inlineStr">
        <is>
          <t>场景设计、测试数据、步骤与预期、执行、缺陷复测和结果记录</t>
        </is>
      </c>
      <c r="G15" s="6" t="inlineStr">
        <is>
          <t>自动化脚本实现</t>
        </is>
      </c>
      <c r="H15" s="6" t="n">
        <v>1.5</v>
      </c>
      <c r="I15" s="6" t="n">
        <v>1</v>
      </c>
      <c r="J15" s="6" t="inlineStr">
        <is>
          <t>❌</t>
        </is>
      </c>
      <c r="K15" s="6" t="inlineStr">
        <is>
          <t>约 10 条线性场景；单角色；环境和数据稳定</t>
        </is>
      </c>
      <c r="L15" s="6" t="inlineStr">
        <is>
          <t>约 10 条场景中存在多分支、多角色、跨模块或专门数据准备</t>
        </is>
      </c>
      <c r="M15" s="6" t="inlineStr">
        <is>
          <t>单一测试范围涉及跨系统异步、复杂权限或数据矩阵，并需要合规证据</t>
        </is>
      </c>
      <c r="N15" s="6" t="inlineStr">
        <is>
          <t>场景明显超过约 10 条，且可以分成多个独立测试范围</t>
        </is>
      </c>
    </row>
    <row r="16" ht="48" customHeight="1">
      <c r="A16" s="6" t="inlineStr">
        <is>
          <t>TF-QUALITY</t>
        </is>
      </c>
      <c r="B16" s="6" t="inlineStr">
        <is>
          <t>质量验证</t>
        </is>
      </c>
      <c r="C16" s="6" t="inlineStr">
        <is>
          <t>BU-AUTOMATION-FRAMEWORK</t>
        </is>
      </c>
      <c r="D16" s="6" t="inlineStr">
        <is>
          <t>自动化测试框架</t>
        </is>
      </c>
      <c r="E16" s="6" t="inlineStr">
        <is>
          <t>一个应用或一类测试层级的自动化测试框架</t>
        </is>
      </c>
      <c r="F16" s="6" t="inlineStr">
        <is>
          <t>框架初始化、环境、测试数据准备、模拟服务、报告、CI 接入和示例流程</t>
        </is>
      </c>
      <c r="G16" s="6" t="inlineStr">
        <is>
          <t>大批量业务测试用例</t>
        </is>
      </c>
      <c r="H16" s="6" t="n">
        <v>4</v>
      </c>
      <c r="I16" s="6" t="n">
        <v>2.5</v>
      </c>
      <c r="J16" s="6" t="n">
        <v>2</v>
      </c>
      <c r="K16" s="6" t="inlineStr">
        <is>
          <t>标准技术栈；单应用；基础 CI 执行</t>
        </is>
      </c>
      <c r="L16" s="6" t="inlineStr">
        <is>
          <t>单应用包含 UI 与 API 多层、测试数据准备、报告和并行执行</t>
        </is>
      </c>
      <c r="M16" s="6" t="inlineStr">
        <is>
          <t>单应用需要多平台、服务虚拟化、大规模并行或复杂环境隔离</t>
        </is>
      </c>
      <c r="N16" s="6" t="inlineStr">
        <is>
          <t>包含多个应用，或多类彼此独立的自动化测试框架</t>
        </is>
      </c>
    </row>
    <row r="17" ht="48" customHeight="1">
      <c r="A17" s="6" t="inlineStr">
        <is>
          <t>TF-QUALITY</t>
        </is>
      </c>
      <c r="B17" s="6" t="inlineStr">
        <is>
          <t>质量验证</t>
        </is>
      </c>
      <c r="C17" s="6" t="inlineStr">
        <is>
          <t>BU-AUTOMATION-CASES</t>
        </is>
      </c>
      <c r="D17" s="6" t="inlineStr">
        <is>
          <t>自动化测试用例</t>
        </is>
      </c>
      <c r="E17" s="6" t="inlineStr">
        <is>
          <t>约 10 条紧密相关且可重复执行的自动化场景</t>
        </is>
      </c>
      <c r="F17" s="6" t="inlineStr">
        <is>
          <t>相关自动化场景、测试数据准备、检查条件、执行和结果接入</t>
        </is>
      </c>
      <c r="G17" s="6" t="inlineStr">
        <is>
          <t>自动化测试框架建设</t>
        </is>
      </c>
      <c r="H17" s="6" t="n">
        <v>2</v>
      </c>
      <c r="I17" s="6" t="n">
        <v>1.5</v>
      </c>
      <c r="J17" s="6" t="inlineStr">
        <is>
          <t>❌</t>
        </is>
      </c>
      <c r="K17" s="6" t="inlineStr">
        <is>
          <t>约 10 条稳定 API 或简单 UI 场景；固定测试数据</t>
        </is>
      </c>
      <c r="L17" s="6" t="inlineStr">
        <is>
          <t>约 10 条场景存在分支流程、动态数据、异步等待或模拟外部依赖</t>
        </is>
      </c>
      <c r="M17" s="6" t="inlineStr">
        <is>
          <t>单一场景组贯穿多个系统，存在复杂流程协同、外部依赖或非功能检查</t>
        </is>
      </c>
      <c r="N17" s="6" t="inlineStr">
        <is>
          <t>场景明显超过约 10 条，或可以分成多个独立场景组</t>
        </is>
      </c>
    </row>
    <row r="18" ht="48" customHeight="1">
      <c r="A18" s="6" t="inlineStr">
        <is>
          <t>TF-QUALITY</t>
        </is>
      </c>
      <c r="B18" s="6" t="inlineStr">
        <is>
          <t>质量验证</t>
        </is>
      </c>
      <c r="C18" s="6" t="inlineStr">
        <is>
          <t>BU-PERFORMANCE-TESTING</t>
        </is>
      </c>
      <c r="D18" s="6" t="inlineStr">
        <is>
          <t>性能与容量测试</t>
        </is>
      </c>
      <c r="E18" s="6" t="inlineStr">
        <is>
          <t>一个可独立出具结论的负载模型或测试范围</t>
        </is>
      </c>
      <c r="F18" s="6" t="inlineStr">
        <is>
          <t>负载模型、脚本、数据、执行、指标分析和报告</t>
        </is>
      </c>
      <c r="G18" s="6" t="inlineStr">
        <is>
          <t>性能问题修复和生产扩容实施</t>
        </is>
      </c>
      <c r="H18" s="6" t="n">
        <v>2.5</v>
      </c>
      <c r="I18" s="6" t="n">
        <v>1.5</v>
      </c>
      <c r="J18" s="6" t="inlineStr">
        <is>
          <t>❌</t>
        </is>
      </c>
      <c r="K18" s="6" t="inlineStr">
        <is>
          <t>单接口或界面；单一负载模型；标准阈值</t>
        </is>
      </c>
      <c r="L18" s="6" t="inlineStr">
        <is>
          <t>一个负载模型包含多场景、多指标、代表性数据和调优复测</t>
        </is>
      </c>
      <c r="M18" s="6" t="inlineStr">
        <is>
          <t>单一测试范围涉及分布式链路、峰值和长稳模型、容量评估或生产级数据规模</t>
        </is>
      </c>
      <c r="N18" s="6" t="inlineStr">
        <is>
          <t>包含多个独立负载模型，或需要长期专项调优</t>
        </is>
      </c>
    </row>
    <row r="19" ht="48" customHeight="1">
      <c r="A19" s="6" t="inlineStr">
        <is>
          <t>TF-QUALITY</t>
        </is>
      </c>
      <c r="B19" s="6" t="inlineStr">
        <is>
          <t>质量验证</t>
        </is>
      </c>
      <c r="C19" s="6" t="inlineStr">
        <is>
          <t>BU-SECURITY-PRIVACY-TESTING</t>
        </is>
      </c>
      <c r="D19" s="6" t="inlineStr">
        <is>
          <t>安全与隐私测试</t>
        </is>
      </c>
      <c r="E19" s="6" t="inlineStr">
        <is>
          <t>一个应用或一条数据流的专项测试范围</t>
        </is>
      </c>
      <c r="F19" s="6" t="inlineStr">
        <is>
          <t>测试范围、测试用例或工具配置、执行、证据和报告</t>
        </is>
      </c>
      <c r="G19" s="6" t="inlineStr">
        <is>
          <t>安全问题整改</t>
        </is>
      </c>
      <c r="H19" s="6" t="n">
        <v>3</v>
      </c>
      <c r="I19" s="6" t="n">
        <v>2</v>
      </c>
      <c r="J19" s="6" t="inlineStr">
        <is>
          <t>❌</t>
        </is>
      </c>
      <c r="K19" s="6" t="inlineStr">
        <is>
          <t>标准扫描；单应用；常见配置检查</t>
        </is>
      </c>
      <c r="L19" s="6" t="inlineStr">
        <is>
          <t>认证授权、API 和数据流专项验证；部分人工检查</t>
        </is>
      </c>
      <c r="M19" s="6" t="inlineStr">
        <is>
          <t>高敏感数据；威胁建模；较深人工验证；需要较强合规证据</t>
        </is>
      </c>
      <c r="N19" s="6" t="inlineStr">
        <is>
          <t>需要由独立专业团队开展正式渗透测试或认证，或包含多个独立测试范围</t>
        </is>
      </c>
    </row>
    <row r="20" ht="48" customHeight="1">
      <c r="A20" s="6" t="inlineStr">
        <is>
          <t>TF-QUALITY</t>
        </is>
      </c>
      <c r="B20" s="6" t="inlineStr">
        <is>
          <t>质量验证</t>
        </is>
      </c>
      <c r="C20" s="6" t="inlineStr">
        <is>
          <t>BU-COMPATIBILITY-ACCESSIBILITY-TESTING</t>
        </is>
      </c>
      <c r="D20" s="6" t="inlineStr">
        <is>
          <t>兼容性与无障碍测试</t>
        </is>
      </c>
      <c r="E20" s="6" t="inlineStr">
        <is>
          <t>一个明确的兼容矩阵或无障碍检查范围</t>
        </is>
      </c>
      <c r="F20" s="6" t="inlineStr">
        <is>
          <t>兼容范围或无障碍标准、场景、执行、问题和证据</t>
        </is>
      </c>
      <c r="G20" s="6" t="inlineStr">
        <is>
          <t>产品问题修复</t>
        </is>
      </c>
      <c r="H20" s="6" t="n">
        <v>2</v>
      </c>
      <c r="I20" s="6" t="n">
        <v>1.5</v>
      </c>
      <c r="J20" s="6" t="inlineStr">
        <is>
          <t>❌</t>
        </is>
      </c>
      <c r="K20" s="6" t="inlineStr">
        <is>
          <t>单浏览器或设备；标准检查</t>
        </is>
      </c>
      <c r="L20" s="6" t="inlineStr">
        <is>
          <t>一个明确矩阵内的多浏览器或设备、响应式、键盘和读屏验证</t>
        </is>
      </c>
      <c r="M20" s="6" t="inlineStr">
        <is>
          <t>单一产品范围涉及较大兼容矩阵、遗留环境或较深入的无障碍检查</t>
        </is>
      </c>
      <c r="N20" s="6" t="inlineStr">
        <is>
          <t>包含多个独立产品或平台矩阵，或需要正式无障碍审计</t>
        </is>
      </c>
    </row>
    <row r="21" ht="48" customHeight="1">
      <c r="A21" s="6" t="inlineStr">
        <is>
          <t>TF-SHARED-TECH</t>
        </is>
      </c>
      <c r="B21" s="6" t="inlineStr">
        <is>
          <t>共性技术能力</t>
        </is>
      </c>
      <c r="C21" s="6" t="inlineStr">
        <is>
          <t>BU-I18N</t>
        </is>
      </c>
      <c r="D21" s="6" t="inlineStr">
        <is>
          <t>国际化支持</t>
        </is>
      </c>
      <c r="E21" s="6" t="inlineStr">
        <is>
          <t>一个应用或一个可独立发布的模块</t>
        </is>
      </c>
      <c r="F21" s="6" t="inlineStr">
        <is>
          <t>资源组织、语言切换、格式化、回退、伪本地化和基本验证</t>
        </is>
      </c>
      <c r="G21" s="6" t="inlineStr">
        <is>
          <t>业务内容翻译</t>
        </is>
      </c>
      <c r="H21" s="6" t="n">
        <v>3</v>
      </c>
      <c r="I21" s="6" t="n">
        <v>1.5</v>
      </c>
      <c r="J21" s="6" t="n">
        <v>1</v>
      </c>
      <c r="K21" s="6" t="inlineStr">
        <is>
          <t>资源提取；单一新增语言；标准格式</t>
        </is>
      </c>
      <c r="L21" s="6" t="inlineStr">
        <is>
          <t>一个应用或模块涉及复数、日期、货币和本地内容差异</t>
        </is>
      </c>
      <c r="M21" s="6" t="inlineStr">
        <is>
          <t>单一应用或模块涉及多语言工作流、从右向左书写、大量硬编码改造或动态内容</t>
        </is>
      </c>
      <c r="N21" s="6" t="inlineStr">
        <is>
          <t>包含多个可独立发布的应用或模块</t>
        </is>
      </c>
    </row>
    <row r="22" ht="48" customHeight="1">
      <c r="A22" s="6" t="inlineStr">
        <is>
          <t>TF-SHARED-TECH</t>
        </is>
      </c>
      <c r="B22" s="6" t="inlineStr">
        <is>
          <t>共性技术能力</t>
        </is>
      </c>
      <c r="C22" s="6" t="inlineStr">
        <is>
          <t>BU-IDENTITY-ACCESS</t>
        </is>
      </c>
      <c r="D22" s="6" t="inlineStr">
        <is>
          <t>身份与权限管理</t>
        </is>
      </c>
      <c r="E22" s="6" t="inlineStr">
        <is>
          <t>一个资源范围内的一组角色、权限和策略</t>
        </is>
      </c>
      <c r="F22" s="6" t="inlineStr">
        <is>
          <t>角色、策略、授权规则、配置、审计挂接和权限验证</t>
        </is>
      </c>
      <c r="G22" s="6" t="inlineStr">
        <is>
          <t>独立身份系统对接</t>
        </is>
      </c>
      <c r="H22" s="6" t="n">
        <v>3</v>
      </c>
      <c r="I22" s="6" t="n">
        <v>2</v>
      </c>
      <c r="J22" s="6" t="n">
        <v>1.5</v>
      </c>
      <c r="K22" s="6" t="inlineStr">
        <is>
          <t>少量角色；标准 RBAC；单应用</t>
        </is>
      </c>
      <c r="L22" s="6" t="inlineStr">
        <is>
          <t>单一资源范围存在多角色、多资源或租户，并接入统一身份平台</t>
        </is>
      </c>
      <c r="M22" s="6" t="inlineStr">
        <is>
          <t>单一资源范围涉及 ABAC、委托授权、职责分离或跨系统权限一致性</t>
        </is>
      </c>
      <c r="N22" s="6" t="inlineStr">
        <is>
          <t>包含多个独立资源域，或需要改造统一身份平台本身</t>
        </is>
      </c>
    </row>
    <row r="23" ht="48" customHeight="1">
      <c r="A23" s="6" t="inlineStr">
        <is>
          <t>TF-SHARED-TECH</t>
        </is>
      </c>
      <c r="B23" s="6" t="inlineStr">
        <is>
          <t>共性技术能力</t>
        </is>
      </c>
      <c r="C23" s="6" t="inlineStr">
        <is>
          <t>BU-SECURITY-PRIVACY</t>
        </is>
      </c>
      <c r="D23" s="6" t="inlineStr">
        <is>
          <t>安全与隐私保护</t>
        </is>
      </c>
      <c r="E23" s="6" t="inlineStr">
        <is>
          <t>一条数据流或一个明确的数据处理范围</t>
        </is>
      </c>
      <c r="F23" s="6" t="inlineStr">
        <is>
          <t>加密、脱敏、同意、留存或访问控制的实现、配置和基本验证</t>
        </is>
      </c>
      <c r="G23" s="6" t="inlineStr">
        <is>
          <t>另行开展的安全与隐私测试或认证</t>
        </is>
      </c>
      <c r="H23" s="6" t="n">
        <v>3</v>
      </c>
      <c r="I23" s="6" t="n">
        <v>2</v>
      </c>
      <c r="J23" s="6" t="n">
        <v>1.5</v>
      </c>
      <c r="K23" s="6" t="inlineStr">
        <is>
          <t>单一数据流；标准加密、脱敏或访问控制</t>
        </is>
      </c>
      <c r="L23" s="6" t="inlineStr">
        <is>
          <t>单一处理范围存在多跳数据流、数据分级、同意和审计要求</t>
        </is>
      </c>
      <c r="M23" s="6" t="inlineStr">
        <is>
          <t>单一处理范围涉及高敏感数据、跨境、复杂密钥管理或强监管要求</t>
        </is>
      </c>
      <c r="N23" s="6" t="inlineStr">
        <is>
          <t>包含多条独立数据流，或需要建设平台级安全能力</t>
        </is>
      </c>
    </row>
    <row r="24" ht="48" customHeight="1">
      <c r="A24" s="6" t="inlineStr">
        <is>
          <t>TF-SHARED-TECH</t>
        </is>
      </c>
      <c r="B24" s="6" t="inlineStr">
        <is>
          <t>共性技术能力</t>
        </is>
      </c>
      <c r="C24" s="6" t="inlineStr">
        <is>
          <t>BU-OBSERVABILITY-AUDIT</t>
        </is>
      </c>
      <c r="D24" s="6" t="inlineStr">
        <is>
          <t>监控、追踪与审计</t>
        </is>
      </c>
      <c r="E24" s="6" t="inlineStr">
        <is>
          <t>一个服务或一条可独立观测的调用链</t>
        </is>
      </c>
      <c r="F24" s="6" t="inlineStr">
        <is>
          <t>日志、指标、追踪、审计事件、关联标识、基础看板、告警和验证</t>
        </is>
      </c>
      <c r="G24" s="6" t="inlineStr">
        <is>
          <t>监控平台建设</t>
        </is>
      </c>
      <c r="H24" s="6" t="n">
        <v>2</v>
      </c>
      <c r="I24" s="6" t="n">
        <v>1.5</v>
      </c>
      <c r="J24" s="6" t="n">
        <v>1</v>
      </c>
      <c r="K24" s="6" t="inlineStr">
        <is>
          <t>标准日志、指标和健康检查</t>
        </is>
      </c>
      <c r="L24" s="6" t="inlineStr">
        <is>
          <t>单一服务或调用链需要分布式追踪、告警、SLO 和审计关联</t>
        </is>
      </c>
      <c r="M24" s="6" t="inlineStr">
        <is>
          <t>单一服务或调用链涉及跨系统关联、高基数、长期留存或合规级防篡改</t>
        </is>
      </c>
      <c r="N24" s="6" t="inlineStr">
        <is>
          <t>包含多个可独立观测的服务或调用链，或需要建设监控平台</t>
        </is>
      </c>
    </row>
    <row r="25" ht="48" customHeight="1">
      <c r="A25" s="6" t="inlineStr">
        <is>
          <t>TF-SHARED-TECH</t>
        </is>
      </c>
      <c r="B25" s="6" t="inlineStr">
        <is>
          <t>共性技术能力</t>
        </is>
      </c>
      <c r="C25" s="6" t="inlineStr">
        <is>
          <t>BU-PERFORMANCE-RELIABILITY</t>
        </is>
      </c>
      <c r="D25" s="6" t="inlineStr">
        <is>
          <t>性能与稳定性保障</t>
        </is>
      </c>
      <c r="E25" s="6" t="inlineStr">
        <is>
          <t>一个组件或一条调用链上的一组保障措施</t>
        </is>
      </c>
      <c r="F25" s="6" t="inlineStr">
        <is>
          <t>缓存、超时、重试、熔断、限流、降级和基本验证</t>
        </is>
      </c>
      <c r="G25" s="6" t="inlineStr">
        <is>
          <t>另行开展的性能与容量测试</t>
        </is>
      </c>
      <c r="H25" s="6" t="n">
        <v>2.5</v>
      </c>
      <c r="I25" s="6" t="n">
        <v>1.5</v>
      </c>
      <c r="J25" s="6" t="n">
        <v>1.5</v>
      </c>
      <c r="K25" s="6" t="inlineStr">
        <is>
          <t>单组件缓存、超时或重试</t>
        </is>
      </c>
      <c r="L25" s="6" t="inlineStr">
        <is>
          <t>单一调用链需要限流、熔断、降级和多个依赖协同</t>
        </is>
      </c>
      <c r="M25" s="6" t="inlineStr">
        <is>
          <t>单一调用链需要复杂限流降级、严格 SLA 或复杂故障恢复</t>
        </is>
      </c>
      <c r="N25" s="6" t="inlineStr">
        <is>
          <t>涉及多级容灾、跨地域，或包含多个可独立治理的调用链</t>
        </is>
      </c>
    </row>
    <row r="26" ht="48" customHeight="1">
      <c r="A26" s="6" t="inlineStr">
        <is>
          <t>TF-SHARED-TECH</t>
        </is>
      </c>
      <c r="B26" s="6" t="inlineStr">
        <is>
          <t>共性技术能力</t>
        </is>
      </c>
      <c r="C26" s="6" t="inlineStr">
        <is>
          <t>BU-SHARED-TECH-COMPONENT</t>
        </is>
      </c>
      <c r="D26" s="6" t="inlineStr">
        <is>
          <t>公共技术组件</t>
        </is>
      </c>
      <c r="E26" s="6" t="inlineStr">
        <is>
          <t>一个可独立发布、版本管理和复用的技术组件</t>
        </is>
      </c>
      <c r="F26" s="6" t="inlineStr">
        <is>
          <t>新建或调整时包括稳定接口、可复用实现或配置、版本、说明和单元验证；接入复用时包括当前项目的依赖引入、注册、配置、适配和验证</t>
        </is>
      </c>
      <c r="G26" s="6" t="inlineStr">
        <is>
          <t>具体业务功能和通用界面组件</t>
        </is>
      </c>
      <c r="H26" s="6" t="n">
        <v>2.5</v>
      </c>
      <c r="I26" s="6" t="n">
        <v>1.5</v>
      </c>
      <c r="J26" s="6" t="n">
        <v>1</v>
      </c>
      <c r="K26" s="6" t="inlineStr">
        <is>
          <t>单应用内复用；接口简单</t>
        </is>
      </c>
      <c r="L26" s="6" t="inlineStr">
        <is>
          <t>一个组件需要多模块复用、配置、说明和兼容处理</t>
        </is>
      </c>
      <c r="M26" s="6" t="inlineStr">
        <is>
          <t>单一组件涉及跨应用版本治理、扩展机制或严格向后兼容</t>
        </is>
      </c>
      <c r="N26" s="6" t="inlineStr">
        <is>
          <t>包含多个可独立发布的组件，或需要建设平台级组件体系</t>
        </is>
      </c>
    </row>
    <row r="27" ht="48" customHeight="1">
      <c r="A27" s="6" t="inlineStr">
        <is>
          <t>TF-SHARED-TECH</t>
        </is>
      </c>
      <c r="B27" s="6" t="inlineStr">
        <is>
          <t>共性技术能力</t>
        </is>
      </c>
      <c r="C27" s="6" t="inlineStr">
        <is>
          <t>BU-CONFIG-FEATURE-FLAG</t>
        </is>
      </c>
      <c r="D27" s="6" t="inlineStr">
        <is>
          <t>配置与功能开关</t>
        </is>
      </c>
      <c r="E27" s="6" t="inlineStr">
        <is>
          <t>一个应用中的一组紧密相关配置或开关</t>
        </is>
      </c>
      <c r="F27" s="6" t="inlineStr">
        <is>
          <t>配置结构、默认值、环境覆盖、开关生命周期、权限审计、回退和验证</t>
        </is>
      </c>
      <c r="G27" s="6" t="inlineStr">
        <is>
          <t>开关控制的业务功能</t>
        </is>
      </c>
      <c r="H27" s="6" t="n">
        <v>2</v>
      </c>
      <c r="I27" s="6" t="n">
        <v>1.5</v>
      </c>
      <c r="J27" s="6" t="n">
        <v>1</v>
      </c>
      <c r="K27" s="6" t="inlineStr">
        <is>
          <t>静态配置或单一开关</t>
        </is>
      </c>
      <c r="L27" s="6" t="inlineStr">
        <is>
          <t>一个应用内按环境、租户或角色控制，并需要审计</t>
        </is>
      </c>
      <c r="M27" s="6" t="inlineStr">
        <is>
          <t>单一配置范围涉及灰度发布、开关依赖、紧急止损或跨地域一致性</t>
        </is>
      </c>
      <c r="N27" s="6" t="inlineStr">
        <is>
          <t>包含多组独立配置或开关体系，或需要建设配置平台本身</t>
        </is>
      </c>
    </row>
    <row r="28" ht="48" customHeight="1">
      <c r="A28" s="6" t="inlineStr">
        <is>
          <t>TF-ENGINEERING-PLATFORM</t>
        </is>
      </c>
      <c r="B28" s="6" t="inlineStr">
        <is>
          <t>工程平台</t>
        </is>
      </c>
      <c r="C28" s="6" t="inlineStr">
        <is>
          <t>BU-APP-BOOTSTRAP</t>
        </is>
      </c>
      <c r="D28" s="6" t="inlineStr">
        <is>
          <t>应用工程初始化</t>
        </is>
      </c>
      <c r="E28" s="6" t="inlineStr">
        <is>
          <t>一个仓库、应用或可独立构建的模块</t>
        </is>
      </c>
      <c r="F28" s="6" t="inlineStr">
        <is>
          <t>新建或调整时包括仓库或模块结构、依赖管理、构建约定、基础配置和测试入口；接入复用时只包括采用现有工程模板或开发平台所需的项目配置和验证</t>
        </is>
      </c>
      <c r="G28" s="6" t="inlineStr">
        <is>
          <t>业务功能</t>
        </is>
      </c>
      <c r="H28" s="6" t="n">
        <v>2.5</v>
      </c>
      <c r="I28" s="6" t="n">
        <v>1.5</v>
      </c>
      <c r="J28" s="6" t="n">
        <v>1</v>
      </c>
      <c r="K28" s="6" t="inlineStr">
        <is>
          <t>标准工程模板；单模块；默认约定</t>
        </is>
      </c>
      <c r="L28" s="6" t="inlineStr">
        <is>
          <t>一个仓库或应用包含多模块、自定义工程规范和多环境配置</t>
        </is>
      </c>
      <c r="M28" s="6" t="inlineStr">
        <is>
          <t>单一应用需要统一接入安全、监控和治理机制，并有较多工程定制</t>
        </is>
      </c>
      <c r="N28" s="6" t="inlineStr">
        <is>
          <t>包含多个独立仓库或应用，或需要建设组织级工程模板平台</t>
        </is>
      </c>
    </row>
    <row r="29" ht="48" customHeight="1">
      <c r="A29" s="6" t="inlineStr">
        <is>
          <t>TF-ENGINEERING-PLATFORM</t>
        </is>
      </c>
      <c r="B29" s="6" t="inlineStr">
        <is>
          <t>工程平台</t>
        </is>
      </c>
      <c r="C29" s="6" t="inlineStr">
        <is>
          <t>BU-BUILD-DEPLOY-PIPELINE</t>
        </is>
      </c>
      <c r="D29" s="6" t="inlineStr">
        <is>
          <t>构建与部署流水线</t>
        </is>
      </c>
      <c r="E29" s="6" t="inlineStr">
        <is>
          <t>一条可独立构建、部署和回滚的流水线</t>
        </is>
      </c>
      <c r="F29" s="6" t="inlineStr">
        <is>
          <t>构建、测试、制品、部署、审批、密钥、回滚步骤和基本验证</t>
        </is>
      </c>
      <c r="G29" s="6" t="inlineStr">
        <is>
          <t>基础设施资源创建</t>
        </is>
      </c>
      <c r="H29" s="6" t="n">
        <v>2.5</v>
      </c>
      <c r="I29" s="6" t="n">
        <v>1.5</v>
      </c>
      <c r="J29" s="6" t="n">
        <v>1</v>
      </c>
      <c r="K29" s="6" t="inlineStr">
        <is>
          <t>单应用；标准构建、测试和部署</t>
        </is>
      </c>
      <c r="L29" s="6" t="inlineStr">
        <is>
          <t>单应用涉及多环境、审批、制品和密钥管理</t>
        </is>
      </c>
      <c r="M29" s="6" t="inlineStr">
        <is>
          <t>单应用需要蓝绿或金丝雀发布、自动回滚或合规检查</t>
        </is>
      </c>
      <c r="N29" s="6" t="inlineStr">
        <is>
          <t>包含多条独立流水线、多应用或多地域整体改造</t>
        </is>
      </c>
    </row>
    <row r="30" ht="48" customHeight="1">
      <c r="A30" s="6" t="inlineStr">
        <is>
          <t>TF-ENGINEERING-PLATFORM</t>
        </is>
      </c>
      <c r="B30" s="6" t="inlineStr">
        <is>
          <t>工程平台</t>
        </is>
      </c>
      <c r="C30" s="6" t="inlineStr">
        <is>
          <t>BU-RUNTIME-ENV</t>
        </is>
      </c>
      <c r="D30" s="6" t="inlineStr">
        <is>
          <t>运行环境</t>
        </is>
      </c>
      <c r="E30" s="6" t="inlineStr">
        <is>
          <t>一个项目环境，例如开发、测试或生产环境</t>
        </is>
      </c>
      <c r="F30" s="6" t="inlineStr">
        <is>
          <t>运行时、中间件依赖、访问、配置、数据初始化和健康检查</t>
        </is>
      </c>
      <c r="G30" s="6" t="inlineStr">
        <is>
          <t>应用功能和独立基础设施资源</t>
        </is>
      </c>
      <c r="H30" s="6" t="n">
        <v>2</v>
      </c>
      <c r="I30" s="6" t="n">
        <v>1.5</v>
      </c>
      <c r="J30" s="6" t="n">
        <v>1</v>
      </c>
      <c r="K30" s="6" t="inlineStr">
        <is>
          <t>一个开发或测试环境；标准运行时</t>
        </is>
      </c>
      <c r="L30" s="6" t="inlineStr">
        <is>
          <t>单一环境包含多服务、共享依赖、数据初始化和权限配置</t>
        </is>
      </c>
      <c r="M30" s="6" t="inlineStr">
        <is>
          <t>单一生产环境涉及复杂网络、安全和外部依赖</t>
        </is>
      </c>
      <c r="N30" s="6" t="inlineStr">
        <is>
          <t>包含多个独立环境，或生产级高可用需要拆为基础设施任务</t>
        </is>
      </c>
    </row>
    <row r="31" ht="48" customHeight="1">
      <c r="A31" s="6" t="inlineStr">
        <is>
          <t>TF-ENGINEERING-PLATFORM</t>
        </is>
      </c>
      <c r="B31" s="6" t="inlineStr">
        <is>
          <t>工程平台</t>
        </is>
      </c>
      <c r="C31" s="6" t="inlineStr">
        <is>
          <t>BU-INFRA-RESOURCE</t>
        </is>
      </c>
      <c r="D31" s="6" t="inlineStr">
        <is>
          <t>基础设施资源</t>
        </is>
      </c>
      <c r="E31" s="6" t="inlineStr">
        <is>
          <t>一个标准资源，或一组必须共同交付的关联资源</t>
        </is>
      </c>
      <c r="F31" s="6" t="inlineStr">
        <is>
          <t>IaC、计算、存储、网络、安全、备份、监控和基础验证</t>
        </is>
      </c>
      <c r="G31" s="6" t="inlineStr">
        <is>
          <t>应用部署和业务配置</t>
        </is>
      </c>
      <c r="H31" s="6" t="n">
        <v>3</v>
      </c>
      <c r="I31" s="6" t="n">
        <v>2</v>
      </c>
      <c r="J31" s="6" t="n">
        <v>1.5</v>
      </c>
      <c r="K31" s="6" t="inlineStr">
        <is>
          <t>一个标准托管资源；单环境</t>
        </is>
      </c>
      <c r="L31" s="6" t="inlineStr">
        <is>
          <t>一组必须共同交付的关联资源，包含 IaC、网络、备份和监控</t>
        </is>
      </c>
      <c r="M31" s="6" t="inlineStr">
        <is>
          <t>单地域高可用、私网互联，或有严格安全和合规要求</t>
        </is>
      </c>
      <c r="N31" s="6" t="inlineStr">
        <is>
          <t>包含多地域、容灾方案，或多个可独立交付的资源组</t>
        </is>
      </c>
    </row>
    <row r="32" ht="48" customHeight="1">
      <c r="A32" s="6" t="inlineStr">
        <is>
          <t>TF-ENGINEERING-PLATFORM</t>
        </is>
      </c>
      <c r="B32" s="6" t="inlineStr">
        <is>
          <t>工程平台</t>
        </is>
      </c>
      <c r="C32" s="6" t="inlineStr">
        <is>
          <t>BU-DEV-TOOLS-STANDARDS</t>
        </is>
      </c>
      <c r="D32" s="6" t="inlineStr">
        <is>
          <t>开发工具与工程规范</t>
        </is>
      </c>
      <c r="E32" s="6" t="inlineStr">
        <is>
          <t>一个代码库，或一个采用同一技术栈的工程范围</t>
        </is>
      </c>
      <c r="F32" s="6" t="inlineStr">
        <is>
          <t>格式、Lint、静态分析、提交检查、质量门禁、配置和使用说明</t>
        </is>
      </c>
      <c r="G32" s="6" t="inlineStr">
        <is>
          <t>业务测试用例</t>
        </is>
      </c>
      <c r="H32" s="6" t="n">
        <v>1.5</v>
      </c>
      <c r="I32" s="6" t="n">
        <v>1</v>
      </c>
      <c r="J32" s="6" t="n">
        <v>0.5</v>
      </c>
      <c r="K32" s="6" t="inlineStr">
        <is>
          <t>单技术栈的格式、Lint 和基础规则</t>
        </is>
      </c>
      <c r="L32" s="6" t="inlineStr">
        <is>
          <t>一个代码库需要提交检查、静态分析和质量门禁</t>
        </is>
      </c>
      <c r="M32" s="6" t="inlineStr">
        <is>
          <t>单一代码库涉及多语言、自定义工具或较强治理要求</t>
        </is>
      </c>
      <c r="N32" s="6" t="inlineStr">
        <is>
          <t>包含多个代码库、互不相关的技术栈，或需要建设企业级规则平台</t>
        </is>
      </c>
    </row>
    <row r="33" ht="48" customHeight="1">
      <c r="A33" s="6" t="inlineStr">
        <is>
          <t>TF-DATA-MIGRATION</t>
        </is>
      </c>
      <c r="B33" s="6" t="inlineStr">
        <is>
          <t>数据迁移</t>
        </is>
      </c>
      <c r="C33" s="6" t="inlineStr">
        <is>
          <t>BU-DATA-MIGRATION</t>
        </is>
      </c>
      <c r="D33" s="6" t="inlineStr">
        <is>
          <t>数据迁移</t>
        </is>
      </c>
      <c r="E33" s="6" t="inlineStr">
        <is>
          <t>一个源对象到一个目标对象的迁移</t>
        </is>
      </c>
      <c r="F33" s="6" t="inlineStr">
        <is>
          <t>源目标映射、转换、迁移执行、校验对账、异常处理和必要演练</t>
        </is>
      </c>
      <c r="G33" s="6" t="inlineStr">
        <is>
          <t>发布与切换、运行环境建设和持续同步平台建设</t>
        </is>
      </c>
      <c r="H33" s="6" t="n">
        <v>2</v>
      </c>
      <c r="I33" s="6" t="n">
        <v>1.5</v>
      </c>
      <c r="J33" s="6" t="inlineStr">
        <is>
          <t>❌</t>
        </is>
      </c>
      <c r="K33" s="6" t="inlineStr">
        <is>
          <t>单一源目标对象；一对一映射；数据干净；小规模；允许停机</t>
        </is>
      </c>
      <c r="L33" s="6" t="inlineStr">
        <is>
          <t>单一源目标对象需要转换清洗、中等规模、多次演练和核对</t>
        </is>
      </c>
      <c r="M33" s="6" t="inlineStr">
        <is>
          <t>单一源目标对象数据质量差、规模较大，并需要复杂回滚和对账</t>
        </is>
      </c>
      <c r="N33" s="6" t="inlineStr">
        <is>
          <t>包含多个源目标对象、持续同步，或大规模低停机迁移</t>
        </is>
      </c>
    </row>
    <row r="34" ht="48" customHeight="1">
      <c r="A34" s="6" t="inlineStr">
        <is>
          <t>TF-RELEASE-CUTOVER</t>
        </is>
      </c>
      <c r="B34" s="6" t="inlineStr">
        <is>
          <t>发布与切换</t>
        </is>
      </c>
      <c r="C34" s="6" t="inlineStr">
        <is>
          <t>BU-RELEASE-CUTOVER</t>
        </is>
      </c>
      <c r="D34" s="6" t="inlineStr">
        <is>
          <t>发布切换</t>
        </is>
      </c>
      <c r="E34" s="6" t="inlineStr">
        <is>
          <t>一次具有统一窗口、统一责任范围和回滚方案的生产发布切换</t>
        </is>
      </c>
      <c r="F34" s="6" t="inlineStr">
        <is>
          <t>版本范围、前置条件、上线计划、窗口、执行顺序、依赖协调、RACI、Go/No-Go、演练、实际部署与切换、流量及数据检查、回滚条件与执行、上线确认和切换记录</t>
        </is>
      </c>
      <c r="G34" s="6" t="inlineStr">
        <is>
          <t>替代功能实现、任何数据迁移执行或迁移核对、运行环境或流水线建设、上线后支持</t>
        </is>
      </c>
      <c r="H34" s="6" t="n">
        <v>2.5</v>
      </c>
      <c r="I34" s="6" t="n">
        <v>1.5</v>
      </c>
      <c r="J34" s="6" t="inlineStr">
        <is>
          <t>❌</t>
        </is>
      </c>
      <c r="K34" s="6" t="inlineStr">
        <is>
          <t>单组件；允许停机；使用标准检查表</t>
        </is>
      </c>
      <c r="L34" s="6" t="inlineStr">
        <is>
          <t>一次切换涉及多个紧密关联组件、演练和明确回滚方案</t>
        </is>
      </c>
      <c r="M34" s="6" t="inlineStr">
        <is>
          <t>单一切换范围涉及多组件协同、低停机或较强业务连续性要求</t>
        </is>
      </c>
      <c r="N34" s="6" t="inlineStr">
        <is>
          <t>包含多个可独立切换的系统，或需要持续同步和完整业务连续性方案</t>
        </is>
      </c>
    </row>
    <row r="35" ht="48" customHeight="1">
      <c r="A35" s="6" t="inlineStr">
        <is>
          <t>TF-RELEASE-CUTOVER</t>
        </is>
      </c>
      <c r="B35" s="6" t="inlineStr">
        <is>
          <t>发布与切换</t>
        </is>
      </c>
      <c r="C35" s="6" t="inlineStr">
        <is>
          <t>BU-SYSTEM-RETIREMENT</t>
        </is>
      </c>
      <c r="D35" s="6" t="inlineStr">
        <is>
          <t>系统功能下线</t>
        </is>
      </c>
      <c r="E35" s="6" t="inlineStr">
        <is>
          <t>一个系统、服务、模块或可独立关闭的功能</t>
        </is>
      </c>
      <c r="F35" s="6" t="inlineStr">
        <is>
          <t>依赖盘点、停流、停作业、数据归档留存、权限配置清理、资源处置和可恢复性验证</t>
        </is>
      </c>
      <c r="G35" s="6" t="inlineStr">
        <is>
          <t>替代功能实现</t>
        </is>
      </c>
      <c r="H35" s="6" t="n">
        <v>1.5</v>
      </c>
      <c r="I35" s="6" t="inlineStr">
        <is>
          <t>❌</t>
        </is>
      </c>
      <c r="J35" s="6" t="inlineStr">
        <is>
          <t>❌</t>
        </is>
      </c>
      <c r="K35" s="6" t="inlineStr">
        <is>
          <t>单一独立系统、服务、模块或功能；无重要数据和使用方</t>
        </is>
      </c>
      <c r="L35" s="6" t="inlineStr">
        <is>
          <t>单一下线对象有多个使用方，需要数据归档、权限和配置清理</t>
        </is>
      </c>
      <c r="M35" s="6" t="inlineStr">
        <is>
          <t>单一下线对象存在共享能力、监管留存或多系统依赖，并需要可恢复下线</t>
        </is>
      </c>
      <c r="N35" s="6" t="inlineStr">
        <is>
          <t>包含多个可独立下线对象，或监管留存、跨系统依赖需要另拆任务</t>
        </is>
      </c>
    </row>
    <row r="36" ht="48" customHeight="1">
      <c r="A36" s="6" t="inlineStr">
        <is>
          <t>TF-PROBLEM-HANDLING</t>
        </is>
      </c>
      <c r="B36" s="6" t="inlineStr">
        <is>
          <t>问题处理</t>
        </is>
      </c>
      <c r="C36" s="6" t="inlineStr">
        <is>
          <t>BU-ROOT-CAUSE-REMEDIATION</t>
        </is>
      </c>
      <c r="D36" s="6" t="inlineStr">
        <is>
          <t>同一根因问题整改</t>
        </is>
      </c>
      <c r="E36" s="6" t="inlineStr">
        <is>
          <t>一个已确认根因及其边界明确的受影响范围</t>
        </is>
      </c>
      <c r="F36" s="6" t="inlineStr">
        <is>
          <t>对已确认同一根因的代码、配置或数据进行统一修复和针对性回归</t>
        </is>
      </c>
      <c r="G36" s="6" t="inlineStr">
        <is>
          <t>根因调查</t>
        </is>
      </c>
      <c r="H36" s="6" t="n">
        <v>1.5</v>
      </c>
      <c r="I36" s="6" t="inlineStr">
        <is>
          <t>❌</t>
        </is>
      </c>
      <c r="J36" s="6" t="inlineStr">
        <is>
          <t>❌</t>
        </is>
      </c>
      <c r="K36" s="6" t="inlineStr">
        <is>
          <t>根因明确；单模块；局部修复和回归</t>
        </is>
      </c>
      <c r="L36" s="6" t="inlineStr">
        <is>
          <t>同一根因影响多个紧密相关模块，并涉及配置、数据修复或较大回归</t>
        </is>
      </c>
      <c r="M36" s="6" t="inlineStr">
        <is>
          <t>同一根因跨多个模块，需要较复杂数据修复，或有较大安全影响</t>
        </is>
      </c>
      <c r="N36" s="6" t="inlineStr">
        <is>
          <t>根因尚未明确，或涉及多个独立根因、架构改造、大规模数据修复或独立安全专项</t>
        </is>
      </c>
    </row>
    <row r="37" ht="48" customHeight="1">
      <c r="A37" s="6" t="inlineStr">
        <is>
          <t>TF-ARCHITECTURE</t>
        </is>
      </c>
      <c r="B37" s="6" t="inlineStr">
        <is>
          <t>架构设计</t>
        </is>
      </c>
      <c r="C37" s="6" t="inlineStr">
        <is>
          <t>BU-ARCHITECTURE-DESIGN</t>
        </is>
      </c>
      <c r="D37" s="6" t="inlineStr">
        <is>
          <t>架构方案设计</t>
        </is>
      </c>
      <c r="E37" s="6" t="inlineStr">
        <is>
          <t>一个需要独立决策和评审的架构问题</t>
        </is>
      </c>
      <c r="F37" s="6" t="inlineStr">
        <is>
          <t>背景、候选方案、权衡、决策、影响、约束和评审记录</t>
        </is>
      </c>
      <c r="G37" s="6" t="inlineStr">
        <is>
          <t>具体实现</t>
        </is>
      </c>
      <c r="H37" s="6" t="n">
        <v>2</v>
      </c>
      <c r="I37" s="6" t="n">
        <v>1.5</v>
      </c>
      <c r="J37" s="6" t="inlineStr">
        <is>
          <t>❌</t>
        </is>
      </c>
      <c r="K37" s="6" t="inlineStr">
        <is>
          <t>单组件局部决策；1～2 个明确选项</t>
        </is>
      </c>
      <c r="L37" s="6" t="inlineStr">
        <is>
          <t>一个跨组件问题存在多个方案，并涉及性能、安全等权衡</t>
        </is>
      </c>
      <c r="M37" s="6" t="inlineStr">
        <is>
          <t>一个系统级决策需要多个团队参与，并涉及迁移路径和强约束</t>
        </is>
      </c>
      <c r="N37" s="6" t="inlineStr">
        <is>
          <t>包含多个可独立决策的问题，或完整系统战略和迁移路线需要分开设计</t>
        </is>
      </c>
    </row>
    <row r="38" ht="48" customHeight="1">
      <c r="A38" s="6" t="inlineStr">
        <is>
          <t>TF-ANALYSIS-RESEARCH</t>
        </is>
      </c>
      <c r="B38" s="6" t="inlineStr">
        <is>
          <t>分析与调研</t>
        </is>
      </c>
      <c r="C38" s="6" t="inlineStr">
        <is>
          <t>BU-RESEARCH</t>
        </is>
      </c>
      <c r="D38" s="6" t="inlineStr">
        <is>
          <t>专题调研</t>
        </is>
      </c>
      <c r="E38" s="6" t="inlineStr">
        <is>
          <t>一个问题明确且可以独立形成结论的调研主题</t>
        </is>
      </c>
      <c r="F38" s="6" t="inlineStr">
        <is>
          <t>明确问题、证据调查、必要原型或试验、结论和建议</t>
        </is>
      </c>
      <c r="G38" s="6" t="inlineStr">
        <is>
          <t>生产实现</t>
        </is>
      </c>
      <c r="H38" s="6" t="n">
        <v>2</v>
      </c>
      <c r="I38" s="6" t="inlineStr">
        <is>
          <t>❌</t>
        </is>
      </c>
      <c r="J38" s="6" t="inlineStr">
        <is>
          <t>❌</t>
        </is>
      </c>
      <c r="K38" s="6" t="inlineStr">
        <is>
          <t>单一问题；单系统；主要依赖已有证据</t>
        </is>
      </c>
      <c r="L38" s="6" t="inlineStr">
        <is>
          <t>一个问题需要多组件或多方案比较，并做验证实验</t>
        </is>
      </c>
      <c r="M38" s="6" t="inlineStr">
        <is>
          <t>一个跨系统问题需要原型或数据验证，并由多方共同形成结论</t>
        </is>
      </c>
      <c r="N38" s="6" t="inlineStr">
        <is>
          <t>包含多个独立问题，或原型、数据验证和多方评审可以分别交付</t>
        </is>
      </c>
    </row>
    <row r="39" ht="48" customHeight="1">
      <c r="A39" s="6" t="inlineStr">
        <is>
          <t>TF-PROBLEM-HANDLING</t>
        </is>
      </c>
      <c r="B39" s="6" t="inlineStr">
        <is>
          <t>问题处理</t>
        </is>
      </c>
      <c r="C39" s="6" t="inlineStr">
        <is>
          <t>BU-TECH-SUPPORT</t>
        </is>
      </c>
      <c r="D39" s="6" t="inlineStr">
        <is>
          <t>问题诊断与恢复</t>
        </is>
      </c>
      <c r="E39" s="6" t="inlineStr">
        <is>
          <t>一个具有统一问题描述和处理结论的明确问题</t>
        </is>
      </c>
      <c r="F39" s="6" t="inlineStr">
        <is>
          <t>受理分诊、证据收集、诊断、恢复或建议及处理记录</t>
        </is>
      </c>
      <c r="G39" s="6" t="inlineStr">
        <is>
          <t>上线后值守、待命容量、持续监控、另行批准的产品改造，以及对已确认根因的代码、配置或数据整改</t>
        </is>
      </c>
      <c r="H39" s="6" t="n">
        <v>2</v>
      </c>
      <c r="I39" s="6" t="inlineStr">
        <is>
          <t>❌</t>
        </is>
      </c>
      <c r="J39" s="6" t="inlineStr">
        <is>
          <t>❌</t>
        </is>
      </c>
      <c r="K39" s="6" t="inlineStr">
        <is>
          <t>单一明确问题；标准诊断；单组件</t>
        </is>
      </c>
      <c r="L39" s="6" t="inlineStr">
        <is>
          <t>一个问题涉及多组件、多日志来源或跨团队协同</t>
        </is>
      </c>
      <c r="M39" s="6" t="inlineStr">
        <is>
          <t>一个关键问题需要跨系统排查、恢复方案和深入根因分析</t>
        </is>
      </c>
      <c r="N39" s="6" t="inlineStr">
        <is>
          <t>包含多个独立问题，或需要另行批准的产品改造和专项根因分析</t>
        </is>
      </c>
    </row>
    <row r="40" ht="48" customHeight="1">
      <c r="A40" s="6" t="inlineStr">
        <is>
          <t>TF-DELIVERY-HANDOVER</t>
        </is>
      </c>
      <c r="B40" s="6" t="inlineStr">
        <is>
          <t>交付与移交</t>
        </is>
      </c>
      <c r="C40" s="6" t="inlineStr">
        <is>
          <t>BU-OPS-HANDOVER</t>
        </is>
      </c>
      <c r="D40" s="6" t="inlineStr">
        <is>
          <t>运维交接与操作手册</t>
        </is>
      </c>
      <c r="E40" s="6" t="inlineStr">
        <is>
          <t>一个服务，或一组共同部署和运维的紧密相关组件</t>
        </is>
      </c>
      <c r="F40" s="6" t="inlineStr">
        <is>
          <t>拓扑、部署、启停、监控告警、故障处理、回滚、联系范围和交接演练</t>
        </is>
      </c>
      <c r="G40" s="6" t="inlineStr">
        <is>
          <t>功能实现</t>
        </is>
      </c>
      <c r="H40" s="6" t="n">
        <v>1.5</v>
      </c>
      <c r="I40" s="6" t="n">
        <v>1</v>
      </c>
      <c r="J40" s="6" t="inlineStr">
        <is>
          <t>❌</t>
        </is>
      </c>
      <c r="K40" s="6" t="inlineStr">
        <is>
          <t>单服务；标准部署、监控和回滚说明</t>
        </is>
      </c>
      <c r="L40" s="6" t="inlineStr">
        <is>
          <t>一组共同部署和运维的组件，需要告警、值班和知识转移</t>
        </is>
      </c>
      <c r="M40" s="6" t="inlineStr">
        <is>
          <t>一个分布式服务范围涉及容灾、合规和多团队交接</t>
        </is>
      </c>
      <c r="N40" s="6" t="inlineStr">
        <is>
          <t>包含多个独立运维对象，或需要向多个运维团队分别交接</t>
        </is>
      </c>
    </row>
    <row r="41" ht="48" customHeight="1">
      <c r="A41" s="6" t="inlineStr">
        <is>
          <t>TF-DELIVERY-HANDOVER</t>
        </is>
      </c>
      <c r="B41" s="6" t="inlineStr">
        <is>
          <t>交付与移交</t>
        </is>
      </c>
      <c r="C41" s="6" t="inlineStr">
        <is>
          <t>BU-USER-TRAINING</t>
        </is>
      </c>
      <c r="D41" s="6" t="inlineStr">
        <is>
          <t>用户培训与使用材料</t>
        </is>
      </c>
      <c r="E41" s="6" t="inlineStr">
        <is>
          <t>一个明确用户群体针对一项连贯能力的培训和材料交付</t>
        </is>
      </c>
      <c r="F41" s="6" t="inlineStr">
        <is>
          <t>培训需求确认、使用材料、演示或练习、培训实施、问答、出席记录及材料移交</t>
        </is>
      </c>
      <c r="G41" s="6" t="inlineStr">
        <is>
          <t>运维交接、技术架构培训、业务内容翻译和长期培训运营</t>
        </is>
      </c>
      <c r="H41" s="6" t="n">
        <v>1.5</v>
      </c>
      <c r="I41" s="6" t="n">
        <v>1</v>
      </c>
      <c r="J41" s="6" t="inlineStr">
        <is>
          <t>❌</t>
        </is>
      </c>
      <c r="K41" s="6" t="inlineStr">
        <is>
          <t>单一角色；标准流程；一次短时讲解；无专门练习环境</t>
        </is>
      </c>
      <c r="L41" s="6" t="inlineStr">
        <is>
          <t>一个用户群体包含多个相关角色；需要演示、练习和问答</t>
        </is>
      </c>
      <c r="M41" s="6" t="inlineStr">
        <is>
          <t>多语言、Train-the-Trainer、专门练习环境或正式能力考核</t>
        </is>
      </c>
      <c r="N41" s="6" t="inlineStr">
        <is>
          <t>多个独立用户群体或多个无关产品，必须拆分</t>
        </is>
      </c>
    </row>
  </sheetData>
  <sheetProtection selectLockedCells="0" selectUnlockedCells="0" sheet="1" objects="0" insertRows="1" insertHyperlinks="1" autoFilter="1" scenarios="0" formatColumns="1" deleteColumns="1" insertColumns="1" pivotTables="1" deleteRows="1" formatCells="1" formatRows="1" sort="1"/>
  <mergeCells count="1">
    <mergeCell ref="A1:U1"/>
  </mergeCells>
  <pageMargins left="0.75" right="0.75" top="1" bottom="1" header="0.5" footer="0.5"/>
  <pageSetup orientation="landscape" fitToWidth="1"/>
  <tableParts count="2">
    <tablePart xmlns:r="http://schemas.openxmlformats.org/officeDocument/2006/relationships" r:id="rId1"/>
    <tablePart xmlns:r="http://schemas.openxmlformats.org/officeDocument/2006/relationships" r:id="rId2"/>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AI SOW</dc:creator>
  <dc:title>AI SOW 正式估算工作簿</dc:title>
  <dc:description>SOW 1.3 正式估算模板</dc:description>
  <dcterms:created xsi:type="dcterms:W3CDTF">2000-01-01T00:00:00Z</dcterms:created>
  <dcterms:modified xsi:type="dcterms:W3CDTF">2000-01-01T00:00:00Z</dcterms:modified>
  <cp:lastModifiedBy>AI SOW</cp:lastModifiedBy>
</cp:coreProperties>
</file>