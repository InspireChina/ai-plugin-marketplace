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4">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
      <patternFill patternType="solid">
        <fgColor rgb="00FFFFFF"/>
      </patternFill>
    </fill>
    <fill>
      <patternFill patternType="solid">
        <fgColor rgb="00FFF2CC"/>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62">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92" borderId="22" applyAlignment="1" applyProtection="1" pivotButton="0" quotePrefix="0" xfId="0">
      <alignment horizontal="left" vertical="center" wrapText="1"/>
      <protection locked="0" hidden="0"/>
    </xf>
    <xf numFmtId="0" fontId="44" fillId="122" borderId="26" applyAlignment="1" applyProtection="1" pivotButton="0" quotePrefix="0" xfId="0">
      <alignment horizontal="left" vertical="center" wrapText="1"/>
      <protection locked="0" hidden="0"/>
    </xf>
    <xf numFmtId="0" fontId="44" fillId="122" borderId="26" applyAlignment="1" applyProtection="1" pivotButton="0" quotePrefix="0" xfId="0">
      <alignment horizontal="center" vertical="center"/>
      <protection locked="0" hidden="0"/>
    </xf>
    <xf numFmtId="0" fontId="53" fillId="122" borderId="27" applyAlignment="1" applyProtection="1" pivotButton="0" quotePrefix="0" xfId="0">
      <alignment horizontal="left" vertical="center" wrapText="1"/>
      <protection locked="0" hidden="0"/>
    </xf>
    <xf numFmtId="0" fontId="53" fillId="122" borderId="27" applyAlignment="1" applyProtection="1" pivotButton="0" quotePrefix="0" xfId="0">
      <alignment horizontal="center" vertical="center" wrapText="1"/>
      <protection locked="0" hidden="0"/>
    </xf>
    <xf numFmtId="0" fontId="38" fillId="122" borderId="22" applyAlignment="1" applyProtection="1" pivotButton="0" quotePrefix="0" xfId="0">
      <alignment horizontal="left" vertical="center" wrapText="1"/>
      <protection locked="0" hidden="0"/>
    </xf>
    <xf numFmtId="0" fontId="0" fillId="0" borderId="22" applyProtection="1" pivotButton="0" quotePrefix="0" xfId="0">
      <protection locked="0" hidden="0"/>
    </xf>
    <xf numFmtId="0" fontId="53" fillId="123" borderId="27" applyAlignment="1" applyProtection="1" pivotButton="0" quotePrefix="0" xfId="0">
      <alignment horizontal="center" vertical="center" wrapText="1"/>
      <protection locked="0" hidden="0"/>
    </xf>
    <xf numFmtId="0" fontId="54" fillId="121" borderId="27" applyAlignment="1" applyProtection="1" pivotButton="0" quotePrefix="0" xfId="0">
      <alignment horizontal="left" vertical="center" wrapText="1"/>
      <protection locked="0" hidden="0"/>
    </xf>
    <xf numFmtId="0" fontId="54" fillId="121" borderId="27" applyAlignment="1" applyProtection="1" pivotButton="0" quotePrefix="0" xfId="0">
      <alignment horizontal="center" vertical="center" wrapText="1"/>
      <protection locked="0" hidden="0"/>
    </xf>
    <xf numFmtId="0" fontId="55" fillId="121" borderId="27" applyAlignment="1" applyProtection="1" pivotButton="0" quotePrefix="0" xfId="0">
      <alignment horizontal="left" vertical="center" wrapText="1"/>
      <protection locked="0" hidden="0"/>
    </xf>
    <xf numFmtId="0" fontId="55" fillId="121" borderId="27" applyAlignment="1" applyProtection="1" pivotButton="0" quotePrefix="0" xfId="0">
      <alignment horizontal="center" vertical="center" wrapText="1"/>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40">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
      <font>
        <color rgb="009C0006"/>
      </font>
      <fill>
        <patternFill patternType="solid">
          <fgColor rgb="00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10" headerRowCount="1" totalsRowCount="0" totalsRowShown="0">
  <autoFilter ref="A4:F10"/>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22" headerRowCount="1" totalsRowCount="0" totalsRowShown="0">
  <autoFilter ref="A4:G22"/>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27" headerRowCount="1" totalsRowCount="0" totalsRowShown="0">
  <autoFilter ref="A4:I27"/>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 array="1">IF(C5="","",IFERROR(_xlfn.TEXTJOIN(CHAR(10),TRUE,IF(AcceptanceCriterionTable[故事名称]=C5,"• "&amp;AcceptanceCriterionTable[验收条件名称],"")),""))</calculatedColumnFormula>
    </tableColumn>
    <tableColumn id="6" name="任务明细">
      <calculatedColumnFormula array="1">IF(C5="","",IFERROR(_xlfn.TEXTJOIN(CHAR(10),TRUE,IF(TaskTable[故事名称]=C5,"• "&amp;TaskTable[任务名称],"")),""))</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关联现状条目"/>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8"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10"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DetailTable" displayName="AsIsDetailTable" ref="A4:D15" headerRowCount="1">
  <autoFilter ref="A4:D15"/>
  <tableColumns count="4">
    <tableColumn id="1" name="主题名称"/>
    <tableColumn id="2" name="现状条目名称"/>
    <tableColumn id="3" name="现状描述"/>
    <tableColumn id="4" name="起点可用性"/>
  </tableColumns>
  <tableStyleInfo name="TableStyleMedium2" showFirstColumn="0" showLastColumn="0" showRowStripes="1" showColumnStripes="0"/>
</table>
</file>

<file path=xl/tables/table10.xml><?xml version="1.0" encoding="utf-8"?>
<table xmlns="http://schemas.openxmlformats.org/spreadsheetml/2006/main" id="10"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1.xml><?xml version="1.0" encoding="utf-8"?>
<table xmlns="http://schemas.openxmlformats.org/spreadsheetml/2006/main" id="11"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关联现状条目 / 判断依据与备注</t>
        </is>
      </c>
      <c r="C28" s="950" t="inlineStr">
        <is>
          <t>故事名称 / 任务名称 / 基础单元名称 / 工作模式及理由 / 复杂度及理由 / 关联现状条目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项目起点明细</t>
        </is>
      </c>
      <c r="C32" s="950" t="inlineStr">
        <is>
          <t>主题名称 / 现状条目名称 / 现状描述 / 起点可用性</t>
        </is>
      </c>
      <c r="D32" s="950" t="inlineStr">
        <is>
          <t>无</t>
        </is>
      </c>
      <c r="E32" s="1000" t="inlineStr">
        <is>
          <t>现状条目名称唯一；主题与起点可用性取固定范围；供设计与任务共用</t>
        </is>
      </c>
      <c r="F32" s="950" t="inlineStr">
        <is>
          <t>project.json / asis.json</t>
        </is>
      </c>
      <c r="G32" s="950" t="inlineStr">
        <is>
          <t>设计 / 任务 / 人工评审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inlineStr">
        <is>
          <t>0d2185e21964766b07adf5925e809d63bd32cb07f9e47d4a8a0cf499d41a5de4</t>
        </is>
      </c>
      <c r="C44" s="1041" t="n"/>
      <c r="D44" s="1041" t="n"/>
      <c r="E44" s="1041" t="n"/>
      <c r="F44" s="1041" t="n"/>
      <c r="G44" s="1041" t="n"/>
      <c r="H44" s="1042" t="n"/>
    </row>
    <row r="45" ht="42" customHeight="1" s="1025">
      <c r="A45" s="1039" t="inlineStr">
        <is>
          <t>asis</t>
        </is>
      </c>
      <c r="B45" s="1040" t="inlineStr">
        <is>
          <t>e82bed56bfdeef7657145d894f813eec584179277812152eaa0b93cf36cf26ce</t>
        </is>
      </c>
      <c r="C45" s="1041" t="n"/>
      <c r="D45" s="1041" t="n"/>
      <c r="E45" s="1041" t="n"/>
      <c r="F45" s="1041" t="n"/>
      <c r="G45" s="1041" t="n"/>
      <c r="H45" s="1042" t="n"/>
    </row>
    <row r="46" ht="42" customHeight="1" s="1025">
      <c r="A46" s="1039" t="inlineStr">
        <is>
          <t>design</t>
        </is>
      </c>
      <c r="B46" s="1040" t="inlineStr">
        <is>
          <t>72412b3c186a51a55879a592e2e74bd4ad234710052502718de5ada36c94b16c</t>
        </is>
      </c>
      <c r="C46" s="1041" t="n"/>
      <c r="D46" s="1041" t="n"/>
      <c r="E46" s="1041" t="n"/>
      <c r="F46" s="1041" t="n"/>
      <c r="G46" s="1041" t="n"/>
      <c r="H46" s="1042" t="n"/>
    </row>
    <row r="47" ht="42" customHeight="1" s="1025">
      <c r="A47" s="1039" t="inlineStr">
        <is>
          <t>derivedRequirements</t>
        </is>
      </c>
      <c r="B47" s="1040" t="inlineStr">
        <is>
          <t>16d678a745213634f4b9e0b027e9b271233f60af4c91e27b25dd1b14cae002a3</t>
        </is>
      </c>
      <c r="C47" s="1041" t="n"/>
      <c r="D47" s="1041" t="n"/>
      <c r="E47" s="1041" t="n"/>
      <c r="F47" s="1041" t="n"/>
      <c r="G47" s="1041" t="n"/>
      <c r="H47" s="1042" t="n"/>
    </row>
    <row r="48" ht="42" customHeight="1" s="1025">
      <c r="A48" s="1039" t="inlineStr">
        <is>
          <t>delivery</t>
        </is>
      </c>
      <c r="B48" s="1040" t="inlineStr">
        <is>
          <t>0aeb3baff7024ba001b3206c687c3f35bb09436c579f4be4de14cd178d3271ed</t>
        </is>
      </c>
      <c r="C48" s="1041" t="n"/>
      <c r="D48" s="1041" t="n"/>
      <c r="E48" s="1041" t="n"/>
      <c r="F48" s="1041" t="n"/>
      <c r="G48" s="1041" t="n"/>
      <c r="H48" s="1042" t="n"/>
    </row>
    <row r="49" ht="42" customHeight="1" s="1025">
      <c r="A49" s="1039" t="inlineStr">
        <is>
          <t>estimate</t>
        </is>
      </c>
      <c r="B49" s="1040" t="inlineStr">
        <is>
          <t>982f42b43a059f66a9b506e20205ea14070345e493891396dc380b091381c9e6</t>
        </is>
      </c>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32" customHeight="1" s="1025">
      <c r="A5" s="1058" t="inlineStr">
        <is>
          <t>会员与客户管理</t>
        </is>
      </c>
      <c r="B5" s="1059" t="inlineStr">
        <is>
          <t>业务</t>
        </is>
      </c>
      <c r="C5" s="1058" t="inlineStr">
        <is>
          <t>统一会员身份、档案、等级与授权边界。</t>
        </is>
      </c>
      <c r="D5" s="1058" t="inlineStr">
        <is>
          <t>会员门户、会员主数据、授权中心 / customer_profile、member_tier</t>
        </is>
      </c>
      <c r="E5" s="1058" t="inlineStr">
        <is>
          <t>会员信息跨渠道一致，等级与授权过程可追溯</t>
        </is>
      </c>
      <c r="F5" s="1058" t="inlineStr">
        <is>
          <t>不迁移授权主数据，不改造现有授权中心</t>
        </is>
      </c>
    </row>
    <row r="6" ht="32" customHeight="1" s="1025">
      <c r="A6" s="1058" t="inlineStr">
        <is>
          <t>订单与履约</t>
        </is>
      </c>
      <c r="B6" s="1059" t="inlineStr">
        <is>
          <t>业务</t>
        </is>
      </c>
      <c r="C6" s="1058" t="inlineStr">
        <is>
          <t>统一订单受理、库存预占、状态流转与退货退款。</t>
        </is>
      </c>
      <c r="D6" s="1058" t="inlineStr">
        <is>
          <t>订单服务、ERP、支付网关 / order、inventory_reservation、refund</t>
        </is>
      </c>
      <c r="E6" s="1058" t="inlineStr">
        <is>
          <t>门店与线上订单按同一规则履约且异常可恢复</t>
        </is>
      </c>
      <c r="F6" s="1058" t="inlineStr">
        <is>
          <t>不替换 ERP 库存核算与支付清算能力</t>
        </is>
      </c>
    </row>
    <row r="7" ht="32" customHeight="1" s="1025">
      <c r="A7" s="1058" t="inlineStr">
        <is>
          <t>全渠道运营</t>
        </is>
      </c>
      <c r="B7" s="1059" t="inlineStr">
        <is>
          <t>业务</t>
        </is>
      </c>
      <c r="C7" s="1058" t="inlineStr">
        <is>
          <t>为门店、顾客和客服提供一致的订单操作与信息。</t>
        </is>
      </c>
      <c r="D7" s="1058" t="inlineStr">
        <is>
          <t>门店工作台、会员门户、消息中心 / store_order、order_timeline</t>
        </is>
      </c>
      <c r="E7" s="1058" t="inlineStr">
        <is>
          <t>门店处理效率与顾客订单可视性提升</t>
        </is>
      </c>
      <c r="F7" s="1058" t="inlineStr">
        <is>
          <t>不改造消息中心通道策略与营销触达规则</t>
        </is>
      </c>
    </row>
    <row r="8" ht="32" customHeight="1" s="1025">
      <c r="A8" s="1058" t="inlineStr">
        <is>
          <t>财务结算与经营分析</t>
        </is>
      </c>
      <c r="B8" s="1059" t="inlineStr">
        <is>
          <t>业务</t>
        </is>
      </c>
      <c r="C8" s="1058" t="inlineStr">
        <is>
          <t>建立支付、退款、发票和经营指标的日结闭环。</t>
        </is>
      </c>
      <c r="D8" s="1058" t="inlineStr">
        <is>
          <t>订单服务、支付网关、电子发票平台、财务数据集市</t>
        </is>
      </c>
      <c r="E8" s="1058" t="inlineStr">
        <is>
          <t>财务差异可定位、发票可追踪、经营指标口径一致</t>
        </is>
      </c>
      <c r="F8" s="1058" t="inlineStr">
        <is>
          <t>不改造总账系统，不包含税务筹划与历史会计调整</t>
        </is>
      </c>
    </row>
    <row r="9" ht="32" customHeight="1" s="1025">
      <c r="A9" s="1058" t="inlineStr">
        <is>
          <t>平台与服务边界</t>
        </is>
      </c>
      <c r="B9" s="1059" t="inlineStr">
        <is>
          <t>技术</t>
        </is>
      </c>
      <c r="C9" s="1058" t="inlineStr">
        <is>
          <t>明确会员、订单与生产发布所需的稳定技术边界。</t>
        </is>
      </c>
      <c r="D9" s="1058" t="inlineStr">
        <is>
          <t>会员门户、订单服务、API 网关、生产平台</t>
        </is>
      </c>
      <c r="E9" s="1058" t="inlineStr">
        <is>
          <t>服务职责清晰、发布可回滚、生产范围可签署</t>
        </is>
      </c>
      <c r="F9" s="1058" t="inlineStr">
        <is>
          <t>不替换企业级网关、Kubernetes 平台与 CI/CD 产品</t>
        </is>
      </c>
    </row>
    <row r="10" ht="32" customHeight="1" s="1025">
      <c r="A10" s="1058" t="inlineStr">
        <is>
          <t>上线与质量保障</t>
        </is>
      </c>
      <c r="B10" s="1059" t="inlineStr">
        <is>
          <t>技术</t>
        </is>
      </c>
      <c r="C10" s="1058" t="inlineStr">
        <is>
          <t>将数据迁移、监控运维、质量验证和责任边界纳入可估算交付。</t>
        </is>
      </c>
      <c r="D10" s="1058" t="inlineStr">
        <is>
          <t>迁移作业、统一监控平台、测试资产、运维知识库</t>
        </is>
      </c>
      <c r="E10" s="1058" t="inlineStr">
        <is>
          <t>上线过程可验证、可回退、可运维并可审计</t>
        </is>
      </c>
      <c r="F10" s="1058" t="inlineStr">
        <is>
          <t>不包含上线后驻场支持和旧系统退役实施</t>
        </is>
      </c>
    </row>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58" t="inlineStr">
        <is>
          <t>会员与客户管理</t>
        </is>
      </c>
      <c r="B5" s="1058" t="inlineStr">
        <is>
          <t>创建并查看客户档案</t>
        </is>
      </c>
      <c r="C5" s="1058" t="inlineStr">
        <is>
          <t>用户创建或维护客户档案后，各渠道可查看授权范围内的最新信息。</t>
        </is>
      </c>
      <c r="D5" s="1058" t="inlineStr">
        <is>
          <t>会员门户、会员主数据 / customer_profile</t>
        </is>
      </c>
      <c r="E5" s="1058" t="inlineStr">
        <is>
          <t>档案查询 P95 小于 300ms；敏感字段按角色脱敏</t>
        </is>
      </c>
      <c r="F5" s="1059" t="inlineStr">
        <is>
          <t>来源输入</t>
        </is>
      </c>
      <c r="G5" s="1058" t="inlineStr"/>
    </row>
    <row r="6" ht="34" customHeight="1" s="1025">
      <c r="A6" s="1058" t="inlineStr">
        <is>
          <t>会员与客户管理</t>
        </is>
      </c>
      <c r="B6" s="1058" t="inlineStr">
        <is>
          <t>会员等级计算与版本</t>
        </is>
      </c>
      <c r="C6" s="1058" t="inlineStr">
        <is>
          <t>按有效消费额计算等级，并记录规则版本、生效日和调整原因。</t>
        </is>
      </c>
      <c r="D6" s="1058" t="inlineStr">
        <is>
          <t>会员主数据、订单服务 / member_tier_rule、member_tier_history</t>
        </is>
      </c>
      <c r="E6" s="1058" t="inlineStr">
        <is>
          <t>同一会员同一时点仅有一个生效等级</t>
        </is>
      </c>
      <c r="F6" s="1059" t="inlineStr">
        <is>
          <t>来源输入</t>
        </is>
      </c>
      <c r="G6" s="1058" t="inlineStr"/>
    </row>
    <row r="7" ht="34" customHeight="1" s="1025">
      <c r="A7" s="1058" t="inlineStr">
        <is>
          <t>会员与客户管理</t>
        </is>
      </c>
      <c r="B7" s="1058" t="inlineStr">
        <is>
          <t>会员授权与撤回复用</t>
        </is>
      </c>
      <c r="C7" s="1058" t="inlineStr">
        <is>
          <t>复用授权中心的授权、撤回与查询能力。</t>
        </is>
      </c>
      <c r="D7" s="1058" t="inlineStr">
        <is>
          <t>授权中心 / consent_record、consent_audit</t>
        </is>
      </c>
      <c r="E7" s="1058" t="inlineStr">
        <is>
          <t>渠道不复制授权主数据，查询留痕保存 36 个月</t>
        </is>
      </c>
      <c r="F7" s="1059" t="inlineStr">
        <is>
          <t>来源输入</t>
        </is>
      </c>
      <c r="G7" s="1058" t="inlineStr"/>
    </row>
    <row r="8" ht="34" customHeight="1" s="1025">
      <c r="A8" s="1058" t="inlineStr">
        <is>
          <t>订单与履约</t>
        </is>
      </c>
      <c r="B8" s="1058" t="inlineStr">
        <is>
          <t>统一订单编排与状态机</t>
        </is>
      </c>
      <c r="C8" s="1058" t="inlineStr">
        <is>
          <t>接收门店与线上订单，执行价格、权益和履约校验并驱动状态流转。</t>
        </is>
      </c>
      <c r="D8" s="1058" t="inlineStr">
        <is>
          <t>订单服务、门店工作台、会员门户 / order、order_state</t>
        </is>
      </c>
      <c r="E8" s="1058" t="inlineStr">
        <is>
          <t>订单状态变更幂等且全链路可追踪</t>
        </is>
      </c>
      <c r="F8" s="1059" t="inlineStr">
        <is>
          <t>来源输入</t>
        </is>
      </c>
      <c r="G8" s="1058" t="inlineStr"/>
    </row>
    <row r="9" ht="34" customHeight="1" s="1025">
      <c r="A9" s="1058" t="inlineStr">
        <is>
          <t>订单与履约</t>
        </is>
      </c>
      <c r="B9" s="1058" t="inlineStr">
        <is>
          <t>库存预占与释放</t>
        </is>
      </c>
      <c r="C9" s="1058" t="inlineStr">
        <is>
          <t>订单确认前通过 ERP 预占库存，取消或超时后释放。</t>
        </is>
      </c>
      <c r="D9" s="1058" t="inlineStr">
        <is>
          <t>订单服务、ERP / inventory_reservation</t>
        </is>
      </c>
      <c r="E9" s="1058" t="inlineStr">
        <is>
          <t>接口重试不得重复预占；调用超时 3 秒</t>
        </is>
      </c>
      <c r="F9" s="1059" t="inlineStr">
        <is>
          <t>来源输入</t>
        </is>
      </c>
      <c r="G9" s="1058" t="inlineStr"/>
    </row>
    <row r="10" ht="34" customHeight="1" s="1025">
      <c r="A10" s="1058" t="inlineStr">
        <is>
          <t>订单与履约</t>
        </is>
      </c>
      <c r="B10" s="1058" t="inlineStr">
        <is>
          <t>退货退款闭环</t>
        </is>
      </c>
      <c r="C10" s="1058" t="inlineStr">
        <is>
          <t>核验可退数量，生成退货单并调用支付网关退款。</t>
        </is>
      </c>
      <c r="D10" s="1058" t="inlineStr">
        <is>
          <t>门店工作台、订单服务、支付网关 / return_order、refund</t>
        </is>
      </c>
      <c r="E10" s="1058" t="inlineStr">
        <is>
          <t>退款请求幂等，支付结果与订单差异可审计</t>
        </is>
      </c>
      <c r="F10" s="1059" t="inlineStr">
        <is>
          <t>来源输入</t>
        </is>
      </c>
      <c r="G10" s="1058" t="inlineStr"/>
    </row>
    <row r="11" ht="34" customHeight="1" s="1025">
      <c r="A11" s="1058" t="inlineStr">
        <is>
          <t>全渠道运营</t>
        </is>
      </c>
      <c r="B11" s="1058" t="inlineStr">
        <is>
          <t>门店接单工作台</t>
        </is>
      </c>
      <c r="C11" s="1058" t="inlineStr">
        <is>
          <t>展示待处理订单、缺货替代与交接信息并按门店权限操作。</t>
        </is>
      </c>
      <c r="D11" s="1058" t="inlineStr">
        <is>
          <t>门店工作台、订单服务 / store_order_queue</t>
        </is>
      </c>
      <c r="E11" s="1058" t="inlineStr">
        <is>
          <t>仅授权门店可查看和操作本店订单</t>
        </is>
      </c>
      <c r="F11" s="1059" t="inlineStr">
        <is>
          <t>来源输入</t>
        </is>
      </c>
      <c r="G11" s="1058" t="inlineStr"/>
    </row>
    <row r="12" ht="34" customHeight="1" s="1025">
      <c r="A12" s="1058" t="inlineStr">
        <is>
          <t>全渠道运营</t>
        </is>
      </c>
      <c r="B12" s="1058" t="inlineStr">
        <is>
          <t>订单状态与履约轨迹</t>
        </is>
      </c>
      <c r="C12" s="1058" t="inlineStr">
        <is>
          <t>顾客和客服查看一致的状态、履约节点与异常原因。</t>
        </is>
      </c>
      <c r="D12" s="1058" t="inlineStr">
        <is>
          <t>会员门户、客服工作台、订单服务 / order_timeline</t>
        </is>
      </c>
      <c r="E12" s="1058" t="inlineStr">
        <is>
          <t>关键状态变更 60 秒内可见</t>
        </is>
      </c>
      <c r="F12" s="1059" t="inlineStr">
        <is>
          <t>来源输入</t>
        </is>
      </c>
      <c r="G12" s="1058" t="inlineStr"/>
    </row>
    <row r="13" ht="34" customHeight="1" s="1025">
      <c r="A13" s="1058" t="inlineStr">
        <is>
          <t>全渠道运营</t>
        </is>
      </c>
      <c r="B13" s="1058" t="inlineStr">
        <is>
          <t>订单节点通知复用</t>
        </is>
      </c>
      <c r="C13" s="1058" t="inlineStr">
        <is>
          <t>复用消息中心消费标准订单事件并发送通知。</t>
        </is>
      </c>
      <c r="D13" s="1058" t="inlineStr">
        <is>
          <t>消息中心、订单事件总线 / notification_event</t>
        </is>
      </c>
      <c r="E13" s="1058" t="inlineStr">
        <is>
          <t>不新增通知渠道和营销模板</t>
        </is>
      </c>
      <c r="F13" s="1059" t="inlineStr">
        <is>
          <t>来源输入</t>
        </is>
      </c>
      <c r="G13" s="1058" t="inlineStr"/>
    </row>
    <row r="14" ht="34" customHeight="1" s="1025">
      <c r="A14" s="1058" t="inlineStr">
        <is>
          <t>财务结算与经营分析</t>
        </is>
      </c>
      <c r="B14" s="1058" t="inlineStr">
        <is>
          <t>支付退款日结对账</t>
        </is>
      </c>
      <c r="C14" s="1058" t="inlineStr">
        <is>
          <t>按渠道、门店和订单核对实收、退款与手续费差异。</t>
        </is>
      </c>
      <c r="D14" s="1058" t="inlineStr">
        <is>
          <t>订单服务、支付网关、财务数据集市 / payment_reconciliation</t>
        </is>
      </c>
      <c r="E14" s="1058" t="inlineStr">
        <is>
          <t>每日 07:00 前完成前一自然日对账</t>
        </is>
      </c>
      <c r="F14" s="1059" t="inlineStr">
        <is>
          <t>来源输入</t>
        </is>
      </c>
      <c r="G14" s="1058" t="inlineStr"/>
    </row>
    <row r="15" ht="34" customHeight="1" s="1025">
      <c r="A15" s="1058" t="inlineStr">
        <is>
          <t>财务结算与经营分析</t>
        </is>
      </c>
      <c r="B15" s="1058" t="inlineStr">
        <is>
          <t>电子发票申请与状态</t>
        </is>
      </c>
      <c r="C15" s="1058" t="inlineStr">
        <is>
          <t>调用电子发票平台开票并保存号码、状态和失败原因。</t>
        </is>
      </c>
      <c r="D15" s="1058" t="inlineStr">
        <is>
          <t>订单服务、电子发票平台 / invoice_application</t>
        </is>
      </c>
      <c r="E15" s="1058" t="inlineStr">
        <is>
          <t>开票失败可重试且不得重复开票</t>
        </is>
      </c>
      <c r="F15" s="1059" t="inlineStr">
        <is>
          <t>来源输入</t>
        </is>
      </c>
      <c r="G15" s="1058" t="inlineStr"/>
    </row>
    <row r="16" ht="34" customHeight="1" s="1025">
      <c r="A16" s="1058" t="inlineStr">
        <is>
          <t>财务结算与经营分析</t>
        </is>
      </c>
      <c r="B16" s="1058" t="inlineStr">
        <is>
          <t>财务经营报表</t>
        </is>
      </c>
      <c r="C16" s="1058" t="inlineStr">
        <is>
          <t>按日、区域和渠道展示销售、退款、优惠与未对账金额。</t>
        </is>
      </c>
      <c r="D16" s="1058" t="inlineStr">
        <is>
          <t>财务数据集市 / finance_daily_metric</t>
        </is>
      </c>
      <c r="E16" s="1058" t="inlineStr">
        <is>
          <t>指标与对账规则同源，支持追溯到订单</t>
        </is>
      </c>
      <c r="F16" s="1059" t="inlineStr">
        <is>
          <t>来源输入</t>
        </is>
      </c>
      <c r="G16" s="1058" t="inlineStr"/>
    </row>
    <row r="17" ht="34" customHeight="1" s="1025">
      <c r="A17" s="1058" t="inlineStr">
        <is>
          <t>平台与服务边界</t>
        </is>
      </c>
      <c r="B17" s="1058" t="inlineStr">
        <is>
          <t>客户档案操作 API</t>
        </is>
      </c>
      <c r="C17" s="1058" t="inlineStr">
        <is>
          <t>通过稳定 API 创建、维护和检索客户档案，并隔离渠道与会员主数据。</t>
        </is>
      </c>
      <c r="D17" s="1058" t="inlineStr">
        <is>
          <t>会员门户、会员主数据 / customer-profile-api</t>
        </is>
      </c>
      <c r="E17" s="1058" t="inlineStr">
        <is>
          <t>API P95 小于 300ms；写操作使用幂等键；敏感字段按权限返回</t>
        </is>
      </c>
      <c r="F17" s="1059" t="inlineStr">
        <is>
          <t>设计派生</t>
        </is>
      </c>
      <c r="G17" s="1058" t="inlineStr">
        <is>
          <t>设计决策/Decision: 公开客户档案 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s="1025">
      <c r="A18" s="1058" t="inlineStr">
        <is>
          <t>平台与服务边界</t>
        </is>
      </c>
      <c r="B18" s="1058" t="inlineStr">
        <is>
          <t>生产准备、切换与验证</t>
        </is>
      </c>
      <c r="C18" s="1058" t="inlineStr">
        <is>
          <t>完成环境配置、发布清单、切换回滚和生产验证，并形成签署证据。</t>
        </is>
      </c>
      <c r="D18" s="1058" t="inlineStr">
        <is>
          <t>Kubernetes 生产环境、CI/CD、功能开关、发布清单</t>
        </is>
      </c>
      <c r="E18" s="1058" t="inlineStr">
        <is>
          <t>业务中断不超过 15 分钟；回滚路径在切换前完成演练</t>
        </is>
      </c>
      <c r="F18" s="1059" t="inlineStr">
        <is>
          <t>来源输入</t>
        </is>
      </c>
      <c r="G18" s="1058" t="inlineStr"/>
    </row>
    <row r="19" ht="34" customHeight="1" s="1025">
      <c r="A19" s="1058" t="inlineStr">
        <is>
          <t>平台与服务边界</t>
        </is>
      </c>
      <c r="B19" s="1058" t="inlineStr">
        <is>
          <t>上线后支持与旧系统退役边界</t>
        </is>
      </c>
      <c r="C19" s="1058" t="inlineStr">
        <is>
          <t>明确上线后驻场支持和旧系统退役不在本期固定范围内。</t>
        </is>
      </c>
      <c r="D19" s="1058" t="inlineStr">
        <is>
          <t>旧会员门户、旧订单查询服务</t>
        </is>
      </c>
      <c r="E19" s="1058" t="inlineStr">
        <is>
          <t>如需实施必须单独立项并重新确认基线</t>
        </is>
      </c>
      <c r="F19" s="1059" t="inlineStr">
        <is>
          <t>来源输入</t>
        </is>
      </c>
      <c r="G19" s="1058" t="inlineStr"/>
    </row>
    <row r="20" ht="34" customHeight="1" s="1025">
      <c r="A20" s="1058" t="inlineStr">
        <is>
          <t>上线与质量保障</t>
        </is>
      </c>
      <c r="B20" s="1058" t="inlineStr">
        <is>
          <t>会员与订单数据迁移</t>
        </is>
      </c>
      <c r="C20" s="1058" t="inlineStr">
        <is>
          <t>迁移会员扩展字段与两年内历史订单，执行校验、补偿与留痕。</t>
        </is>
      </c>
      <c r="D20" s="1058" t="inlineStr">
        <is>
          <t>会员主数据、订单库 / customer_profile、order、order_item</t>
        </is>
      </c>
      <c r="E20" s="1058" t="inlineStr">
        <is>
          <t>迁移前后关键字段一致率 100%，业务主键重复为 0</t>
        </is>
      </c>
      <c r="F20" s="1059" t="inlineStr">
        <is>
          <t>来源输入</t>
        </is>
      </c>
      <c r="G20" s="1058" t="inlineStr"/>
    </row>
    <row r="21" ht="34" customHeight="1" s="1025">
      <c r="A21" s="1058" t="inlineStr">
        <is>
          <t>上线与质量保障</t>
        </is>
      </c>
      <c r="B21" s="1058" t="inlineStr">
        <is>
          <t>监控、运维交接与用户赋能</t>
        </is>
      </c>
      <c r="C21" s="1058" t="inlineStr">
        <is>
          <t>建设关键指标和告警，完成运维手册、交接演练与业务用户培训。</t>
        </is>
      </c>
      <c r="D21" s="1058" t="inlineStr">
        <is>
          <t>统一监控平台、运维知识库、培训材料</t>
        </is>
      </c>
      <c r="E21" s="1058" t="inlineStr">
        <is>
          <t>核心交易告警 5 分钟内触发；交接与培训均需签到和验收记录</t>
        </is>
      </c>
      <c r="F21" s="1059" t="inlineStr">
        <is>
          <t>来源输入</t>
        </is>
      </c>
      <c r="G21" s="1058" t="inlineStr"/>
    </row>
    <row r="22" ht="34" customHeight="1" s="1025">
      <c r="A22" s="1058" t="inlineStr">
        <is>
          <t>上线与质量保障</t>
        </is>
      </c>
      <c r="B22" s="1058" t="inlineStr">
        <is>
          <t>自动化、性能与生产质量验证</t>
        </is>
      </c>
      <c r="C22" s="1058" t="inlineStr">
        <is>
          <t>调整既有测试资产，覆盖回归、性能、安全、兼容性和生产烟测。</t>
        </is>
      </c>
      <c r="D22" s="1058" t="inlineStr">
        <is>
          <t>API 自动化框架、测试用例库、负载模型、兼容矩阵</t>
        </is>
      </c>
      <c r="E22" s="1058" t="inlineStr">
        <is>
          <t>P0/P1 用例通过率 100%，核心查询峰值 500 TPS</t>
        </is>
      </c>
      <c r="F22" s="1059" t="inlineStr">
        <is>
          <t>来源输入</t>
        </is>
      </c>
      <c r="G22" s="1058" t="inlineStr"/>
    </row>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58" t="inlineStr">
        <is>
          <t>创建并查看客户档案</t>
        </is>
      </c>
      <c r="C5" s="1058" t="inlineStr">
        <is>
          <t>创建并查看客户档案</t>
        </is>
      </c>
      <c r="D5" s="1059" t="inlineStr">
        <is>
          <t>是</t>
        </is>
      </c>
      <c r="E5" s="926">
        <f t="array" ref="E5">IF(C5="","",IFERROR(_xlfn.TEXTJOIN(CHAR(10),TRUE,IF(AcceptanceCriterionTable[故事名称]=C5,"• "&amp;AcceptanceCriterionTable[验收条件名称],"")),""))</f>
        <v/>
      </c>
      <c r="F5" s="928">
        <f t="array" ref="F5">IF(C5="","",IFERROR(_xlfn.TEXTJOIN(CHAR(10),TRUE,IF(TaskTable[故事名称]=C5,"• "&amp;TaskTable[任务名称],"")),""))</f>
        <v/>
      </c>
      <c r="G5" s="929">
        <f>IF(C5="","",CEILING(SUMIF(TaskTable[故事名称],C5,TaskTable[人天小计]),INDEX(ProjectParameterTable[值],MATCH("ROUND_STORY",ProjectParameterTable[参数代码],0))))</f>
        <v/>
      </c>
      <c r="H5" s="1058" t="inlineStr"/>
      <c r="I5" s="930">
        <f>IF(H5="","",IFERROR(INDEX(AssumptionRiskTable[状态],MATCH(H5,AssumptionRiskTable[假设/风险名称],0)),"名称未匹配"))</f>
        <v/>
      </c>
    </row>
    <row r="6" ht="42" customHeight="1" s="1025">
      <c r="A6" s="926">
        <f>IF(B6="","",IFERROR(INDEX(FeatureTable[需求名称],MATCH(B6,FeatureTable[子需求名称],0)),"来源未匹配"))</f>
        <v/>
      </c>
      <c r="B6" s="1058" t="inlineStr">
        <is>
          <t>客户档案操作 API</t>
        </is>
      </c>
      <c r="C6" s="1058" t="inlineStr">
        <is>
          <t>提供客户档案操作</t>
        </is>
      </c>
      <c r="D6" s="1059" t="inlineStr">
        <is>
          <t>是</t>
        </is>
      </c>
      <c r="E6" s="926">
        <f t="array" ref="E6">IF(C6="","",IFERROR(_xlfn.TEXTJOIN(CHAR(10),TRUE,IF(AcceptanceCriterionTable[故事名称]=C6,"• "&amp;AcceptanceCriterionTable[验收条件名称],"")),""))</f>
        <v/>
      </c>
      <c r="F6" s="928">
        <f t="array" ref="F6">IF(C6="","",IFERROR(_xlfn.TEXTJOIN(CHAR(10),TRUE,IF(TaskTable[故事名称]=C6,"• "&amp;TaskTable[任务名称],"")),""))</f>
        <v/>
      </c>
      <c r="G6" s="929">
        <f>IF(C6="","",CEILING(SUMIF(TaskTable[故事名称],C6,TaskTable[人天小计]),INDEX(ProjectParameterTable[值],MATCH("ROUND_STORY",ProjectParameterTable[参数代码],0))))</f>
        <v/>
      </c>
      <c r="H6" s="1058" t="inlineStr"/>
      <c r="I6" s="930">
        <f>IF(H6="","",IFERROR(INDEX(AssumptionRiskTable[状态],MATCH(H6,AssumptionRiskTable[假设/风险名称],0)),"名称未匹配"))</f>
        <v/>
      </c>
    </row>
    <row r="7" ht="42" customHeight="1" s="1025">
      <c r="A7" s="926">
        <f>IF(B7="","",IFERROR(INDEX(FeatureTable[需求名称],MATCH(B7,FeatureTable[子需求名称],0)),"来源未匹配"))</f>
        <v/>
      </c>
      <c r="B7" s="1058" t="inlineStr">
        <is>
          <t>客户档案操作 API</t>
        </is>
      </c>
      <c r="C7" s="1058" t="inlineStr">
        <is>
          <t>集成会员主数据查询</t>
        </is>
      </c>
      <c r="D7" s="1059" t="inlineStr">
        <is>
          <t>是</t>
        </is>
      </c>
      <c r="E7" s="926">
        <f t="array" ref="E7">IF(C7="","",IFERROR(_xlfn.TEXTJOIN(CHAR(10),TRUE,IF(AcceptanceCriterionTable[故事名称]=C7,"• "&amp;AcceptanceCriterionTable[验收条件名称],"")),""))</f>
        <v/>
      </c>
      <c r="F7" s="928">
        <f t="array" ref="F7">IF(C7="","",IFERROR(_xlfn.TEXTJOIN(CHAR(10),TRUE,IF(TaskTable[故事名称]=C7,"• "&amp;TaskTable[任务名称],"")),""))</f>
        <v/>
      </c>
      <c r="G7" s="929">
        <f>IF(C7="","",CEILING(SUMIF(TaskTable[故事名称],C7,TaskTable[人天小计]),INDEX(ProjectParameterTable[值],MATCH("ROUND_STORY",ProjectParameterTable[参数代码],0))))</f>
        <v/>
      </c>
      <c r="H7" s="1058" t="inlineStr">
        <is>
          <t>会员主数据服务在联调期间可用</t>
        </is>
      </c>
      <c r="I7" s="930">
        <f>IF(H7="","",IFERROR(INDEX(AssumptionRiskTable[状态],MATCH(H7,AssumptionRiskTable[假设/风险名称],0)),"名称未匹配"))</f>
        <v/>
      </c>
    </row>
    <row r="8" ht="42" customHeight="1" s="1025">
      <c r="A8" s="926">
        <f>IF(B8="","",IFERROR(INDEX(FeatureTable[需求名称],MATCH(B8,FeatureTable[子需求名称],0)),"来源未匹配"))</f>
        <v/>
      </c>
      <c r="B8" s="1058" t="inlineStr">
        <is>
          <t>会员等级计算与版本</t>
        </is>
      </c>
      <c r="C8" s="1058" t="inlineStr">
        <is>
          <t>计算并追溯会员等级</t>
        </is>
      </c>
      <c r="D8" s="1059" t="inlineStr">
        <is>
          <t>是</t>
        </is>
      </c>
      <c r="E8" s="926">
        <f t="array" ref="E8">IF(C8="","",IFERROR(_xlfn.TEXTJOIN(CHAR(10),TRUE,IF(AcceptanceCriterionTable[故事名称]=C8,"• "&amp;AcceptanceCriterionTable[验收条件名称],"")),""))</f>
        <v/>
      </c>
      <c r="F8" s="928">
        <f t="array" ref="F8">IF(C8="","",IFERROR(_xlfn.TEXTJOIN(CHAR(10),TRUE,IF(TaskTable[故事名称]=C8,"• "&amp;TaskTable[任务名称],"")),""))</f>
        <v/>
      </c>
      <c r="G8" s="929">
        <f>IF(C8="","",CEILING(SUMIF(TaskTable[故事名称],C8,TaskTable[人天小计]),INDEX(ProjectParameterTable[值],MATCH("ROUND_STORY",ProjectParameterTable[参数代码],0))))</f>
        <v/>
      </c>
      <c r="H8" s="1058" t="inlineStr">
        <is>
          <t>会员主数据服务在联调期间可用</t>
        </is>
      </c>
      <c r="I8" s="930">
        <f>IF(H8="","",IFERROR(INDEX(AssumptionRiskTable[状态],MATCH(H8,AssumptionRiskTable[假设/风险名称],0)),"名称未匹配"))</f>
        <v/>
      </c>
    </row>
    <row r="9" ht="42" customHeight="1" s="1025">
      <c r="A9" s="926">
        <f>IF(B9="","",IFERROR(INDEX(FeatureTable[需求名称],MATCH(B9,FeatureTable[子需求名称],0)),"来源未匹配"))</f>
        <v/>
      </c>
      <c r="B9" s="1058" t="inlineStr">
        <is>
          <t>统一订单编排与状态机</t>
        </is>
      </c>
      <c r="C9" s="1058" t="inlineStr">
        <is>
          <t>统一创建全渠道订单</t>
        </is>
      </c>
      <c r="D9" s="1059" t="inlineStr">
        <is>
          <t>是</t>
        </is>
      </c>
      <c r="E9" s="926">
        <f t="array" ref="E9">IF(C9="","",IFERROR(_xlfn.TEXTJOIN(CHAR(10),TRUE,IF(AcceptanceCriterionTable[故事名称]=C9,"• "&amp;AcceptanceCriterionTable[验收条件名称],"")),""))</f>
        <v/>
      </c>
      <c r="F9" s="928">
        <f t="array" ref="F9">IF(C9="","",IFERROR(_xlfn.TEXTJOIN(CHAR(10),TRUE,IF(TaskTable[故事名称]=C9,"• "&amp;TaskTable[任务名称],"")),""))</f>
        <v/>
      </c>
      <c r="G9" s="929">
        <f>IF(C9="","",CEILING(SUMIF(TaskTable[故事名称],C9,TaskTable[人天小计]),INDEX(ProjectParameterTable[值],MATCH("ROUND_STORY",ProjectParameterTable[参数代码],0))))</f>
        <v/>
      </c>
      <c r="H9" s="1058" t="inlineStr"/>
      <c r="I9" s="930">
        <f>IF(H9="","",IFERROR(INDEX(AssumptionRiskTable[状态],MATCH(H9,AssumptionRiskTable[假设/风险名称],0)),"名称未匹配"))</f>
        <v/>
      </c>
    </row>
    <row r="10" ht="42" customHeight="1" s="1025">
      <c r="A10" s="926">
        <f>IF(B10="","",IFERROR(INDEX(FeatureTable[需求名称],MATCH(B10,FeatureTable[子需求名称],0)),"来源未匹配"))</f>
        <v/>
      </c>
      <c r="B10" s="1058" t="inlineStr">
        <is>
          <t>统一订单编排与状态机</t>
        </is>
      </c>
      <c r="C10" s="1058" t="inlineStr">
        <is>
          <t>驱动订单状态与事件</t>
        </is>
      </c>
      <c r="D10" s="1059" t="inlineStr">
        <is>
          <t>是</t>
        </is>
      </c>
      <c r="E10" s="926">
        <f t="array" ref="E10">IF(C10="","",IFERROR(_xlfn.TEXTJOIN(CHAR(10),TRUE,IF(AcceptanceCriterionTable[故事名称]=C10,"• "&amp;AcceptanceCriterionTable[验收条件名称],"")),""))</f>
        <v/>
      </c>
      <c r="F10" s="928">
        <f t="array" ref="F10">IF(C10="","",IFERROR(_xlfn.TEXTJOIN(CHAR(10),TRUE,IF(TaskTable[故事名称]=C10,"• "&amp;TaskTable[任务名称],"")),""))</f>
        <v/>
      </c>
      <c r="G10" s="929">
        <f>IF(C10="","",CEILING(SUMIF(TaskTable[故事名称],C10,TaskTable[人天小计]),INDEX(ProjectParameterTable[值],MATCH("ROUND_STORY",ProjectParameterTable[参数代码],0))))</f>
        <v/>
      </c>
      <c r="H10" s="1058" t="inlineStr"/>
      <c r="I10" s="930">
        <f>IF(H10="","",IFERROR(INDEX(AssumptionRiskTable[状态],MATCH(H10,AssumptionRiskTable[假设/风险名称],0)),"名称未匹配"))</f>
        <v/>
      </c>
    </row>
    <row r="11" ht="42" customHeight="1" s="1025">
      <c r="A11" s="926">
        <f>IF(B11="","",IFERROR(INDEX(FeatureTable[需求名称],MATCH(B11,FeatureTable[子需求名称],0)),"来源未匹配"))</f>
        <v/>
      </c>
      <c r="B11" s="1058" t="inlineStr">
        <is>
          <t>库存预占与释放</t>
        </is>
      </c>
      <c r="C11" s="1058" t="inlineStr">
        <is>
          <t>预占和释放 ERP 库存</t>
        </is>
      </c>
      <c r="D11" s="1059" t="inlineStr">
        <is>
          <t>是</t>
        </is>
      </c>
      <c r="E11" s="926">
        <f t="array" ref="E11">IF(C11="","",IFERROR(_xlfn.TEXTJOIN(CHAR(10),TRUE,IF(AcceptanceCriterionTable[故事名称]=C11,"• "&amp;AcceptanceCriterionTable[验收条件名称],"")),""))</f>
        <v/>
      </c>
      <c r="F11" s="928">
        <f t="array" ref="F11">IF(C11="","",IFERROR(_xlfn.TEXTJOIN(CHAR(10),TRUE,IF(TaskTable[故事名称]=C11,"• "&amp;TaskTable[任务名称],"")),""))</f>
        <v/>
      </c>
      <c r="G11" s="929">
        <f>IF(C11="","",CEILING(SUMIF(TaskTable[故事名称],C11,TaskTable[人天小计]),INDEX(ProjectParameterTable[值],MATCH("ROUND_STORY",ProjectParameterTable[参数代码],0))))</f>
        <v/>
      </c>
      <c r="H11" s="1058" t="inlineStr">
        <is>
          <t>ERP SIT 环境按工作日窗口开放</t>
        </is>
      </c>
      <c r="I11" s="930">
        <f>IF(H11="","",IFERROR(INDEX(AssumptionRiskTable[状态],MATCH(H11,AssumptionRiskTable[假设/风险名称],0)),"名称未匹配"))</f>
        <v/>
      </c>
    </row>
    <row r="12" ht="42" customHeight="1" s="1025">
      <c r="A12" s="926">
        <f>IF(B12="","",IFERROR(INDEX(FeatureTable[需求名称],MATCH(B12,FeatureTable[子需求名称],0)),"来源未匹配"))</f>
        <v/>
      </c>
      <c r="B12" s="1058" t="inlineStr">
        <is>
          <t>退货退款闭环</t>
        </is>
      </c>
      <c r="C12" s="1058" t="inlineStr">
        <is>
          <t>提交并审核退货申请</t>
        </is>
      </c>
      <c r="D12" s="1059" t="inlineStr">
        <is>
          <t>是</t>
        </is>
      </c>
      <c r="E12" s="926">
        <f t="array" ref="E12">IF(C12="","",IFERROR(_xlfn.TEXTJOIN(CHAR(10),TRUE,IF(AcceptanceCriterionTable[故事名称]=C12,"• "&amp;AcceptanceCriterionTable[验收条件名称],"")),""))</f>
        <v/>
      </c>
      <c r="F12" s="928">
        <f t="array" ref="F12">IF(C12="","",IFERROR(_xlfn.TEXTJOIN(CHAR(10),TRUE,IF(TaskTable[故事名称]=C12,"• "&amp;TaskTable[任务名称],"")),""))</f>
        <v/>
      </c>
      <c r="G12" s="929">
        <f>IF(C12="","",CEILING(SUMIF(TaskTable[故事名称],C12,TaskTable[人天小计]),INDEX(ProjectParameterTable[值],MATCH("ROUND_STORY",ProjectParameterTable[参数代码],0))))</f>
        <v/>
      </c>
      <c r="H12" s="1058" t="inlineStr"/>
      <c r="I12" s="930">
        <f>IF(H12="","",IFERROR(INDEX(AssumptionRiskTable[状态],MATCH(H12,AssumptionRiskTable[假设/风险名称],0)),"名称未匹配"))</f>
        <v/>
      </c>
    </row>
    <row r="13" ht="42" customHeight="1" s="1025">
      <c r="A13" s="926">
        <f>IF(B13="","",IFERROR(INDEX(FeatureTable[需求名称],MATCH(B13,FeatureTable[子需求名称],0)),"来源未匹配"))</f>
        <v/>
      </c>
      <c r="B13" s="1058" t="inlineStr">
        <is>
          <t>退货退款闭环</t>
        </is>
      </c>
      <c r="C13" s="1058" t="inlineStr">
        <is>
          <t>发起退款并回写结果</t>
        </is>
      </c>
      <c r="D13" s="1059" t="inlineStr">
        <is>
          <t>是</t>
        </is>
      </c>
      <c r="E13" s="926">
        <f t="array" ref="E13">IF(C13="","",IFERROR(_xlfn.TEXTJOIN(CHAR(10),TRUE,IF(AcceptanceCriterionTable[故事名称]=C13,"• "&amp;AcceptanceCriterionTable[验收条件名称],"")),""))</f>
        <v/>
      </c>
      <c r="F13" s="928">
        <f t="array" ref="F13">IF(C13="","",IFERROR(_xlfn.TEXTJOIN(CHAR(10),TRUE,IF(TaskTable[故事名称]=C13,"• "&amp;TaskTable[任务名称],"")),""))</f>
        <v/>
      </c>
      <c r="G13" s="929">
        <f>IF(C13="","",CEILING(SUMIF(TaskTable[故事名称],C13,TaskTable[人天小计]),INDEX(ProjectParameterTable[值],MATCH("ROUND_STORY",ProjectParameterTable[参数代码],0))))</f>
        <v/>
      </c>
      <c r="H13" s="1058" t="inlineStr">
        <is>
          <t>支付网关退款认证可能延迟</t>
        </is>
      </c>
      <c r="I13" s="930">
        <f>IF(H13="","",IFERROR(INDEX(AssumptionRiskTable[状态],MATCH(H13,AssumptionRiskTable[假设/风险名称],0)),"名称未匹配"))</f>
        <v/>
      </c>
    </row>
    <row r="14" ht="42" customHeight="1" s="1025">
      <c r="A14" s="926">
        <f>IF(B14="","",IFERROR(INDEX(FeatureTable[需求名称],MATCH(B14,FeatureTable[子需求名称],0)),"来源未匹配"))</f>
        <v/>
      </c>
      <c r="B14" s="1058" t="inlineStr">
        <is>
          <t>门店接单工作台</t>
        </is>
      </c>
      <c r="C14" s="1058" t="inlineStr">
        <is>
          <t>门店处理订单与交接</t>
        </is>
      </c>
      <c r="D14" s="1059" t="inlineStr">
        <is>
          <t>是</t>
        </is>
      </c>
      <c r="E14" s="926">
        <f t="array" ref="E14">IF(C14="","",IFERROR(_xlfn.TEXTJOIN(CHAR(10),TRUE,IF(AcceptanceCriterionTable[故事名称]=C14,"• "&amp;AcceptanceCriterionTable[验收条件名称],"")),""))</f>
        <v/>
      </c>
      <c r="F14" s="928">
        <f t="array" ref="F14">IF(C14="","",IFERROR(_xlfn.TEXTJOIN(CHAR(10),TRUE,IF(TaskTable[故事名称]=C14,"• "&amp;TaskTable[任务名称],"")),""))</f>
        <v/>
      </c>
      <c r="G14" s="929">
        <f>IF(C14="","",CEILING(SUMIF(TaskTable[故事名称],C14,TaskTable[人天小计]),INDEX(ProjectParameterTable[值],MATCH("ROUND_STORY",ProjectParameterTable[参数代码],0))))</f>
        <v/>
      </c>
      <c r="H14" s="1058" t="inlineStr"/>
      <c r="I14" s="930">
        <f>IF(H14="","",IFERROR(INDEX(AssumptionRiskTable[状态],MATCH(H14,AssumptionRiskTable[假设/风险名称],0)),"名称未匹配"))</f>
        <v/>
      </c>
    </row>
    <row r="15" ht="42" customHeight="1" s="1025">
      <c r="A15" s="926">
        <f>IF(B15="","",IFERROR(INDEX(FeatureTable[需求名称],MATCH(B15,FeatureTable[子需求名称],0)),"来源未匹配"))</f>
        <v/>
      </c>
      <c r="B15" s="1058" t="inlineStr">
        <is>
          <t>订单状态与履约轨迹</t>
        </is>
      </c>
      <c r="C15" s="1058" t="inlineStr">
        <is>
          <t>查看统一履约轨迹</t>
        </is>
      </c>
      <c r="D15" s="1059" t="inlineStr">
        <is>
          <t>是</t>
        </is>
      </c>
      <c r="E15" s="926">
        <f t="array" ref="E15">IF(C15="","",IFERROR(_xlfn.TEXTJOIN(CHAR(10),TRUE,IF(AcceptanceCriterionTable[故事名称]=C15,"• "&amp;AcceptanceCriterionTable[验收条件名称],"")),""))</f>
        <v/>
      </c>
      <c r="F15" s="928">
        <f t="array" ref="F15">IF(C15="","",IFERROR(_xlfn.TEXTJOIN(CHAR(10),TRUE,IF(TaskTable[故事名称]=C15,"• "&amp;TaskTable[任务名称],"")),""))</f>
        <v/>
      </c>
      <c r="G15" s="929">
        <f>IF(C15="","",CEILING(SUMIF(TaskTable[故事名称],C15,TaskTable[人天小计]),INDEX(ProjectParameterTable[值],MATCH("ROUND_STORY",ProjectParameterTable[参数代码],0))))</f>
        <v/>
      </c>
      <c r="H15" s="1058" t="inlineStr"/>
      <c r="I15" s="930">
        <f>IF(H15="","",IFERROR(INDEX(AssumptionRiskTable[状态],MATCH(H15,AssumptionRiskTable[假设/风险名称],0)),"名称未匹配"))</f>
        <v/>
      </c>
    </row>
    <row r="16" ht="42" customHeight="1" s="1025">
      <c r="A16" s="926">
        <f>IF(B16="","",IFERROR(INDEX(FeatureTable[需求名称],MATCH(B16,FeatureTable[子需求名称],0)),"来源未匹配"))</f>
        <v/>
      </c>
      <c r="B16" s="1058" t="inlineStr">
        <is>
          <t>支付退款日结对账</t>
        </is>
      </c>
      <c r="C16" s="1058" t="inlineStr">
        <is>
          <t>执行支付退款日结对账</t>
        </is>
      </c>
      <c r="D16" s="1059" t="inlineStr">
        <is>
          <t>是</t>
        </is>
      </c>
      <c r="E16" s="926">
        <f t="array" ref="E16">IF(C16="","",IFERROR(_xlfn.TEXTJOIN(CHAR(10),TRUE,IF(AcceptanceCriterionTable[故事名称]=C16,"• "&amp;AcceptanceCriterionTable[验收条件名称],"")),""))</f>
        <v/>
      </c>
      <c r="F16" s="928">
        <f t="array" ref="F16">IF(C16="","",IFERROR(_xlfn.TEXTJOIN(CHAR(10),TRUE,IF(TaskTable[故事名称]=C16,"• "&amp;TaskTable[任务名称],"")),""))</f>
        <v/>
      </c>
      <c r="G16" s="929">
        <f>IF(C16="","",CEILING(SUMIF(TaskTable[故事名称],C16,TaskTable[人天小计]),INDEX(ProjectParameterTable[值],MATCH("ROUND_STORY",ProjectParameterTable[参数代码],0))))</f>
        <v/>
      </c>
      <c r="H16" s="1058" t="inlineStr"/>
      <c r="I16" s="930">
        <f>IF(H16="","",IFERROR(INDEX(AssumptionRiskTable[状态],MATCH(H16,AssumptionRiskTable[假设/风险名称],0)),"名称未匹配"))</f>
        <v/>
      </c>
    </row>
    <row r="17" ht="42" customHeight="1" s="1025">
      <c r="A17" s="926">
        <f>IF(B17="","",IFERROR(INDEX(FeatureTable[需求名称],MATCH(B17,FeatureTable[子需求名称],0)),"来源未匹配"))</f>
        <v/>
      </c>
      <c r="B17" s="1058" t="inlineStr">
        <is>
          <t>电子发票申请与状态</t>
        </is>
      </c>
      <c r="C17" s="1058" t="inlineStr">
        <is>
          <t>申请并追踪电子发票</t>
        </is>
      </c>
      <c r="D17" s="1059" t="inlineStr">
        <is>
          <t>是</t>
        </is>
      </c>
      <c r="E17" s="926">
        <f t="array" ref="E17">IF(C17="","",IFERROR(_xlfn.TEXTJOIN(CHAR(10),TRUE,IF(AcceptanceCriterionTable[故事名称]=C17,"• "&amp;AcceptanceCriterionTable[验收条件名称],"")),""))</f>
        <v/>
      </c>
      <c r="F17" s="928">
        <f t="array" ref="F17">IF(C17="","",IFERROR(_xlfn.TEXTJOIN(CHAR(10),TRUE,IF(TaskTable[故事名称]=C17,"• "&amp;TaskTable[任务名称],"")),""))</f>
        <v/>
      </c>
      <c r="G17" s="929">
        <f>IF(C17="","",CEILING(SUMIF(TaskTable[故事名称],C17,TaskTable[人天小计]),INDEX(ProjectParameterTable[值],MATCH("ROUND_STORY",ProjectParameterTable[参数代码],0))))</f>
        <v/>
      </c>
      <c r="H17" s="1058" t="inlineStr">
        <is>
          <t>电子发票生产证书与测试配额待确认</t>
        </is>
      </c>
      <c r="I17" s="930">
        <f>IF(H17="","",IFERROR(INDEX(AssumptionRiskTable[状态],MATCH(H17,AssumptionRiskTable[假设/风险名称],0)),"名称未匹配"))</f>
        <v/>
      </c>
    </row>
    <row r="18" ht="42" customHeight="1" s="1025">
      <c r="A18" s="926">
        <f>IF(B18="","",IFERROR(INDEX(FeatureTable[需求名称],MATCH(B18,FeatureTable[子需求名称],0)),"来源未匹配"))</f>
        <v/>
      </c>
      <c r="B18" s="1058" t="inlineStr">
        <is>
          <t>财务经营报表</t>
        </is>
      </c>
      <c r="C18" s="1058" t="inlineStr">
        <is>
          <t>查看财务经营日报</t>
        </is>
      </c>
      <c r="D18" s="1059" t="inlineStr">
        <is>
          <t>是</t>
        </is>
      </c>
      <c r="E18" s="926">
        <f t="array" ref="E18">IF(C18="","",IFERROR(_xlfn.TEXTJOIN(CHAR(10),TRUE,IF(AcceptanceCriterionTable[故事名称]=C18,"• "&amp;AcceptanceCriterionTable[验收条件名称],"")),""))</f>
        <v/>
      </c>
      <c r="F18" s="928">
        <f t="array" ref="F18">IF(C18="","",IFERROR(_xlfn.TEXTJOIN(CHAR(10),TRUE,IF(TaskTable[故事名称]=C18,"• "&amp;TaskTable[任务名称],"")),""))</f>
        <v/>
      </c>
      <c r="G18" s="929">
        <f>IF(C18="","",CEILING(SUMIF(TaskTable[故事名称],C18,TaskTable[人天小计]),INDEX(ProjectParameterTable[值],MATCH("ROUND_STORY",ProjectParameterTable[参数代码],0))))</f>
        <v/>
      </c>
      <c r="H18" s="1058" t="inlineStr"/>
      <c r="I18" s="930">
        <f>IF(H18="","",IFERROR(INDEX(AssumptionRiskTable[状态],MATCH(H18,AssumptionRiskTable[假设/风险名称],0)),"名称未匹配"))</f>
        <v/>
      </c>
    </row>
    <row r="19" ht="42" customHeight="1" s="1025">
      <c r="A19" s="926">
        <f>IF(B19="","",IFERROR(INDEX(FeatureTable[需求名称],MATCH(B19,FeatureTable[子需求名称],0)),"来源未匹配"))</f>
        <v/>
      </c>
      <c r="B19" s="1058" t="inlineStr">
        <is>
          <t>生产准备、切换与验证</t>
        </is>
      </c>
      <c r="C19" s="1058" t="inlineStr">
        <is>
          <t>准备生产环境和发布流水线</t>
        </is>
      </c>
      <c r="D19" s="1059" t="inlineStr">
        <is>
          <t>否</t>
        </is>
      </c>
      <c r="E19" s="926">
        <f t="array" ref="E19">IF(C19="","",IFERROR(_xlfn.TEXTJOIN(CHAR(10),TRUE,IF(AcceptanceCriterionTable[故事名称]=C19,"• "&amp;AcceptanceCriterionTable[验收条件名称],"")),""))</f>
        <v/>
      </c>
      <c r="F19" s="928">
        <f t="array" ref="F19">IF(C19="","",IFERROR(_xlfn.TEXTJOIN(CHAR(10),TRUE,IF(TaskTable[故事名称]=C19,"• "&amp;TaskTable[任务名称],"")),""))</f>
        <v/>
      </c>
      <c r="G19" s="929">
        <f>IF(C19="","",CEILING(SUMIF(TaskTable[故事名称],C19,TaskTable[人天小计]),INDEX(ProjectParameterTable[值],MATCH("ROUND_STORY",ProjectParameterTable[参数代码],0))))</f>
        <v/>
      </c>
      <c r="H19" s="1058" t="inlineStr"/>
      <c r="I19" s="930">
        <f>IF(H19="","",IFERROR(INDEX(AssumptionRiskTable[状态],MATCH(H19,AssumptionRiskTable[假设/风险名称],0)),"名称未匹配"))</f>
        <v/>
      </c>
    </row>
    <row r="20" ht="42" customHeight="1" s="1025">
      <c r="A20" s="926">
        <f>IF(B20="","",IFERROR(INDEX(FeatureTable[需求名称],MATCH(B20,FeatureTable[子需求名称],0)),"来源未匹配"))</f>
        <v/>
      </c>
      <c r="B20" s="1058" t="inlineStr">
        <is>
          <t>生产准备、切换与验证</t>
        </is>
      </c>
      <c r="C20" s="1058" t="inlineStr">
        <is>
          <t>执行生产切换与回滚演练</t>
        </is>
      </c>
      <c r="D20" s="1059" t="inlineStr">
        <is>
          <t>否</t>
        </is>
      </c>
      <c r="E20" s="926">
        <f t="array" ref="E20">IF(C20="","",IFERROR(_xlfn.TEXTJOIN(CHAR(10),TRUE,IF(AcceptanceCriterionTable[故事名称]=C20,"• "&amp;AcceptanceCriterionTable[验收条件名称],"")),""))</f>
        <v/>
      </c>
      <c r="F20" s="928">
        <f t="array" ref="F20">IF(C20="","",IFERROR(_xlfn.TEXTJOIN(CHAR(10),TRUE,IF(TaskTable[故事名称]=C20,"• "&amp;TaskTable[任务名称],"")),""))</f>
        <v/>
      </c>
      <c r="G20" s="929">
        <f>IF(C20="","",CEILING(SUMIF(TaskTable[故事名称],C20,TaskTable[人天小计]),INDEX(ProjectParameterTable[值],MATCH("ROUND_STORY",ProjectParameterTable[参数代码],0))))</f>
        <v/>
      </c>
      <c r="H20" s="1058" t="inlineStr">
        <is>
          <t>迁移冻结窗口为周六 00:00 至 04:00</t>
        </is>
      </c>
      <c r="I20" s="930">
        <f>IF(H20="","",IFERROR(INDEX(AssumptionRiskTable[状态],MATCH(H20,AssumptionRiskTable[假设/风险名称],0)),"名称未匹配"))</f>
        <v/>
      </c>
    </row>
    <row r="21" ht="42" customHeight="1" s="1025">
      <c r="A21" s="926">
        <f>IF(B21="","",IFERROR(INDEX(FeatureTable[需求名称],MATCH(B21,FeatureTable[子需求名称],0)),"来源未匹配"))</f>
        <v/>
      </c>
      <c r="B21" s="1058" t="inlineStr">
        <is>
          <t>生产准备、切换与验证</t>
        </is>
      </c>
      <c r="C21" s="1058" t="inlineStr">
        <is>
          <t>完成生产烟测与业务确认</t>
        </is>
      </c>
      <c r="D21" s="1059" t="inlineStr">
        <is>
          <t>是</t>
        </is>
      </c>
      <c r="E21" s="926">
        <f t="array" ref="E21">IF(C21="","",IFERROR(_xlfn.TEXTJOIN(CHAR(10),TRUE,IF(AcceptanceCriterionTable[故事名称]=C21,"• "&amp;AcceptanceCriterionTable[验收条件名称],"")),""))</f>
        <v/>
      </c>
      <c r="F21" s="928">
        <f t="array" ref="F21">IF(C21="","",IFERROR(_xlfn.TEXTJOIN(CHAR(10),TRUE,IF(TaskTable[故事名称]=C21,"• "&amp;TaskTable[任务名称],"")),""))</f>
        <v/>
      </c>
      <c r="G21" s="929">
        <f>IF(C21="","",CEILING(SUMIF(TaskTable[故事名称],C21,TaskTable[人天小计]),INDEX(ProjectParameterTable[值],MATCH("ROUND_STORY",ProjectParameterTable[参数代码],0))))</f>
        <v/>
      </c>
      <c r="H21" s="1058" t="inlineStr">
        <is>
          <t>生产告警通知渠道待确认</t>
        </is>
      </c>
      <c r="I21" s="930">
        <f>IF(H21="","",IFERROR(INDEX(AssumptionRiskTable[状态],MATCH(H21,AssumptionRiskTable[假设/风险名称],0)),"名称未匹配"))</f>
        <v/>
      </c>
    </row>
    <row r="22" ht="42" customHeight="1" s="1025">
      <c r="A22" s="926">
        <f>IF(B22="","",IFERROR(INDEX(FeatureTable[需求名称],MATCH(B22,FeatureTable[子需求名称],0)),"来源未匹配"))</f>
        <v/>
      </c>
      <c r="B22" s="1058" t="inlineStr">
        <is>
          <t>会员与订单数据迁移</t>
        </is>
      </c>
      <c r="C22" s="1058" t="inlineStr">
        <is>
          <t>迁移会员与历史订单数据</t>
        </is>
      </c>
      <c r="D22" s="1059" t="inlineStr">
        <is>
          <t>否</t>
        </is>
      </c>
      <c r="E22" s="926">
        <f t="array" ref="E22">IF(C22="","",IFERROR(_xlfn.TEXTJOIN(CHAR(10),TRUE,IF(AcceptanceCriterionTable[故事名称]=C22,"• "&amp;AcceptanceCriterionTable[验收条件名称],"")),""))</f>
        <v/>
      </c>
      <c r="F22" s="928">
        <f t="array" ref="F22">IF(C22="","",IFERROR(_xlfn.TEXTJOIN(CHAR(10),TRUE,IF(TaskTable[故事名称]=C22,"• "&amp;TaskTable[任务名称],"")),""))</f>
        <v/>
      </c>
      <c r="G22" s="929">
        <f>IF(C22="","",CEILING(SUMIF(TaskTable[故事名称],C22,TaskTable[人天小计]),INDEX(ProjectParameterTable[值],MATCH("ROUND_STORY",ProjectParameterTable[参数代码],0))))</f>
        <v/>
      </c>
      <c r="H22" s="1058" t="inlineStr">
        <is>
          <t>迁移冻结窗口为周六 00:00 至 04:00</t>
        </is>
      </c>
      <c r="I22" s="930">
        <f>IF(H22="","",IFERROR(INDEX(AssumptionRiskTable[状态],MATCH(H22,AssumptionRiskTable[假设/风险名称],0)),"名称未匹配"))</f>
        <v/>
      </c>
    </row>
    <row r="23" ht="42" customHeight="1" s="1025">
      <c r="A23" s="926">
        <f>IF(B23="","",IFERROR(INDEX(FeatureTable[需求名称],MATCH(B23,FeatureTable[子需求名称],0)),"来源未匹配"))</f>
        <v/>
      </c>
      <c r="B23" s="1058" t="inlineStr">
        <is>
          <t>监控、运维交接与用户赋能</t>
        </is>
      </c>
      <c r="C23" s="1058" t="inlineStr">
        <is>
          <t>监控核心交易与财务作业</t>
        </is>
      </c>
      <c r="D23" s="1059" t="inlineStr">
        <is>
          <t>否</t>
        </is>
      </c>
      <c r="E23" s="926">
        <f t="array" ref="E23">IF(C23="","",IFERROR(_xlfn.TEXTJOIN(CHAR(10),TRUE,IF(AcceptanceCriterionTable[故事名称]=C23,"• "&amp;AcceptanceCriterionTable[验收条件名称],"")),""))</f>
        <v/>
      </c>
      <c r="F23" s="928">
        <f t="array" ref="F23">IF(C23="","",IFERROR(_xlfn.TEXTJOIN(CHAR(10),TRUE,IF(TaskTable[故事名称]=C23,"• "&amp;TaskTable[任务名称],"")),""))</f>
        <v/>
      </c>
      <c r="G23" s="929">
        <f>IF(C23="","",CEILING(SUMIF(TaskTable[故事名称],C23,TaskTable[人天小计]),INDEX(ProjectParameterTable[值],MATCH("ROUND_STORY",ProjectParameterTable[参数代码],0))))</f>
        <v/>
      </c>
      <c r="H23" s="1058" t="inlineStr">
        <is>
          <t>生产告警通知渠道待确认</t>
        </is>
      </c>
      <c r="I23" s="930">
        <f>IF(H23="","",IFERROR(INDEX(AssumptionRiskTable[状态],MATCH(H23,AssumptionRiskTable[假设/风险名称],0)),"名称未匹配"))</f>
        <v/>
      </c>
    </row>
    <row r="24" ht="42" customHeight="1" s="1025">
      <c r="A24" s="926">
        <f>IF(B24="","",IFERROR(INDEX(FeatureTable[需求名称],MATCH(B24,FeatureTable[子需求名称],0)),"来源未匹配"))</f>
        <v/>
      </c>
      <c r="B24" s="1058" t="inlineStr">
        <is>
          <t>监控、运维交接与用户赋能</t>
        </is>
      </c>
      <c r="C24" s="1058" t="inlineStr">
        <is>
          <t>完成运维交接与演练</t>
        </is>
      </c>
      <c r="D24" s="1059" t="inlineStr">
        <is>
          <t>否</t>
        </is>
      </c>
      <c r="E24" s="926">
        <f t="array" ref="E24">IF(C24="","",IFERROR(_xlfn.TEXTJOIN(CHAR(10),TRUE,IF(AcceptanceCriterionTable[故事名称]=C24,"• "&amp;AcceptanceCriterionTable[验收条件名称],"")),""))</f>
        <v/>
      </c>
      <c r="F24" s="928">
        <f t="array" ref="F24">IF(C24="","",IFERROR(_xlfn.TEXTJOIN(CHAR(10),TRUE,IF(TaskTable[故事名称]=C24,"• "&amp;TaskTable[任务名称],"")),""))</f>
        <v/>
      </c>
      <c r="G24" s="929">
        <f>IF(C24="","",CEILING(SUMIF(TaskTable[故事名称],C24,TaskTable[人天小计]),INDEX(ProjectParameterTable[值],MATCH("ROUND_STORY",ProjectParameterTable[参数代码],0))))</f>
        <v/>
      </c>
      <c r="H24" s="1058" t="inlineStr"/>
      <c r="I24" s="930">
        <f>IF(H24="","",IFERROR(INDEX(AssumptionRiskTable[状态],MATCH(H24,AssumptionRiskTable[假设/风险名称],0)),"名称未匹配"))</f>
        <v/>
      </c>
    </row>
    <row r="25" ht="42" customHeight="1" s="1025">
      <c r="A25" s="926">
        <f>IF(B25="","",IFERROR(INDEX(FeatureTable[需求名称],MATCH(B25,FeatureTable[子需求名称],0)),"来源未匹配"))</f>
        <v/>
      </c>
      <c r="B25" s="1058" t="inlineStr">
        <is>
          <t>监控、运维交接与用户赋能</t>
        </is>
      </c>
      <c r="C25" s="1058" t="inlineStr">
        <is>
          <t>培训门店、客服和财务用户</t>
        </is>
      </c>
      <c r="D25" s="1059" t="inlineStr">
        <is>
          <t>是</t>
        </is>
      </c>
      <c r="E25" s="926">
        <f t="array" ref="E25">IF(C25="","",IFERROR(_xlfn.TEXTJOIN(CHAR(10),TRUE,IF(AcceptanceCriterionTable[故事名称]=C25,"• "&amp;AcceptanceCriterionTable[验收条件名称],"")),""))</f>
        <v/>
      </c>
      <c r="F25" s="928">
        <f t="array" ref="F25">IF(C25="","",IFERROR(_xlfn.TEXTJOIN(CHAR(10),TRUE,IF(TaskTable[故事名称]=C25,"• "&amp;TaskTable[任务名称],"")),""))</f>
        <v/>
      </c>
      <c r="G25" s="929">
        <f>IF(C25="","",CEILING(SUMIF(TaskTable[故事名称],C25,TaskTable[人天小计]),INDEX(ProjectParameterTable[值],MATCH("ROUND_STORY",ProjectParameterTable[参数代码],0))))</f>
        <v/>
      </c>
      <c r="H25" s="1058" t="inlineStr"/>
      <c r="I25" s="930">
        <f>IF(H25="","",IFERROR(INDEX(AssumptionRiskTable[状态],MATCH(H25,AssumptionRiskTable[假设/风险名称],0)),"名称未匹配"))</f>
        <v/>
      </c>
    </row>
    <row r="26" ht="42" customHeight="1" s="1025">
      <c r="A26" s="926">
        <f>IF(B26="","",IFERROR(INDEX(FeatureTable[需求名称],MATCH(B26,FeatureTable[子需求名称],0)),"来源未匹配"))</f>
        <v/>
      </c>
      <c r="B26" s="1058" t="inlineStr">
        <is>
          <t>自动化、性能与生产质量验证</t>
        </is>
      </c>
      <c r="C26" s="1058" t="inlineStr">
        <is>
          <t>扩展自动化与性能验证</t>
        </is>
      </c>
      <c r="D26" s="1059" t="inlineStr">
        <is>
          <t>否</t>
        </is>
      </c>
      <c r="E26" s="926">
        <f t="array" ref="E26">IF(C26="","",IFERROR(_xlfn.TEXTJOIN(CHAR(10),TRUE,IF(AcceptanceCriterionTable[故事名称]=C26,"• "&amp;AcceptanceCriterionTable[验收条件名称],"")),""))</f>
        <v/>
      </c>
      <c r="F26" s="928">
        <f t="array" ref="F26">IF(C26="","",IFERROR(_xlfn.TEXTJOIN(CHAR(10),TRUE,IF(TaskTable[故事名称]=C26,"• "&amp;TaskTable[任务名称],"")),""))</f>
        <v/>
      </c>
      <c r="G26" s="929">
        <f>IF(C26="","",CEILING(SUMIF(TaskTable[故事名称],C26,TaskTable[人天小计]),INDEX(ProjectParameterTable[值],MATCH("ROUND_STORY",ProjectParameterTable[参数代码],0))))</f>
        <v/>
      </c>
      <c r="H26" s="1058" t="inlineStr"/>
      <c r="I26" s="930">
        <f>IF(H26="","",IFERROR(INDEX(AssumptionRiskTable[状态],MATCH(H26,AssumptionRiskTable[假设/风险名称],0)),"名称未匹配"))</f>
        <v/>
      </c>
    </row>
    <row r="27" ht="42" customHeight="1" s="1025">
      <c r="A27" s="926">
        <f>IF(B27="","",IFERROR(INDEX(FeatureTable[需求名称],MATCH(B27,FeatureTable[子需求名称],0)),"来源未匹配"))</f>
        <v/>
      </c>
      <c r="B27" s="1058" t="inlineStr">
        <is>
          <t>自动化、性能与生产质量验证</t>
        </is>
      </c>
      <c r="C27" s="1058" t="inlineStr">
        <is>
          <t>执行兼容性与工程回归</t>
        </is>
      </c>
      <c r="D27" s="1059" t="inlineStr">
        <is>
          <t>否</t>
        </is>
      </c>
      <c r="E27" s="926">
        <f t="array" ref="E27">IF(C27="","",IFERROR(_xlfn.TEXTJOIN(CHAR(10),TRUE,IF(AcceptanceCriterionTable[故事名称]=C27,"• "&amp;AcceptanceCriterionTable[验收条件名称],"")),""))</f>
        <v/>
      </c>
      <c r="F27" s="928">
        <f t="array" ref="F27">IF(C27="","",IFERROR(_xlfn.TEXTJOIN(CHAR(10),TRUE,IF(TaskTable[故事名称]=C27,"• "&amp;TaskTable[任务名称],"")),""))</f>
        <v/>
      </c>
      <c r="G27" s="929">
        <f>IF(C27="","",CEILING(SUMIF(TaskTable[故事名称],C27,TaskTable[人天小计]),INDEX(ProjectParameterTable[值],MATCH("ROUND_STORY",ProjectParameterTable[参数代码],0))))</f>
        <v/>
      </c>
      <c r="H27" s="1058" t="inlineStr"/>
      <c r="I27" s="930">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1" scenarios="0" formatColumns="0" deleteColumns="1" insertColumns="1" pivotTables="1" deleteRows="1" formatCells="1" formatRows="0" sort="1"/>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58" t="inlineStr">
        <is>
          <t>创建并查看客户档案</t>
        </is>
      </c>
      <c r="D5" s="1058" t="inlineStr">
        <is>
          <t>用户保存档案后可以查看授权范围内的最新字段。</t>
        </is>
      </c>
    </row>
    <row r="6" ht="34" customHeight="1" s="1025">
      <c r="A6" s="926">
        <f>IF(C6="","",IFERROR(INDEX(SOWStoryTable[需求名称],MATCH(C6,SOWStoryTable[故事名称],0)),"来源未匹配"))</f>
        <v/>
      </c>
      <c r="B6" s="926">
        <f>IF(C6="","",IFERROR(INDEX(SOWStoryTable[子需求名称],MATCH(C6,SOWStoryTable[故事名称],0)),"来源未匹配"))</f>
        <v/>
      </c>
      <c r="C6" s="1058" t="inlineStr">
        <is>
          <t>创建并查看客户档案</t>
        </is>
      </c>
      <c r="D6" s="1058" t="inlineStr">
        <is>
          <t>档案变更记录包含操作者、时间和变更字段。</t>
        </is>
      </c>
    </row>
    <row r="7" ht="34" customHeight="1" s="1025">
      <c r="A7" s="926">
        <f>IF(C7="","",IFERROR(INDEX(SOWStoryTable[需求名称],MATCH(C7,SOWStoryTable[故事名称],0)),"来源未匹配"))</f>
        <v/>
      </c>
      <c r="B7" s="926">
        <f>IF(C7="","",IFERROR(INDEX(SOWStoryTable[子需求名称],MATCH(C7,SOWStoryTable[故事名称],0)),"来源未匹配"))</f>
        <v/>
      </c>
      <c r="C7" s="1058" t="inlineStr">
        <is>
          <t>提供客户档案操作</t>
        </is>
      </c>
      <c r="D7" s="1058" t="inlineStr">
        <is>
          <t>渠道可以通过已发布 API 创建、维护和检索客户档案。</t>
        </is>
      </c>
    </row>
    <row r="8" ht="34" customHeight="1" s="1025">
      <c r="A8" s="926">
        <f>IF(C8="","",IFERROR(INDEX(SOWStoryTable[需求名称],MATCH(C8,SOWStoryTable[故事名称],0)),"来源未匹配"))</f>
        <v/>
      </c>
      <c r="B8" s="926">
        <f>IF(C8="","",IFERROR(INDEX(SOWStoryTable[子需求名称],MATCH(C8,SOWStoryTable[故事名称],0)),"来源未匹配"))</f>
        <v/>
      </c>
      <c r="C8" s="1058" t="inlineStr">
        <is>
          <t>提供客户档案操作</t>
        </is>
      </c>
      <c r="D8" s="1058" t="inlineStr">
        <is>
          <t>未授权角色无法读取敏感字段且访问留痕。</t>
        </is>
      </c>
    </row>
    <row r="9" ht="34" customHeight="1" s="1025">
      <c r="A9" s="926">
        <f>IF(C9="","",IFERROR(INDEX(SOWStoryTable[需求名称],MATCH(C9,SOWStoryTable[故事名称],0)),"来源未匹配"))</f>
        <v/>
      </c>
      <c r="B9" s="926">
        <f>IF(C9="","",IFERROR(INDEX(SOWStoryTable[子需求名称],MATCH(C9,SOWStoryTable[故事名称],0)),"来源未匹配"))</f>
        <v/>
      </c>
      <c r="C9" s="1058" t="inlineStr">
        <is>
          <t>集成会员主数据查询</t>
        </is>
      </c>
      <c r="D9" s="1058" t="inlineStr">
        <is>
          <t>星云会员门户可以通过内部接口检索统一会员号和档案。</t>
        </is>
      </c>
    </row>
    <row r="10" ht="34" customHeight="1" s="1025">
      <c r="A10" s="926">
        <f>IF(C10="","",IFERROR(INDEX(SOWStoryTable[需求名称],MATCH(C10,SOWStoryTable[故事名称],0)),"来源未匹配"))</f>
        <v/>
      </c>
      <c r="B10" s="926">
        <f>IF(C10="","",IFERROR(INDEX(SOWStoryTable[子需求名称],MATCH(C10,SOWStoryTable[故事名称],0)),"来源未匹配"))</f>
        <v/>
      </c>
      <c r="C10" s="1058" t="inlineStr">
        <is>
          <t>计算并追溯会员等级</t>
        </is>
      </c>
      <c r="D10" s="1058" t="inlineStr">
        <is>
          <t>会员等级按生效规则计算且可以追溯规则版本。</t>
        </is>
      </c>
    </row>
    <row r="11" ht="34" customHeight="1" s="1025">
      <c r="A11" s="926">
        <f>IF(C11="","",IFERROR(INDEX(SOWStoryTable[需求名称],MATCH(C11,SOWStoryTable[故事名称],0)),"来源未匹配"))</f>
        <v/>
      </c>
      <c r="B11" s="926">
        <f>IF(C11="","",IFERROR(INDEX(SOWStoryTable[子需求名称],MATCH(C11,SOWStoryTable[故事名称],0)),"来源未匹配"))</f>
        <v/>
      </c>
      <c r="C11" s="1058" t="inlineStr">
        <is>
          <t>计算并追溯会员等级</t>
        </is>
      </c>
      <c r="D11" s="1058" t="inlineStr">
        <is>
          <t>等级调整后保留原等级、生效时间和调整原因。</t>
        </is>
      </c>
    </row>
    <row r="12" ht="34" customHeight="1" s="1025">
      <c r="A12" s="926">
        <f>IF(C12="","",IFERROR(INDEX(SOWStoryTable[需求名称],MATCH(C12,SOWStoryTable[故事名称],0)),"来源未匹配"))</f>
        <v/>
      </c>
      <c r="B12" s="926">
        <f>IF(C12="","",IFERROR(INDEX(SOWStoryTable[子需求名称],MATCH(C12,SOWStoryTable[故事名称],0)),"来源未匹配"))</f>
        <v/>
      </c>
      <c r="C12" s="1058" t="inlineStr">
        <is>
          <t>统一创建全渠道订单</t>
        </is>
      </c>
      <c r="D12" s="1058" t="inlineStr">
        <is>
          <t>门店和线上渠道通过相同校验规则创建订单。</t>
        </is>
      </c>
    </row>
    <row r="13" ht="34" customHeight="1" s="1025">
      <c r="A13" s="926">
        <f>IF(C13="","",IFERROR(INDEX(SOWStoryTable[需求名称],MATCH(C13,SOWStoryTable[故事名称],0)),"来源未匹配"))</f>
        <v/>
      </c>
      <c r="B13" s="926">
        <f>IF(C13="","",IFERROR(INDEX(SOWStoryTable[子需求名称],MATCH(C13,SOWStoryTable[故事名称],0)),"来源未匹配"))</f>
        <v/>
      </c>
      <c r="C13" s="1058" t="inlineStr">
        <is>
          <t>统一创建全渠道订单</t>
        </is>
      </c>
      <c r="D13" s="1058" t="inlineStr">
        <is>
          <t>相同幂等键的重复请求不产生重复订单。</t>
        </is>
      </c>
    </row>
    <row r="14" ht="34" customHeight="1" s="1025">
      <c r="A14" s="926">
        <f>IF(C14="","",IFERROR(INDEX(SOWStoryTable[需求名称],MATCH(C14,SOWStoryTable[故事名称],0)),"来源未匹配"))</f>
        <v/>
      </c>
      <c r="B14" s="926">
        <f>IF(C14="","",IFERROR(INDEX(SOWStoryTable[子需求名称],MATCH(C14,SOWStoryTable[故事名称],0)),"来源未匹配"))</f>
        <v/>
      </c>
      <c r="C14" s="1058" t="inlineStr">
        <is>
          <t>驱动订单状态与事件</t>
        </is>
      </c>
      <c r="D14" s="1058" t="inlineStr">
        <is>
          <t>合法命令驱动状态变化并记录来源、时间和事件编号。</t>
        </is>
      </c>
    </row>
    <row r="15" ht="34" customHeight="1" s="1025">
      <c r="A15" s="926">
        <f>IF(C15="","",IFERROR(INDEX(SOWStoryTable[需求名称],MATCH(C15,SOWStoryTable[故事名称],0)),"来源未匹配"))</f>
        <v/>
      </c>
      <c r="B15" s="926">
        <f>IF(C15="","",IFERROR(INDEX(SOWStoryTable[子需求名称],MATCH(C15,SOWStoryTable[故事名称],0)),"来源未匹配"))</f>
        <v/>
      </c>
      <c r="C15" s="1058" t="inlineStr">
        <is>
          <t>预占和释放 ERP 库存</t>
        </is>
      </c>
      <c r="D15" s="1058" t="inlineStr">
        <is>
          <t>订单确认和取消分别完成库存预占与释放。</t>
        </is>
      </c>
    </row>
    <row r="16" ht="34" customHeight="1" s="1025">
      <c r="A16" s="926">
        <f>IF(C16="","",IFERROR(INDEX(SOWStoryTable[需求名称],MATCH(C16,SOWStoryTable[故事名称],0)),"来源未匹配"))</f>
        <v/>
      </c>
      <c r="B16" s="926">
        <f>IF(C16="","",IFERROR(INDEX(SOWStoryTable[子需求名称],MATCH(C16,SOWStoryTable[故事名称],0)),"来源未匹配"))</f>
        <v/>
      </c>
      <c r="C16" s="1058" t="inlineStr">
        <is>
          <t>预占和释放 ERP 库存</t>
        </is>
      </c>
      <c r="D16" s="1058" t="inlineStr">
        <is>
          <t>ERP 超时重试不会产生重复预占。</t>
        </is>
      </c>
    </row>
    <row r="17" ht="34" customHeight="1" s="1025">
      <c r="A17" s="926">
        <f>IF(C17="","",IFERROR(INDEX(SOWStoryTable[需求名称],MATCH(C17,SOWStoryTable[故事名称],0)),"来源未匹配"))</f>
        <v/>
      </c>
      <c r="B17" s="926">
        <f>IF(C17="","",IFERROR(INDEX(SOWStoryTable[子需求名称],MATCH(C17,SOWStoryTable[故事名称],0)),"来源未匹配"))</f>
        <v/>
      </c>
      <c r="C17" s="1058" t="inlineStr">
        <is>
          <t>提交并审核退货申请</t>
        </is>
      </c>
      <c r="D17" s="1058" t="inlineStr">
        <is>
          <t>系统拒绝超过可退数量的申请并记录审核结果。</t>
        </is>
      </c>
    </row>
    <row r="18" ht="34" customHeight="1" s="1025">
      <c r="A18" s="926">
        <f>IF(C18="","",IFERROR(INDEX(SOWStoryTable[需求名称],MATCH(C18,SOWStoryTable[故事名称],0)),"来源未匹配"))</f>
        <v/>
      </c>
      <c r="B18" s="926">
        <f>IF(C18="","",IFERROR(INDEX(SOWStoryTable[子需求名称],MATCH(C18,SOWStoryTable[故事名称],0)),"来源未匹配"))</f>
        <v/>
      </c>
      <c r="C18" s="1058" t="inlineStr">
        <is>
          <t>发起退款并回写结果</t>
        </is>
      </c>
      <c r="D18" s="1058" t="inlineStr">
        <is>
          <t>退款结果回写订单且同一退货单不重复退款。</t>
        </is>
      </c>
    </row>
    <row r="19" ht="34" customHeight="1" s="1025">
      <c r="A19" s="926">
        <f>IF(C19="","",IFERROR(INDEX(SOWStoryTable[需求名称],MATCH(C19,SOWStoryTable[故事名称],0)),"来源未匹配"))</f>
        <v/>
      </c>
      <c r="B19" s="926">
        <f>IF(C19="","",IFERROR(INDEX(SOWStoryTable[子需求名称],MATCH(C19,SOWStoryTable[故事名称],0)),"来源未匹配"))</f>
        <v/>
      </c>
      <c r="C19" s="1058" t="inlineStr">
        <is>
          <t>门店处理订单与交接</t>
        </is>
      </c>
      <c r="D19" s="1058" t="inlineStr">
        <is>
          <t>授权门店可以处理本店订单并完成交接记录。</t>
        </is>
      </c>
    </row>
    <row r="20" ht="34" customHeight="1" s="1025">
      <c r="A20" s="926">
        <f>IF(C20="","",IFERROR(INDEX(SOWStoryTable[需求名称],MATCH(C20,SOWStoryTable[故事名称],0)),"来源未匹配"))</f>
        <v/>
      </c>
      <c r="B20" s="926">
        <f>IF(C20="","",IFERROR(INDEX(SOWStoryTable[子需求名称],MATCH(C20,SOWStoryTable[故事名称],0)),"来源未匹配"))</f>
        <v/>
      </c>
      <c r="C20" s="1058" t="inlineStr">
        <is>
          <t>查看统一履约轨迹</t>
        </is>
      </c>
      <c r="D20" s="1058" t="inlineStr">
        <is>
          <t>顾客和客服看到一致的履约节点与异常原因。</t>
        </is>
      </c>
    </row>
    <row r="21" ht="34" customHeight="1" s="1025">
      <c r="A21" s="926">
        <f>IF(C21="","",IFERROR(INDEX(SOWStoryTable[需求名称],MATCH(C21,SOWStoryTable[故事名称],0)),"来源未匹配"))</f>
        <v/>
      </c>
      <c r="B21" s="926">
        <f>IF(C21="","",IFERROR(INDEX(SOWStoryTable[子需求名称],MATCH(C21,SOWStoryTable[故事名称],0)),"来源未匹配"))</f>
        <v/>
      </c>
      <c r="C21" s="1058" t="inlineStr">
        <is>
          <t>执行支付退款日结对账</t>
        </is>
      </c>
      <c r="D21" s="1058" t="inlineStr">
        <is>
          <t>前一自然日交易在 07:00 前完成对账并标识差异。</t>
        </is>
      </c>
    </row>
    <row r="22" ht="34" customHeight="1" s="1025">
      <c r="A22" s="926">
        <f>IF(C22="","",IFERROR(INDEX(SOWStoryTable[需求名称],MATCH(C22,SOWStoryTable[故事名称],0)),"来源未匹配"))</f>
        <v/>
      </c>
      <c r="B22" s="926">
        <f>IF(C22="","",IFERROR(INDEX(SOWStoryTable[子需求名称],MATCH(C22,SOWStoryTable[故事名称],0)),"来源未匹配"))</f>
        <v/>
      </c>
      <c r="C22" s="1058" t="inlineStr">
        <is>
          <t>执行支付退款日结对账</t>
        </is>
      </c>
      <c r="D22" s="1058" t="inlineStr">
        <is>
          <t>每个差异项可以追溯到订单、支付交易和退款记录。</t>
        </is>
      </c>
    </row>
    <row r="23" ht="34" customHeight="1" s="1025">
      <c r="A23" s="926">
        <f>IF(C23="","",IFERROR(INDEX(SOWStoryTable[需求名称],MATCH(C23,SOWStoryTable[故事名称],0)),"来源未匹配"))</f>
        <v/>
      </c>
      <c r="B23" s="926">
        <f>IF(C23="","",IFERROR(INDEX(SOWStoryTable[子需求名称],MATCH(C23,SOWStoryTable[故事名称],0)),"来源未匹配"))</f>
        <v/>
      </c>
      <c r="C23" s="1058" t="inlineStr">
        <is>
          <t>申请并追踪电子发票</t>
        </is>
      </c>
      <c r="D23" s="1058" t="inlineStr">
        <is>
          <t>开票成功后保存发票号码和下载地址，失败时保存失败码。</t>
        </is>
      </c>
    </row>
    <row r="24" ht="34" customHeight="1" s="1025">
      <c r="A24" s="926">
        <f>IF(C24="","",IFERROR(INDEX(SOWStoryTable[需求名称],MATCH(C24,SOWStoryTable[故事名称],0)),"来源未匹配"))</f>
        <v/>
      </c>
      <c r="B24" s="926">
        <f>IF(C24="","",IFERROR(INDEX(SOWStoryTable[子需求名称],MATCH(C24,SOWStoryTable[故事名称],0)),"来源未匹配"))</f>
        <v/>
      </c>
      <c r="C24" s="1058" t="inlineStr">
        <is>
          <t>申请并追踪电子发票</t>
        </is>
      </c>
      <c r="D24" s="1058" t="inlineStr">
        <is>
          <t>重复提交相同开票申请不会重复开票。</t>
        </is>
      </c>
    </row>
    <row r="25" ht="34" customHeight="1" s="1025">
      <c r="A25" s="926">
        <f>IF(C25="","",IFERROR(INDEX(SOWStoryTable[需求名称],MATCH(C25,SOWStoryTable[故事名称],0)),"来源未匹配"))</f>
        <v/>
      </c>
      <c r="B25" s="926">
        <f>IF(C25="","",IFERROR(INDEX(SOWStoryTable[子需求名称],MATCH(C25,SOWStoryTable[故事名称],0)),"来源未匹配"))</f>
        <v/>
      </c>
      <c r="C25" s="1058" t="inlineStr">
        <is>
          <t>查看财务经营日报</t>
        </is>
      </c>
      <c r="D25" s="1058" t="inlineStr">
        <is>
          <t>财务可按日期、区域和渠道查看已定义经营指标。</t>
        </is>
      </c>
    </row>
    <row r="26" ht="34" customHeight="1" s="1025">
      <c r="A26" s="926">
        <f>IF(C26="","",IFERROR(INDEX(SOWStoryTable[需求名称],MATCH(C26,SOWStoryTable[故事名称],0)),"来源未匹配"))</f>
        <v/>
      </c>
      <c r="B26" s="926">
        <f>IF(C26="","",IFERROR(INDEX(SOWStoryTable[子需求名称],MATCH(C26,SOWStoryTable[故事名称],0)),"来源未匹配"))</f>
        <v/>
      </c>
      <c r="C26" s="1058" t="inlineStr">
        <is>
          <t>查看财务经营日报</t>
        </is>
      </c>
      <c r="D26" s="1058" t="inlineStr">
        <is>
          <t>报表金额可下钻到构成订单和对账状态。</t>
        </is>
      </c>
    </row>
    <row r="27" ht="34" customHeight="1" s="1025">
      <c r="A27" s="926">
        <f>IF(C27="","",IFERROR(INDEX(SOWStoryTable[需求名称],MATCH(C27,SOWStoryTable[故事名称],0)),"来源未匹配"))</f>
        <v/>
      </c>
      <c r="B27" s="926">
        <f>IF(C27="","",IFERROR(INDEX(SOWStoryTable[子需求名称],MATCH(C27,SOWStoryTable[故事名称],0)),"来源未匹配"))</f>
        <v/>
      </c>
      <c r="C27" s="1058" t="inlineStr">
        <is>
          <t>准备生产环境和发布流水线</t>
        </is>
      </c>
      <c r="D27" s="1058" t="inlineStr">
        <is>
          <t>生产参数、权限、制品和功能开关通过准备检查。</t>
        </is>
      </c>
    </row>
    <row r="28" ht="34" customHeight="1" s="1025">
      <c r="A28" s="926">
        <f>IF(C28="","",IFERROR(INDEX(SOWStoryTable[需求名称],MATCH(C28,SOWStoryTable[故事名称],0)),"来源未匹配"))</f>
        <v/>
      </c>
      <c r="B28" s="926">
        <f>IF(C28="","",IFERROR(INDEX(SOWStoryTable[子需求名称],MATCH(C28,SOWStoryTable[故事名称],0)),"来源未匹配"))</f>
        <v/>
      </c>
      <c r="C28" s="1058" t="inlineStr">
        <is>
          <t>执行生产切换与回滚演练</t>
        </is>
      </c>
      <c r="D28" s="1058" t="inlineStr">
        <is>
          <t>切换清单在批准窗口内完成且回滚演练有记录。</t>
        </is>
      </c>
    </row>
    <row r="29" ht="34" customHeight="1" s="1025">
      <c r="A29" s="926">
        <f>IF(C29="","",IFERROR(INDEX(SOWStoryTable[需求名称],MATCH(C29,SOWStoryTable[故事名称],0)),"来源未匹配"))</f>
        <v/>
      </c>
      <c r="B29" s="926">
        <f>IF(C29="","",IFERROR(INDEX(SOWStoryTable[子需求名称],MATCH(C29,SOWStoryTable[故事名称],0)),"来源未匹配"))</f>
        <v/>
      </c>
      <c r="C29" s="1058" t="inlineStr">
        <is>
          <t>完成生产烟测与业务确认</t>
        </is>
      </c>
      <c r="D29" s="1058" t="inlineStr">
        <is>
          <t>五条关键业务链路烟测通过并由业务负责人确认。</t>
        </is>
      </c>
    </row>
    <row r="30" ht="34" customHeight="1" s="1025">
      <c r="A30" s="926">
        <f>IF(C30="","",IFERROR(INDEX(SOWStoryTable[需求名称],MATCH(C30,SOWStoryTable[故事名称],0)),"来源未匹配"))</f>
        <v/>
      </c>
      <c r="B30" s="926">
        <f>IF(C30="","",IFERROR(INDEX(SOWStoryTable[子需求名称],MATCH(C30,SOWStoryTable[故事名称],0)),"来源未匹配"))</f>
        <v/>
      </c>
      <c r="C30" s="1058" t="inlineStr">
        <is>
          <t>迁移会员与历史订单数据</t>
        </is>
      </c>
      <c r="D30" s="1058" t="inlineStr">
        <is>
          <t>关键字段迁移前后一致率为 100%，重复业务主键为 0。</t>
        </is>
      </c>
    </row>
    <row r="31" ht="34" customHeight="1" s="1025">
      <c r="A31" s="926">
        <f>IF(C31="","",IFERROR(INDEX(SOWStoryTable[需求名称],MATCH(C31,SOWStoryTable[故事名称],0)),"来源未匹配"))</f>
        <v/>
      </c>
      <c r="B31" s="926">
        <f>IF(C31="","",IFERROR(INDEX(SOWStoryTable[子需求名称],MATCH(C31,SOWStoryTable[故事名称],0)),"来源未匹配"))</f>
        <v/>
      </c>
      <c r="C31" s="1058" t="inlineStr">
        <is>
          <t>监控核心交易与财务作业</t>
        </is>
      </c>
      <c r="D31" s="1058" t="inlineStr">
        <is>
          <t>核心交易和财务作业指标均配置阈值、渠道与接收人。</t>
        </is>
      </c>
    </row>
    <row r="32" ht="34" customHeight="1" s="1025">
      <c r="A32" s="926">
        <f>IF(C32="","",IFERROR(INDEX(SOWStoryTable[需求名称],MATCH(C32,SOWStoryTable[故事名称],0)),"来源未匹配"))</f>
        <v/>
      </c>
      <c r="B32" s="926">
        <f>IF(C32="","",IFERROR(INDEX(SOWStoryTable[子需求名称],MATCH(C32,SOWStoryTable[故事名称],0)),"来源未匹配"))</f>
        <v/>
      </c>
      <c r="C32" s="1058" t="inlineStr">
        <is>
          <t>完成运维交接与演练</t>
        </is>
      </c>
      <c r="D32" s="1058" t="inlineStr">
        <is>
          <t>运维手册、联系人和故障演练由运维经理签收。</t>
        </is>
      </c>
    </row>
    <row r="33" ht="34" customHeight="1" s="1025">
      <c r="A33" s="926">
        <f>IF(C33="","",IFERROR(INDEX(SOWStoryTable[需求名称],MATCH(C33,SOWStoryTable[故事名称],0)),"来源未匹配"))</f>
        <v/>
      </c>
      <c r="B33" s="926">
        <f>IF(C33="","",IFERROR(INDEX(SOWStoryTable[子需求名称],MATCH(C33,SOWStoryTable[故事名称],0)),"来源未匹配"))</f>
        <v/>
      </c>
      <c r="C33" s="1058" t="inlineStr">
        <is>
          <t>培训门店、客服和财务用户</t>
        </is>
      </c>
      <c r="D33" s="1058" t="inlineStr">
        <is>
          <t>门店、客服和财务培训完成并保留材料、签到和反馈。</t>
        </is>
      </c>
    </row>
    <row r="34" ht="34" customHeight="1" s="1025">
      <c r="A34" s="926">
        <f>IF(C34="","",IFERROR(INDEX(SOWStoryTable[需求名称],MATCH(C34,SOWStoryTable[故事名称],0)),"来源未匹配"))</f>
        <v/>
      </c>
      <c r="B34" s="926">
        <f>IF(C34="","",IFERROR(INDEX(SOWStoryTable[子需求名称],MATCH(C34,SOWStoryTable[故事名称],0)),"来源未匹配"))</f>
        <v/>
      </c>
      <c r="C34" s="1058" t="inlineStr">
        <is>
          <t>扩展自动化与性能验证</t>
        </is>
      </c>
      <c r="D34" s="1058" t="inlineStr">
        <is>
          <t>P0/P1 自动化用例全部通过且核心查询达到 500 TPS。</t>
        </is>
      </c>
    </row>
    <row r="35" ht="34" customHeight="1" s="1025">
      <c r="A35" s="926">
        <f>IF(C35="","",IFERROR(INDEX(SOWStoryTable[需求名称],MATCH(C35,SOWStoryTable[故事名称],0)),"来源未匹配"))</f>
        <v/>
      </c>
      <c r="B35" s="926">
        <f>IF(C35="","",IFERROR(INDEX(SOWStoryTable[子需求名称],MATCH(C35,SOWStoryTable[故事名称],0)),"来源未匹配"))</f>
        <v/>
      </c>
      <c r="C35" s="1058" t="inlineStr">
        <is>
          <t>执行兼容性与工程回归</t>
        </is>
      </c>
      <c r="D35" s="1058" t="inlineStr">
        <is>
          <t>支持的浏览器和设备矩阵通过工程回归且无阻断缺陷。</t>
        </is>
      </c>
    </row>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1" scenarios="0" formatColumns="0" deleteColumns="1" insertColumns="1" pivotTables="1" deleteRows="1" formatCells="1" formatRows="0" sort="1"/>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关联现状条目</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60" t="inlineStr">
        <is>
          <t>创建并查看客户档案</t>
        </is>
      </c>
      <c r="D5" s="1060" t="inlineStr">
        <is>
          <t>调整客户档案页面和状态</t>
        </is>
      </c>
      <c r="E5" s="1060" t="inlineStr">
        <is>
          <t>界面与交互</t>
        </is>
      </c>
      <c r="F5" s="945">
        <f>IF(E5="","",IFERROR(INDEX(BaseUnitCatalogTable[任务族名称],MATCH(E5,BaseUnitCatalogTable[基础单元名称],0)),""))</f>
        <v/>
      </c>
      <c r="G5" s="1061" t="inlineStr">
        <is>
          <t>调整</t>
        </is>
      </c>
      <c r="H5" s="1060" t="inlineStr">
        <is>
          <t>沿用可复用的客户档案框架及其页面入口，修改本次交付范围内的界面状态和校验。</t>
        </is>
      </c>
      <c r="I5" s="1061" t="inlineStr">
        <is>
          <t>S</t>
        </is>
      </c>
      <c r="J5" s="1060" t="inlineStr">
        <is>
          <t>仅一个界面和单一路径，使用成熟组件，无复杂权限或跨界面状态恢复。</t>
        </is>
      </c>
      <c r="K5" s="1060" t="inlineStr">
        <is>
          <t>可复用的客户档案框架</t>
        </is>
      </c>
      <c r="L5" s="1060" t="inlineStr">
        <is>
          <t>调整一个可独立验收的客户档案界面实例。</t>
        </is>
      </c>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44">
        <f>IF(C6="","",IFERROR(INDEX(SOWStoryTable[需求名称],MATCH(C6,SOWStoryTable[故事名称],0)),"来源未匹配"))</f>
        <v/>
      </c>
      <c r="B6" s="944">
        <f>IF(C6="","",IFERROR(INDEX(SOWStoryTable[子需求名称],MATCH(C6,SOWStoryTable[故事名称],0)),"来源未匹配"))</f>
        <v/>
      </c>
      <c r="C6" s="1060" t="inlineStr">
        <is>
          <t>提供客户档案操作</t>
        </is>
      </c>
      <c r="D6" s="1060" t="inlineStr">
        <is>
          <t>调整客户档案业务服务与接口</t>
        </is>
      </c>
      <c r="E6" s="1060" t="inlineStr">
        <is>
          <t>业务服务与接口</t>
        </is>
      </c>
      <c r="F6" s="945">
        <f>IF(E6="","",IFERROR(INDEX(BaseUnitCatalogTable[任务族名称],MATCH(E6,BaseUnitCatalogTable[基础单元名称],0)),""))</f>
        <v/>
      </c>
      <c r="G6" s="1061" t="inlineStr">
        <is>
          <t>调整</t>
        </is>
      </c>
      <c r="H6" s="1060" t="inlineStr">
        <is>
          <t>保留可复用的客户档案框架对应的服务边界，扩展创建和检索规则及接口。</t>
        </is>
      </c>
      <c r="I6" s="1061" t="inlineStr">
        <is>
          <t>M</t>
        </is>
      </c>
      <c r="J6" s="1060" t="inlineStr"/>
      <c r="K6" s="1060" t="inlineStr">
        <is>
          <t>可复用的客户档案框架</t>
        </is>
      </c>
      <c r="L6" s="1060" t="inlineStr">
        <is>
          <t>一组围绕客户档案操作的紧密相关接口，符合单实例计数口径。</t>
        </is>
      </c>
      <c r="M6" s="945">
        <f>IF(OR(D6="",E6="",G6=""),"",IFERROR(IF(G6="新建",INDEX(BaseUnitCatalogTable[新建M档人天],MATCH(E6,BaseUnitCatalogTable[基础单元名称],0)),IF(G6="调整",INDEX(BaseUnitCatalogTable[调整M档人天],MATCH(E6,BaseUnitCatalogTable[基础单元名称],0)),IF(G6="接入复用",INDEX(BaseUnitCatalogTable[接入复用M档人天],MATCH(E6,BaseUnitCatalogTable[基础单元名称],0)),""))),""))</f>
        <v/>
      </c>
      <c r="N6" s="945">
        <f>IF(OR(D6="",I6=""),"",IFERROR(INDEX(ProjectParameterTable[值],MATCH("K_COMPLEXITY_"&amp;I6,ProjectParameterTable[参数代码],0)),""))</f>
        <v/>
      </c>
      <c r="O6" s="945">
        <f>IF(OR(D6="",NOT(ISNUMBER(M6)),NOT(ISNUMBER(N6))),"",ROUND(M6*N6,1))</f>
        <v/>
      </c>
    </row>
    <row r="7" ht="38" customHeight="1" s="1025">
      <c r="A7" s="944">
        <f>IF(C7="","",IFERROR(INDEX(SOWStoryTable[需求名称],MATCH(C7,SOWStoryTable[故事名称],0)),"来源未匹配"))</f>
        <v/>
      </c>
      <c r="B7" s="944">
        <f>IF(C7="","",IFERROR(INDEX(SOWStoryTable[子需求名称],MATCH(C7,SOWStoryTable[故事名称],0)),"来源未匹配"))</f>
        <v/>
      </c>
      <c r="C7" s="1060" t="inlineStr">
        <is>
          <t>集成会员主数据查询</t>
        </is>
      </c>
      <c r="D7" s="1060" t="inlineStr">
        <is>
          <t>接入内部客户档案 API</t>
        </is>
      </c>
      <c r="E7" s="1060" t="inlineStr">
        <is>
          <t>内部系统对接</t>
        </is>
      </c>
      <c r="F7" s="945">
        <f>IF(E7="","",IFERROR(INDEX(BaseUnitCatalogTable[任务族名称],MATCH(E7,BaseUnitCatalogTable[基础单元名称],0)),""))</f>
        <v/>
      </c>
      <c r="G7" s="1061" t="inlineStr">
        <is>
          <t>接入复用</t>
        </is>
      </c>
      <c r="H7" s="1060" t="inlineStr">
        <is>
          <t>可复用的客户档案框架保持不变；本项目负责并交付：认证、映射、适配。</t>
        </is>
      </c>
      <c r="I7" s="1061" t="inlineStr">
        <is>
          <t>S</t>
        </is>
      </c>
      <c r="J7" s="1060" t="inlineStr">
        <is>
          <t>同组织稳定接口、单向查询和简单字段映射，不涉及对端改造。</t>
        </is>
      </c>
      <c r="K7" s="1060" t="inlineStr">
        <is>
          <t>可复用的客户档案框架</t>
        </is>
      </c>
      <c r="L7" s="1060" t="inlineStr">
        <is>
          <t>实现一个已登记的内部出站集成，不包含另行开展的 SIT。</t>
        </is>
      </c>
      <c r="M7" s="945">
        <f>IF(OR(D7="",E7="",G7=""),"",IFERROR(IF(G7="新建",INDEX(BaseUnitCatalogTable[新建M档人天],MATCH(E7,BaseUnitCatalogTable[基础单元名称],0)),IF(G7="调整",INDEX(BaseUnitCatalogTable[调整M档人天],MATCH(E7,BaseUnitCatalogTable[基础单元名称],0)),IF(G7="接入复用",INDEX(BaseUnitCatalogTable[接入复用M档人天],MATCH(E7,BaseUnitCatalogTable[基础单元名称],0)),""))),""))</f>
        <v/>
      </c>
      <c r="N7" s="945">
        <f>IF(OR(D7="",I7=""),"",IFERROR(INDEX(ProjectParameterTable[值],MATCH("K_COMPLEXITY_"&amp;I7,ProjectParameterTable[参数代码],0)),""))</f>
        <v/>
      </c>
      <c r="O7" s="945">
        <f>IF(OR(D7="",NOT(ISNUMBER(M7)),NOT(ISNUMBER(N7))),"",ROUND(M7*N7,1))</f>
        <v/>
      </c>
    </row>
    <row r="8" ht="38" customHeight="1" s="1025">
      <c r="A8" s="944">
        <f>IF(C8="","",IFERROR(INDEX(SOWStoryTable[需求名称],MATCH(C8,SOWStoryTable[故事名称],0)),"来源未匹配"))</f>
        <v/>
      </c>
      <c r="B8" s="944">
        <f>IF(C8="","",IFERROR(INDEX(SOWStoryTable[子需求名称],MATCH(C8,SOWStoryTable[故事名称],0)),"来源未匹配"))</f>
        <v/>
      </c>
      <c r="C8" s="1060" t="inlineStr">
        <is>
          <t>创建并查看客户档案</t>
        </is>
      </c>
      <c r="D8" s="1060" t="inlineStr">
        <is>
          <t>调整可复用的客户档案框架字段模型</t>
        </is>
      </c>
      <c r="E8" s="1060" t="inlineStr">
        <is>
          <t>数据模型与存储结构</t>
        </is>
      </c>
      <c r="F8" s="945">
        <f>IF(E8="","",IFERROR(INDEX(BaseUnitCatalogTable[任务族名称],MATCH(E8,BaseUnitCatalogTable[基础单元名称],0)),""))</f>
        <v/>
      </c>
      <c r="G8" s="1061" t="inlineStr">
        <is>
          <t>调整</t>
        </is>
      </c>
      <c r="H8" s="1060" t="inlineStr">
        <is>
          <t>在可复用的客户档案框架中增加一期顺延字段、授权标识和变更审计列。</t>
        </is>
      </c>
      <c r="I8" s="1061" t="inlineStr">
        <is>
          <t>M</t>
        </is>
      </c>
      <c r="J8" s="1060" t="inlineStr"/>
      <c r="K8" s="1060" t="inlineStr">
        <is>
          <t>可复用的客户档案框架</t>
        </is>
      </c>
      <c r="L8" s="1060" t="inlineStr">
        <is>
          <t>一个客户档案数据模型实例，覆盖字段、约束和审计列。</t>
        </is>
      </c>
      <c r="M8" s="945">
        <f>IF(OR(D8="",E8="",G8=""),"",IFERROR(IF(G8="新建",INDEX(BaseUnitCatalogTable[新建M档人天],MATCH(E8,BaseUnitCatalogTable[基础单元名称],0)),IF(G8="调整",INDEX(BaseUnitCatalogTable[调整M档人天],MATCH(E8,BaseUnitCatalogTable[基础单元名称],0)),IF(G8="接入复用",INDEX(BaseUnitCatalogTable[接入复用M档人天],MATCH(E8,BaseUnitCatalogTable[基础单元名称],0)),""))),""))</f>
        <v/>
      </c>
      <c r="N8" s="945">
        <f>IF(OR(D8="",I8=""),"",IFERROR(INDEX(ProjectParameterTable[值],MATCH("K_COMPLEXITY_"&amp;I8,ProjectParameterTable[参数代码],0)),""))</f>
        <v/>
      </c>
      <c r="O8" s="945">
        <f>IF(OR(D8="",NOT(ISNUMBER(M8)),NOT(ISNUMBER(N8))),"",ROUND(M8*N8,1))</f>
        <v/>
      </c>
    </row>
    <row r="9" ht="38" customHeight="1" s="1025">
      <c r="A9" s="944">
        <f>IF(C9="","",IFERROR(INDEX(SOWStoryTable[需求名称],MATCH(C9,SOWStoryTable[故事名称],0)),"来源未匹配"))</f>
        <v/>
      </c>
      <c r="B9" s="944">
        <f>IF(C9="","",IFERROR(INDEX(SOWStoryTable[子需求名称],MATCH(C9,SOWStoryTable[故事名称],0)),"来源未匹配"))</f>
        <v/>
      </c>
      <c r="C9" s="1060" t="inlineStr">
        <is>
          <t>提供客户档案操作</t>
        </is>
      </c>
      <c r="D9" s="1060" t="inlineStr">
        <is>
          <t>建立档案 API 身份与字段权限</t>
        </is>
      </c>
      <c r="E9" s="1060" t="inlineStr">
        <is>
          <t>身份与权限管理</t>
        </is>
      </c>
      <c r="F9" s="945">
        <f>IF(E9="","",IFERROR(INDEX(BaseUnitCatalogTable[任务族名称],MATCH(E9,BaseUnitCatalogTable[基础单元名称],0)),""))</f>
        <v/>
      </c>
      <c r="G9" s="1061" t="inlineStr">
        <is>
          <t>新建</t>
        </is>
      </c>
      <c r="H9" s="1060" t="inlineStr">
        <is>
          <t>为档案 API 新增角色、权限范围和敏感字段过滤规则。</t>
        </is>
      </c>
      <c r="I9" s="1061" t="inlineStr">
        <is>
          <t>M</t>
        </is>
      </c>
      <c r="J9" s="1060" t="inlineStr"/>
      <c r="K9" s="1060" t="inlineStr"/>
      <c r="L9" s="1060" t="inlineStr">
        <is>
          <t>一个档案 API 权限控制实例，覆盖门店、客服和会员三类主体。</t>
        </is>
      </c>
      <c r="M9" s="945">
        <f>IF(OR(D9="",E9="",G9=""),"",IFERROR(IF(G9="新建",INDEX(BaseUnitCatalogTable[新建M档人天],MATCH(E9,BaseUnitCatalogTable[基础单元名称],0)),IF(G9="调整",INDEX(BaseUnitCatalogTable[调整M档人天],MATCH(E9,BaseUnitCatalogTable[基础单元名称],0)),IF(G9="接入复用",INDEX(BaseUnitCatalogTable[接入复用M档人天],MATCH(E9,BaseUnitCatalogTable[基础单元名称],0)),""))),""))</f>
        <v/>
      </c>
      <c r="N9" s="945">
        <f>IF(OR(D9="",I9=""),"",IFERROR(INDEX(ProjectParameterTable[值],MATCH("K_COMPLEXITY_"&amp;I9,ProjectParameterTable[参数代码],0)),""))</f>
        <v/>
      </c>
      <c r="O9" s="945">
        <f>IF(OR(D9="",NOT(ISNUMBER(M9)),NOT(ISNUMBER(N9))),"",ROUND(M9*N9,1))</f>
        <v/>
      </c>
    </row>
    <row r="10" ht="38" customHeight="1" s="1025">
      <c r="A10" s="944">
        <f>IF(C10="","",IFERROR(INDEX(SOWStoryTable[需求名称],MATCH(C10,SOWStoryTable[故事名称],0)),"来源未匹配"))</f>
        <v/>
      </c>
      <c r="B10" s="944">
        <f>IF(C10="","",IFERROR(INDEX(SOWStoryTable[子需求名称],MATCH(C10,SOWStoryTable[故事名称],0)),"来源未匹配"))</f>
        <v/>
      </c>
      <c r="C10" s="1060" t="inlineStr">
        <is>
          <t>计算并追溯会员等级</t>
        </is>
      </c>
      <c r="D10" s="1060" t="inlineStr">
        <is>
          <t>调整既有会员主数据模型的等级计算服务</t>
        </is>
      </c>
      <c r="E10" s="1060" t="inlineStr">
        <is>
          <t>业务服务与接口</t>
        </is>
      </c>
      <c r="F10" s="945">
        <f>IF(E10="","",IFERROR(INDEX(BaseUnitCatalogTable[任务族名称],MATCH(E10,BaseUnitCatalogTable[基础单元名称],0)),""))</f>
        <v/>
      </c>
      <c r="G10" s="1061" t="inlineStr">
        <is>
          <t>调整</t>
        </is>
      </c>
      <c r="H10" s="1060" t="inlineStr">
        <is>
          <t>基于既有会员主数据模型新增等级试算、生效和查询操作。</t>
        </is>
      </c>
      <c r="I10" s="1061" t="inlineStr">
        <is>
          <t>M</t>
        </is>
      </c>
      <c r="J10" s="1060" t="inlineStr"/>
      <c r="K10" s="1060" t="inlineStr">
        <is>
          <t>既有会员主数据模型</t>
        </is>
      </c>
      <c r="L10" s="1060" t="inlineStr">
        <is>
          <t>一组围绕等级规则生效的紧密相关业务操作。</t>
        </is>
      </c>
      <c r="M10" s="945">
        <f>IF(OR(D10="",E10="",G10=""),"",IFERROR(IF(G10="新建",INDEX(BaseUnitCatalogTable[新建M档人天],MATCH(E10,BaseUnitCatalogTable[基础单元名称],0)),IF(G10="调整",INDEX(BaseUnitCatalogTable[调整M档人天],MATCH(E10,BaseUnitCatalogTable[基础单元名称],0)),IF(G10="接入复用",INDEX(BaseUnitCatalogTable[接入复用M档人天],MATCH(E10,BaseUnitCatalogTable[基础单元名称],0)),""))),""))</f>
        <v/>
      </c>
      <c r="N10" s="945">
        <f>IF(OR(D10="",I10=""),"",IFERROR(INDEX(ProjectParameterTable[值],MATCH("K_COMPLEXITY_"&amp;I10,ProjectParameterTable[参数代码],0)),""))</f>
        <v/>
      </c>
      <c r="O10" s="945">
        <f>IF(OR(D10="",NOT(ISNUMBER(M10)),NOT(ISNUMBER(N10))),"",ROUND(M10*N10,1))</f>
        <v/>
      </c>
    </row>
    <row r="11" ht="38" customHeight="1" s="1025">
      <c r="A11" s="944">
        <f>IF(C11="","",IFERROR(INDEX(SOWStoryTable[需求名称],MATCH(C11,SOWStoryTable[故事名称],0)),"来源未匹配"))</f>
        <v/>
      </c>
      <c r="B11" s="944">
        <f>IF(C11="","",IFERROR(INDEX(SOWStoryTable[子需求名称],MATCH(C11,SOWStoryTable[故事名称],0)),"来源未匹配"))</f>
        <v/>
      </c>
      <c r="C11" s="1060" t="inlineStr">
        <is>
          <t>计算并追溯会员等级</t>
        </is>
      </c>
      <c r="D11" s="1060" t="inlineStr">
        <is>
          <t>调整既有会员主数据模型的等级历史</t>
        </is>
      </c>
      <c r="E11" s="1060" t="inlineStr">
        <is>
          <t>数据模型与存储结构</t>
        </is>
      </c>
      <c r="F11" s="945">
        <f>IF(E11="","",IFERROR(INDEX(BaseUnitCatalogTable[任务族名称],MATCH(E11,BaseUnitCatalogTable[基础单元名称],0)),""))</f>
        <v/>
      </c>
      <c r="G11" s="1061" t="inlineStr">
        <is>
          <t>调整</t>
        </is>
      </c>
      <c r="H11" s="1060" t="inlineStr">
        <is>
          <t>扩展既有会员主数据模型，增加规则版本、生效区间和等级变更历史。</t>
        </is>
      </c>
      <c r="I11" s="1061" t="inlineStr">
        <is>
          <t>S</t>
        </is>
      </c>
      <c r="J11" s="1060" t="inlineStr">
        <is>
          <t>新增两张关系清晰的历史表和唯一性约束，不涉及分区或跨库事务。</t>
        </is>
      </c>
      <c r="K11" s="1060" t="inlineStr">
        <is>
          <t>既有会员主数据模型</t>
        </is>
      </c>
      <c r="L11" s="1060" t="inlineStr">
        <is>
          <t>一个会员等级数据模型实例。</t>
        </is>
      </c>
      <c r="M11" s="945">
        <f>IF(OR(D11="",E11="",G11=""),"",IFERROR(IF(G11="新建",INDEX(BaseUnitCatalogTable[新建M档人天],MATCH(E11,BaseUnitCatalogTable[基础单元名称],0)),IF(G11="调整",INDEX(BaseUnitCatalogTable[调整M档人天],MATCH(E11,BaseUnitCatalogTable[基础单元名称],0)),IF(G11="接入复用",INDEX(BaseUnitCatalogTable[接入复用M档人天],MATCH(E11,BaseUnitCatalogTable[基础单元名称],0)),""))),""))</f>
        <v/>
      </c>
      <c r="N11" s="945">
        <f>IF(OR(D11="",I11=""),"",IFERROR(INDEX(ProjectParameterTable[值],MATCH("K_COMPLEXITY_"&amp;I11,ProjectParameterTable[参数代码],0)),""))</f>
        <v/>
      </c>
      <c r="O11" s="945">
        <f>IF(OR(D11="",NOT(ISNUMBER(M11)),NOT(ISNUMBER(N11))),"",ROUND(M11*N11,1))</f>
        <v/>
      </c>
    </row>
    <row r="12" ht="38" customHeight="1" s="1025">
      <c r="A12" s="944">
        <f>IF(C12="","",IFERROR(INDEX(SOWStoryTable[需求名称],MATCH(C12,SOWStoryTable[故事名称],0)),"来源未匹配"))</f>
        <v/>
      </c>
      <c r="B12" s="944">
        <f>IF(C12="","",IFERROR(INDEX(SOWStoryTable[子需求名称],MATCH(C12,SOWStoryTable[故事名称],0)),"来源未匹配"))</f>
        <v/>
      </c>
      <c r="C12" s="1060" t="inlineStr">
        <is>
          <t>统一创建全渠道订单</t>
        </is>
      </c>
      <c r="D12" s="1060" t="inlineStr">
        <is>
          <t>新建全渠道订单创建交互</t>
        </is>
      </c>
      <c r="E12" s="1060" t="inlineStr">
        <is>
          <t>界面与交互</t>
        </is>
      </c>
      <c r="F12" s="945">
        <f>IF(E12="","",IFERROR(INDEX(BaseUnitCatalogTable[任务族名称],MATCH(E12,BaseUnitCatalogTable[基础单元名称],0)),""))</f>
        <v/>
      </c>
      <c r="G12" s="1061" t="inlineStr">
        <is>
          <t>新建</t>
        </is>
      </c>
      <c r="H12" s="1060" t="inlineStr">
        <is>
          <t>新增门店与线上共用的价格、权益和履约方式校验交互。</t>
        </is>
      </c>
      <c r="I12" s="1061" t="inlineStr">
        <is>
          <t>M</t>
        </is>
      </c>
      <c r="J12" s="1060" t="inlineStr"/>
      <c r="K12" s="1060" t="inlineStr"/>
      <c r="L12" s="1060" t="inlineStr">
        <is>
          <t>一个订单创建主流程界面实例，包含统一校验和错误反馈。</t>
        </is>
      </c>
      <c r="M12" s="945">
        <f>IF(OR(D12="",E12="",G12=""),"",IFERROR(IF(G12="新建",INDEX(BaseUnitCatalogTable[新建M档人天],MATCH(E12,BaseUnitCatalogTable[基础单元名称],0)),IF(G12="调整",INDEX(BaseUnitCatalogTable[调整M档人天],MATCH(E12,BaseUnitCatalogTable[基础单元名称],0)),IF(G12="接入复用",INDEX(BaseUnitCatalogTable[接入复用M档人天],MATCH(E12,BaseUnitCatalogTable[基础单元名称],0)),""))),""))</f>
        <v/>
      </c>
      <c r="N12" s="945">
        <f>IF(OR(D12="",I12=""),"",IFERROR(INDEX(ProjectParameterTable[值],MATCH("K_COMPLEXITY_"&amp;I12,ProjectParameterTable[参数代码],0)),""))</f>
        <v/>
      </c>
      <c r="O12" s="945">
        <f>IF(OR(D12="",NOT(ISNUMBER(M12)),NOT(ISNUMBER(N12))),"",ROUND(M12*N12,1))</f>
        <v/>
      </c>
    </row>
    <row r="13" ht="38" customHeight="1" s="1025">
      <c r="A13" s="944">
        <f>IF(C13="","",IFERROR(INDEX(SOWStoryTable[需求名称],MATCH(C13,SOWStoryTable[故事名称],0)),"来源未匹配"))</f>
        <v/>
      </c>
      <c r="B13" s="944">
        <f>IF(C13="","",IFERROR(INDEX(SOWStoryTable[子需求名称],MATCH(C13,SOWStoryTable[故事名称],0)),"来源未匹配"))</f>
        <v/>
      </c>
      <c r="C13" s="1060" t="inlineStr">
        <is>
          <t>统一创建全渠道订单</t>
        </is>
      </c>
      <c r="D13" s="1060" t="inlineStr">
        <is>
          <t>新建全渠道订单创建服务</t>
        </is>
      </c>
      <c r="E13" s="1060" t="inlineStr">
        <is>
          <t>业务服务与接口</t>
        </is>
      </c>
      <c r="F13" s="945">
        <f>IF(E13="","",IFERROR(INDEX(BaseUnitCatalogTable[任务族名称],MATCH(E13,BaseUnitCatalogTable[基础单元名称],0)),""))</f>
        <v/>
      </c>
      <c r="G13" s="1061" t="inlineStr">
        <is>
          <t>新建</t>
        </is>
      </c>
      <c r="H13" s="1060" t="inlineStr">
        <is>
          <t>新增跨渠道订单创建、价格快照、权益核验和幂等控制。</t>
        </is>
      </c>
      <c r="I13" s="1061" t="inlineStr">
        <is>
          <t>L</t>
        </is>
      </c>
      <c r="J13" s="1060" t="inlineStr">
        <is>
          <t>涉及门店与线上两类渠道、四项业务校验、跨域价格权益快照和并发幂等。</t>
        </is>
      </c>
      <c r="K13" s="1060" t="inlineStr"/>
      <c r="L13" s="1060" t="inlineStr">
        <is>
          <t>一个全渠道订单创建服务实例。</t>
        </is>
      </c>
      <c r="M13" s="945">
        <f>IF(OR(D13="",E13="",G13=""),"",IFERROR(IF(G13="新建",INDEX(BaseUnitCatalogTable[新建M档人天],MATCH(E13,BaseUnitCatalogTable[基础单元名称],0)),IF(G13="调整",INDEX(BaseUnitCatalogTable[调整M档人天],MATCH(E13,BaseUnitCatalogTable[基础单元名称],0)),IF(G13="接入复用",INDEX(BaseUnitCatalogTable[接入复用M档人天],MATCH(E13,BaseUnitCatalogTable[基础单元名称],0)),""))),""))</f>
        <v/>
      </c>
      <c r="N13" s="945">
        <f>IF(OR(D13="",I13=""),"",IFERROR(INDEX(ProjectParameterTable[值],MATCH("K_COMPLEXITY_"&amp;I13,ProjectParameterTable[参数代码],0)),""))</f>
        <v/>
      </c>
      <c r="O13" s="945">
        <f>IF(OR(D13="",NOT(ISNUMBER(M13)),NOT(ISNUMBER(N13))),"",ROUND(M13*N13,1))</f>
        <v/>
      </c>
    </row>
    <row r="14" ht="38" customHeight="1" s="1025">
      <c r="A14" s="944">
        <f>IF(C14="","",IFERROR(INDEX(SOWStoryTable[需求名称],MATCH(C14,SOWStoryTable[故事名称],0)),"来源未匹配"))</f>
        <v/>
      </c>
      <c r="B14" s="944">
        <f>IF(C14="","",IFERROR(INDEX(SOWStoryTable[子需求名称],MATCH(C14,SOWStoryTable[故事名称],0)),"来源未匹配"))</f>
        <v/>
      </c>
      <c r="C14" s="1060" t="inlineStr">
        <is>
          <t>驱动订单状态与事件</t>
        </is>
      </c>
      <c r="D14" s="1060" t="inlineStr">
        <is>
          <t>调整既有订单服务与状态机</t>
        </is>
      </c>
      <c r="E14" s="1060" t="inlineStr">
        <is>
          <t>业务服务与接口</t>
        </is>
      </c>
      <c r="F14" s="945">
        <f>IF(E14="","",IFERROR(INDEX(BaseUnitCatalogTable[任务族名称],MATCH(E14,BaseUnitCatalogTable[基础单元名称],0)),""))</f>
        <v/>
      </c>
      <c r="G14" s="1061" t="inlineStr">
        <is>
          <t>调整</t>
        </is>
      </c>
      <c r="H14" s="1060" t="inlineStr">
        <is>
          <t>扩展既有订单服务与状态机，增加门店接单、退货、退款和开票状态。</t>
        </is>
      </c>
      <c r="I14" s="1061" t="inlineStr">
        <is>
          <t>M</t>
        </is>
      </c>
      <c r="J14" s="1060" t="inlineStr"/>
      <c r="K14" s="1060" t="inlineStr">
        <is>
          <t>既有订单服务与状态机</t>
        </is>
      </c>
      <c r="L14" s="1060" t="inlineStr">
        <is>
          <t>一个订单状态机调整实例，包含新增状态、命令和合法迁移。</t>
        </is>
      </c>
      <c r="M14" s="945">
        <f>IF(OR(D14="",E14="",G14=""),"",IFERROR(IF(G14="新建",INDEX(BaseUnitCatalogTable[新建M档人天],MATCH(E14,BaseUnitCatalogTable[基础单元名称],0)),IF(G14="调整",INDEX(BaseUnitCatalogTable[调整M档人天],MATCH(E14,BaseUnitCatalogTable[基础单元名称],0)),IF(G14="接入复用",INDEX(BaseUnitCatalogTable[接入复用M档人天],MATCH(E14,BaseUnitCatalogTable[基础单元名称],0)),""))),""))</f>
        <v/>
      </c>
      <c r="N14" s="945">
        <f>IF(OR(D14="",I14=""),"",IFERROR(INDEX(ProjectParameterTable[值],MATCH("K_COMPLEXITY_"&amp;I14,ProjectParameterTable[参数代码],0)),""))</f>
        <v/>
      </c>
      <c r="O14" s="945">
        <f>IF(OR(D14="",NOT(ISNUMBER(M14)),NOT(ISNUMBER(N14))),"",ROUND(M14*N14,1))</f>
        <v/>
      </c>
    </row>
    <row r="15" ht="38" customHeight="1" s="1025">
      <c r="A15" s="944">
        <f>IF(C15="","",IFERROR(INDEX(SOWStoryTable[需求名称],MATCH(C15,SOWStoryTable[故事名称],0)),"来源未匹配"))</f>
        <v/>
      </c>
      <c r="B15" s="944">
        <f>IF(C15="","",IFERROR(INDEX(SOWStoryTable[子需求名称],MATCH(C15,SOWStoryTable[故事名称],0)),"来源未匹配"))</f>
        <v/>
      </c>
      <c r="C15" s="1060" t="inlineStr">
        <is>
          <t>驱动订单状态与事件</t>
        </is>
      </c>
      <c r="D15" s="1060" t="inlineStr">
        <is>
          <t>新建订单状态事件处理</t>
        </is>
      </c>
      <c r="E15" s="1060" t="inlineStr">
        <is>
          <t>事件与消息处理</t>
        </is>
      </c>
      <c r="F15" s="945">
        <f>IF(E15="","",IFERROR(INDEX(BaseUnitCatalogTable[任务族名称],MATCH(E15,BaseUnitCatalogTable[基础单元名称],0)),""))</f>
        <v/>
      </c>
      <c r="G15" s="1061" t="inlineStr">
        <is>
          <t>新建</t>
        </is>
      </c>
      <c r="H15" s="1060" t="inlineStr">
        <is>
          <t>新增带事件编号、业务键和重放保护的订单状态事件。</t>
        </is>
      </c>
      <c r="I15" s="1061" t="inlineStr">
        <is>
          <t>L</t>
        </is>
      </c>
      <c r="J15" s="1060" t="inlineStr">
        <is>
          <t>覆盖九类状态事件、顺序保证、重复消费和失败重放，并被多个下游订阅。</t>
        </is>
      </c>
      <c r="K15" s="1060" t="inlineStr"/>
      <c r="L15" s="1060" t="inlineStr">
        <is>
          <t>一个订单状态事件主题及其生产消费处理实例。</t>
        </is>
      </c>
      <c r="M15" s="945">
        <f>IF(OR(D15="",E15="",G15=""),"",IFERROR(IF(G15="新建",INDEX(BaseUnitCatalogTable[新建M档人天],MATCH(E15,BaseUnitCatalogTable[基础单元名称],0)),IF(G15="调整",INDEX(BaseUnitCatalogTable[调整M档人天],MATCH(E15,BaseUnitCatalogTable[基础单元名称],0)),IF(G15="接入复用",INDEX(BaseUnitCatalogTable[接入复用M档人天],MATCH(E15,BaseUnitCatalogTable[基础单元名称],0)),""))),""))</f>
        <v/>
      </c>
      <c r="N15" s="945">
        <f>IF(OR(D15="",I15=""),"",IFERROR(INDEX(ProjectParameterTable[值],MATCH("K_COMPLEXITY_"&amp;I15,ProjectParameterTable[参数代码],0)),""))</f>
        <v/>
      </c>
      <c r="O15" s="945">
        <f>IF(OR(D15="",NOT(ISNUMBER(M15)),NOT(ISNUMBER(N15))),"",ROUND(M15*N15,1))</f>
        <v/>
      </c>
    </row>
    <row r="16" ht="38" customHeight="1" s="1025">
      <c r="A16" s="944">
        <f>IF(C16="","",IFERROR(INDEX(SOWStoryTable[需求名称],MATCH(C16,SOWStoryTable[故事名称],0)),"来源未匹配"))</f>
        <v/>
      </c>
      <c r="B16" s="944">
        <f>IF(C16="","",IFERROR(INDEX(SOWStoryTable[子需求名称],MATCH(C16,SOWStoryTable[故事名称],0)),"来源未匹配"))</f>
        <v/>
      </c>
      <c r="C16" s="1060" t="inlineStr">
        <is>
          <t>预占和释放 ERP 库存</t>
        </is>
      </c>
      <c r="D16" s="1060" t="inlineStr">
        <is>
          <t>接入既有 ERP 库存接口</t>
        </is>
      </c>
      <c r="E16" s="1060" t="inlineStr">
        <is>
          <t>内部系统对接</t>
        </is>
      </c>
      <c r="F16" s="945">
        <f>IF(E16="","",IFERROR(INDEX(BaseUnitCatalogTable[任务族名称],MATCH(E16,BaseUnitCatalogTable[基础单元名称],0)),""))</f>
        <v/>
      </c>
      <c r="G16" s="1061" t="inlineStr">
        <is>
          <t>接入复用</t>
        </is>
      </c>
      <c r="H16" s="1060" t="inlineStr">
        <is>
          <t>既有 ERP 库存接口保持不变；本项目负责并交付：映射、适配、认证、专项验证。</t>
        </is>
      </c>
      <c r="I16" s="1061" t="inlineStr">
        <is>
          <t>M</t>
        </is>
      </c>
      <c r="J16" s="1060" t="inlineStr"/>
      <c r="K16" s="1060" t="inlineStr">
        <is>
          <t>既有 ERP 库存接口</t>
        </is>
      </c>
      <c r="L16" s="1060" t="inlineStr">
        <is>
          <t>实现一个已登记的内部 ERP 库存集成，SIT 人天由集成表公式另计。</t>
        </is>
      </c>
      <c r="M16" s="945">
        <f>IF(OR(D16="",E16="",G16=""),"",IFERROR(IF(G16="新建",INDEX(BaseUnitCatalogTable[新建M档人天],MATCH(E16,BaseUnitCatalogTable[基础单元名称],0)),IF(G16="调整",INDEX(BaseUnitCatalogTable[调整M档人天],MATCH(E16,BaseUnitCatalogTable[基础单元名称],0)),IF(G16="接入复用",INDEX(BaseUnitCatalogTable[接入复用M档人天],MATCH(E16,BaseUnitCatalogTable[基础单元名称],0)),""))),""))</f>
        <v/>
      </c>
      <c r="N16" s="945">
        <f>IF(OR(D16="",I16=""),"",IFERROR(INDEX(ProjectParameterTable[值],MATCH("K_COMPLEXITY_"&amp;I16,ProjectParameterTable[参数代码],0)),""))</f>
        <v/>
      </c>
      <c r="O16" s="945">
        <f>IF(OR(D16="",NOT(ISNUMBER(M16)),NOT(ISNUMBER(N16))),"",ROUND(M16*N16,1))</f>
        <v/>
      </c>
    </row>
    <row r="17" ht="38" customHeight="1" s="1025">
      <c r="A17" s="944">
        <f>IF(C17="","",IFERROR(INDEX(SOWStoryTable[需求名称],MATCH(C17,SOWStoryTable[故事名称],0)),"来源未匹配"))</f>
        <v/>
      </c>
      <c r="B17" s="944">
        <f>IF(C17="","",IFERROR(INDEX(SOWStoryTable[子需求名称],MATCH(C17,SOWStoryTable[故事名称],0)),"来源未匹配"))</f>
        <v/>
      </c>
      <c r="C17" s="1060" t="inlineStr">
        <is>
          <t>预占和释放 ERP 库存</t>
        </is>
      </c>
      <c r="D17" s="1060" t="inlineStr">
        <is>
          <t>验证库存预占幂等与补偿</t>
        </is>
      </c>
      <c r="E17" s="1060" t="inlineStr">
        <is>
          <t>人工测试</t>
        </is>
      </c>
      <c r="F17" s="945">
        <f>IF(E17="","",IFERROR(INDEX(BaseUnitCatalogTable[任务族名称],MATCH(E17,BaseUnitCatalogTable[基础单元名称],0)),""))</f>
        <v/>
      </c>
      <c r="G17" s="1061" t="inlineStr">
        <is>
          <t>新建</t>
        </is>
      </c>
      <c r="H17" s="1060" t="inlineStr">
        <is>
          <t>新增 ERP 超时、重试、重复请求和释放失败的人工验证场景。</t>
        </is>
      </c>
      <c r="I17" s="1061" t="inlineStr">
        <is>
          <t>S</t>
        </is>
      </c>
      <c r="J17" s="1060" t="inlineStr">
        <is>
          <t>集中验证四个已定义异常场景，数据准备简单且无需跨设备矩阵。</t>
        </is>
      </c>
      <c r="K17" s="1060" t="inlineStr"/>
      <c r="L17" s="1060" t="inlineStr">
        <is>
          <t>一个库存集成专项人工测试实例，不替代集成支持 SIT 公式。</t>
        </is>
      </c>
      <c r="M17" s="945">
        <f>IF(OR(D17="",E17="",G17=""),"",IFERROR(IF(G17="新建",INDEX(BaseUnitCatalogTable[新建M档人天],MATCH(E17,BaseUnitCatalogTable[基础单元名称],0)),IF(G17="调整",INDEX(BaseUnitCatalogTable[调整M档人天],MATCH(E17,BaseUnitCatalogTable[基础单元名称],0)),IF(G17="接入复用",INDEX(BaseUnitCatalogTable[接入复用M档人天],MATCH(E17,BaseUnitCatalogTable[基础单元名称],0)),""))),""))</f>
        <v/>
      </c>
      <c r="N17" s="945">
        <f>IF(OR(D17="",I17=""),"",IFERROR(INDEX(ProjectParameterTable[值],MATCH("K_COMPLEXITY_"&amp;I17,ProjectParameterTable[参数代码],0)),""))</f>
        <v/>
      </c>
      <c r="O17" s="945">
        <f>IF(OR(D17="",NOT(ISNUMBER(M17)),NOT(ISNUMBER(N17))),"",ROUND(M17*N17,1))</f>
        <v/>
      </c>
    </row>
    <row r="18" ht="38" customHeight="1" s="1025">
      <c r="A18" s="944">
        <f>IF(C18="","",IFERROR(INDEX(SOWStoryTable[需求名称],MATCH(C18,SOWStoryTable[故事名称],0)),"来源未匹配"))</f>
        <v/>
      </c>
      <c r="B18" s="944">
        <f>IF(C18="","",IFERROR(INDEX(SOWStoryTable[子需求名称],MATCH(C18,SOWStoryTable[故事名称],0)),"来源未匹配"))</f>
        <v/>
      </c>
      <c r="C18" s="1060" t="inlineStr">
        <is>
          <t>提交并审核退货申请</t>
        </is>
      </c>
      <c r="D18" s="1060" t="inlineStr">
        <is>
          <t>新建退货申请与审核交互</t>
        </is>
      </c>
      <c r="E18" s="1060" t="inlineStr">
        <is>
          <t>界面与交互</t>
        </is>
      </c>
      <c r="F18" s="945">
        <f>IF(E18="","",IFERROR(INDEX(BaseUnitCatalogTable[任务族名称],MATCH(E18,BaseUnitCatalogTable[基础单元名称],0)),""))</f>
        <v/>
      </c>
      <c r="G18" s="1061" t="inlineStr">
        <is>
          <t>新建</t>
        </is>
      </c>
      <c r="H18" s="1060" t="inlineStr">
        <is>
          <t>新增门店和客服使用的退货明细、可退校验和审核反馈。</t>
        </is>
      </c>
      <c r="I18" s="1061" t="inlineStr">
        <is>
          <t>M</t>
        </is>
      </c>
      <c r="J18" s="1060" t="inlineStr"/>
      <c r="K18" s="1060" t="inlineStr"/>
      <c r="L18" s="1060" t="inlineStr">
        <is>
          <t>一个退货申请与审核主流程界面实例。</t>
        </is>
      </c>
      <c r="M18" s="945">
        <f>IF(OR(D18="",E18="",G18=""),"",IFERROR(IF(G18="新建",INDEX(BaseUnitCatalogTable[新建M档人天],MATCH(E18,BaseUnitCatalogTable[基础单元名称],0)),IF(G18="调整",INDEX(BaseUnitCatalogTable[调整M档人天],MATCH(E18,BaseUnitCatalogTable[基础单元名称],0)),IF(G18="接入复用",INDEX(BaseUnitCatalogTable[接入复用M档人天],MATCH(E18,BaseUnitCatalogTable[基础单元名称],0)),""))),""))</f>
        <v/>
      </c>
      <c r="N18" s="945">
        <f>IF(OR(D18="",I18=""),"",IFERROR(INDEX(ProjectParameterTable[值],MATCH("K_COMPLEXITY_"&amp;I18,ProjectParameterTable[参数代码],0)),""))</f>
        <v/>
      </c>
      <c r="O18" s="945">
        <f>IF(OR(D18="",NOT(ISNUMBER(M18)),NOT(ISNUMBER(N18))),"",ROUND(M18*N18,1))</f>
        <v/>
      </c>
    </row>
    <row r="19" ht="38" customHeight="1" s="1025">
      <c r="A19" s="944">
        <f>IF(C19="","",IFERROR(INDEX(SOWStoryTable[需求名称],MATCH(C19,SOWStoryTable[故事名称],0)),"来源未匹配"))</f>
        <v/>
      </c>
      <c r="B19" s="944">
        <f>IF(C19="","",IFERROR(INDEX(SOWStoryTable[子需求名称],MATCH(C19,SOWStoryTable[故事名称],0)),"来源未匹配"))</f>
        <v/>
      </c>
      <c r="C19" s="1060" t="inlineStr">
        <is>
          <t>提交并审核退货申请</t>
        </is>
      </c>
      <c r="D19" s="1060" t="inlineStr">
        <is>
          <t>调整既有订单服务与状态机的退货规则</t>
        </is>
      </c>
      <c r="E19" s="1060" t="inlineStr">
        <is>
          <t>业务服务与接口</t>
        </is>
      </c>
      <c r="F19" s="945">
        <f>IF(E19="","",IFERROR(INDEX(BaseUnitCatalogTable[任务族名称],MATCH(E19,BaseUnitCatalogTable[基础单元名称],0)),""))</f>
        <v/>
      </c>
      <c r="G19" s="1061" t="inlineStr">
        <is>
          <t>调整</t>
        </is>
      </c>
      <c r="H19" s="1060" t="inlineStr">
        <is>
          <t>在既有订单服务与状态机中增加可退数量、退货审核和退货单状态。</t>
        </is>
      </c>
      <c r="I19" s="1061" t="inlineStr">
        <is>
          <t>M</t>
        </is>
      </c>
      <c r="J19" s="1060" t="inlineStr"/>
      <c r="K19" s="1060" t="inlineStr">
        <is>
          <t>既有订单服务与状态机</t>
        </is>
      </c>
      <c r="L19" s="1060" t="inlineStr">
        <is>
          <t>一个退货领域服务调整实例。</t>
        </is>
      </c>
      <c r="M19" s="945">
        <f>IF(OR(D19="",E19="",G19=""),"",IFERROR(IF(G19="新建",INDEX(BaseUnitCatalogTable[新建M档人天],MATCH(E19,BaseUnitCatalogTable[基础单元名称],0)),IF(G19="调整",INDEX(BaseUnitCatalogTable[调整M档人天],MATCH(E19,BaseUnitCatalogTable[基础单元名称],0)),IF(G19="接入复用",INDEX(BaseUnitCatalogTable[接入复用M档人天],MATCH(E19,BaseUnitCatalogTable[基础单元名称],0)),""))),""))</f>
        <v/>
      </c>
      <c r="N19" s="945">
        <f>IF(OR(D19="",I19=""),"",IFERROR(INDEX(ProjectParameterTable[值],MATCH("K_COMPLEXITY_"&amp;I19,ProjectParameterTable[参数代码],0)),""))</f>
        <v/>
      </c>
      <c r="O19" s="945">
        <f>IF(OR(D19="",NOT(ISNUMBER(M19)),NOT(ISNUMBER(N19))),"",ROUND(M19*N19,1))</f>
        <v/>
      </c>
    </row>
    <row r="20" ht="38" customHeight="1" s="1025">
      <c r="A20" s="944">
        <f>IF(C20="","",IFERROR(INDEX(SOWStoryTable[需求名称],MATCH(C20,SOWStoryTable[故事名称],0)),"来源未匹配"))</f>
        <v/>
      </c>
      <c r="B20" s="944">
        <f>IF(C20="","",IFERROR(INDEX(SOWStoryTable[子需求名称],MATCH(C20,SOWStoryTable[故事名称],0)),"来源未匹配"))</f>
        <v/>
      </c>
      <c r="C20" s="1060" t="inlineStr">
        <is>
          <t>发起退款并回写结果</t>
        </is>
      </c>
      <c r="D20" s="1060" t="inlineStr">
        <is>
          <t>接入既有支付网关租户</t>
        </is>
      </c>
      <c r="E20" s="1060" t="inlineStr">
        <is>
          <t>外部系统对接</t>
        </is>
      </c>
      <c r="F20" s="945">
        <f>IF(E20="","",IFERROR(INDEX(BaseUnitCatalogTable[任务族名称],MATCH(E20,BaseUnitCatalogTable[基础单元名称],0)),""))</f>
        <v/>
      </c>
      <c r="G20" s="1061" t="inlineStr">
        <is>
          <t>接入复用</t>
        </is>
      </c>
      <c r="H20" s="1060" t="inlineStr">
        <is>
          <t>既有支付网关租户保持不变；本项目负责并交付：配置、映射、适配、认证、专项验证。</t>
        </is>
      </c>
      <c r="I20" s="1061" t="inlineStr">
        <is>
          <t>L</t>
        </is>
      </c>
      <c r="J20" s="1060" t="inlineStr">
        <is>
          <t>涉及外部认证、同步申请与异步回调、金额幂等、供应商错误码和认证窗口。</t>
        </is>
      </c>
      <c r="K20" s="1060" t="inlineStr">
        <is>
          <t>既有支付网关租户</t>
        </is>
      </c>
      <c r="L20" s="1060" t="inlineStr">
        <is>
          <t>实现一个已登记的外部支付退款集成，外部支持成本在集成表单列展示。</t>
        </is>
      </c>
      <c r="M20" s="945">
        <f>IF(OR(D20="",E20="",G20=""),"",IFERROR(IF(G20="新建",INDEX(BaseUnitCatalogTable[新建M档人天],MATCH(E20,BaseUnitCatalogTable[基础单元名称],0)),IF(G20="调整",INDEX(BaseUnitCatalogTable[调整M档人天],MATCH(E20,BaseUnitCatalogTable[基础单元名称],0)),IF(G20="接入复用",INDEX(BaseUnitCatalogTable[接入复用M档人天],MATCH(E20,BaseUnitCatalogTable[基础单元名称],0)),""))),""))</f>
        <v/>
      </c>
      <c r="N20" s="945">
        <f>IF(OR(D20="",I20=""),"",IFERROR(INDEX(ProjectParameterTable[值],MATCH("K_COMPLEXITY_"&amp;I20,ProjectParameterTable[参数代码],0)),""))</f>
        <v/>
      </c>
      <c r="O20" s="945">
        <f>IF(OR(D20="",NOT(ISNUMBER(M20)),NOT(ISNUMBER(N20))),"",ROUND(M20*N20,1))</f>
        <v/>
      </c>
    </row>
    <row r="21" ht="38" customHeight="1" s="1025">
      <c r="A21" s="944">
        <f>IF(C21="","",IFERROR(INDEX(SOWStoryTable[需求名称],MATCH(C21,SOWStoryTable[故事名称],0)),"来源未匹配"))</f>
        <v/>
      </c>
      <c r="B21" s="944">
        <f>IF(C21="","",IFERROR(INDEX(SOWStoryTable[子需求名称],MATCH(C21,SOWStoryTable[故事名称],0)),"来源未匹配"))</f>
        <v/>
      </c>
      <c r="C21" s="1060" t="inlineStr">
        <is>
          <t>发起退款并回写结果</t>
        </is>
      </c>
      <c r="D21" s="1060" t="inlineStr">
        <is>
          <t>验证退款签名与隐私保护</t>
        </is>
      </c>
      <c r="E21" s="1060" t="inlineStr">
        <is>
          <t>安全与隐私测试</t>
        </is>
      </c>
      <c r="F21" s="945">
        <f>IF(E21="","",IFERROR(INDEX(BaseUnitCatalogTable[任务族名称],MATCH(E21,BaseUnitCatalogTable[基础单元名称],0)),""))</f>
        <v/>
      </c>
      <c r="G21" s="1061" t="inlineStr">
        <is>
          <t>新建</t>
        </is>
      </c>
      <c r="H21" s="1060" t="inlineStr">
        <is>
          <t>新增退款回调签名、重放攻击、敏感字段和越权场景验证。</t>
        </is>
      </c>
      <c r="I21" s="1061" t="inlineStr">
        <is>
          <t>M</t>
        </is>
      </c>
      <c r="J21" s="1060" t="inlineStr"/>
      <c r="K21" s="1060" t="inlineStr"/>
      <c r="L21" s="1060" t="inlineStr">
        <is>
          <t>一个退款链路安全与隐私测试实例。</t>
        </is>
      </c>
      <c r="M21" s="945">
        <f>IF(OR(D21="",E21="",G21=""),"",IFERROR(IF(G21="新建",INDEX(BaseUnitCatalogTable[新建M档人天],MATCH(E21,BaseUnitCatalogTable[基础单元名称],0)),IF(G21="调整",INDEX(BaseUnitCatalogTable[调整M档人天],MATCH(E21,BaseUnitCatalogTable[基础单元名称],0)),IF(G21="接入复用",INDEX(BaseUnitCatalogTable[接入复用M档人天],MATCH(E21,BaseUnitCatalogTable[基础单元名称],0)),""))),""))</f>
        <v/>
      </c>
      <c r="N21" s="945">
        <f>IF(OR(D21="",I21=""),"",IFERROR(INDEX(ProjectParameterTable[值],MATCH("K_COMPLEXITY_"&amp;I21,ProjectParameterTable[参数代码],0)),""))</f>
        <v/>
      </c>
      <c r="O21" s="945">
        <f>IF(OR(D21="",NOT(ISNUMBER(M21)),NOT(ISNUMBER(N21))),"",ROUND(M21*N21,1))</f>
        <v/>
      </c>
    </row>
    <row r="22" ht="38" customHeight="1" s="1025">
      <c r="A22" s="944">
        <f>IF(C22="","",IFERROR(INDEX(SOWStoryTable[需求名称],MATCH(C22,SOWStoryTable[故事名称],0)),"来源未匹配"))</f>
        <v/>
      </c>
      <c r="B22" s="944">
        <f>IF(C22="","",IFERROR(INDEX(SOWStoryTable[子需求名称],MATCH(C22,SOWStoryTable[故事名称],0)),"来源未匹配"))</f>
        <v/>
      </c>
      <c r="C22" s="1060" t="inlineStr">
        <is>
          <t>门店处理订单与交接</t>
        </is>
      </c>
      <c r="D22" s="1060" t="inlineStr">
        <is>
          <t>新建门店订单队列与交接界面</t>
        </is>
      </c>
      <c r="E22" s="1060" t="inlineStr">
        <is>
          <t>界面与交互</t>
        </is>
      </c>
      <c r="F22" s="945">
        <f>IF(E22="","",IFERROR(INDEX(BaseUnitCatalogTable[任务族名称],MATCH(E22,BaseUnitCatalogTable[基础单元名称],0)),""))</f>
        <v/>
      </c>
      <c r="G22" s="1061" t="inlineStr">
        <is>
          <t>新建</t>
        </is>
      </c>
      <c r="H22" s="1060" t="inlineStr">
        <is>
          <t>新增门店待处理队列、缺货替代、备注和班次交接交互。</t>
        </is>
      </c>
      <c r="I22" s="1061" t="inlineStr">
        <is>
          <t>M</t>
        </is>
      </c>
      <c r="J22" s="1060" t="inlineStr"/>
      <c r="K22" s="1060" t="inlineStr"/>
      <c r="L22" s="1060" t="inlineStr">
        <is>
          <t>一个门店接单工作台主界面实例。</t>
        </is>
      </c>
      <c r="M22" s="945">
        <f>IF(OR(D22="",E22="",G22=""),"",IFERROR(IF(G22="新建",INDEX(BaseUnitCatalogTable[新建M档人天],MATCH(E22,BaseUnitCatalogTable[基础单元名称],0)),IF(G22="调整",INDEX(BaseUnitCatalogTable[调整M档人天],MATCH(E22,BaseUnitCatalogTable[基础单元名称],0)),IF(G22="接入复用",INDEX(BaseUnitCatalogTable[接入复用M档人天],MATCH(E22,BaseUnitCatalogTable[基础单元名称],0)),""))),""))</f>
        <v/>
      </c>
      <c r="N22" s="945">
        <f>IF(OR(D22="",I22=""),"",IFERROR(INDEX(ProjectParameterTable[值],MATCH("K_COMPLEXITY_"&amp;I22,ProjectParameterTable[参数代码],0)),""))</f>
        <v/>
      </c>
      <c r="O22" s="945">
        <f>IF(OR(D22="",NOT(ISNUMBER(M22)),NOT(ISNUMBER(N22))),"",ROUND(M22*N22,1))</f>
        <v/>
      </c>
    </row>
    <row r="23" ht="38" customHeight="1" s="1025">
      <c r="A23" s="944">
        <f>IF(C23="","",IFERROR(INDEX(SOWStoryTable[需求名称],MATCH(C23,SOWStoryTable[故事名称],0)),"来源未匹配"))</f>
        <v/>
      </c>
      <c r="B23" s="944">
        <f>IF(C23="","",IFERROR(INDEX(SOWStoryTable[子需求名称],MATCH(C23,SOWStoryTable[故事名称],0)),"来源未匹配"))</f>
        <v/>
      </c>
      <c r="C23" s="1060" t="inlineStr">
        <is>
          <t>门店处理订单与交接</t>
        </is>
      </c>
      <c r="D23" s="1060" t="inlineStr">
        <is>
          <t>新建门店接单与交接服务</t>
        </is>
      </c>
      <c r="E23" s="1060" t="inlineStr">
        <is>
          <t>业务服务与接口</t>
        </is>
      </c>
      <c r="F23" s="945">
        <f>IF(E23="","",IFERROR(INDEX(BaseUnitCatalogTable[任务族名称],MATCH(E23,BaseUnitCatalogTable[基础单元名称],0)),""))</f>
        <v/>
      </c>
      <c r="G23" s="1061" t="inlineStr">
        <is>
          <t>新建</t>
        </is>
      </c>
      <c r="H23" s="1060" t="inlineStr">
        <is>
          <t>交付一期顺延的门店接单、缺货替代、权限校验和交接操作。</t>
        </is>
      </c>
      <c r="I23" s="1061" t="inlineStr">
        <is>
          <t>L</t>
        </is>
      </c>
      <c r="J23" s="1060" t="inlineStr">
        <is>
          <t>涉及门店数据隔离、并发抢单、缺货替代和跨班次交接四类复杂规则。</t>
        </is>
      </c>
      <c r="K23" s="1060" t="inlineStr"/>
      <c r="L23" s="1060" t="inlineStr">
        <is>
          <t>一个门店接单领域服务实例。</t>
        </is>
      </c>
      <c r="M23" s="945">
        <f>IF(OR(D23="",E23="",G23=""),"",IFERROR(IF(G23="新建",INDEX(BaseUnitCatalogTable[新建M档人天],MATCH(E23,BaseUnitCatalogTable[基础单元名称],0)),IF(G23="调整",INDEX(BaseUnitCatalogTable[调整M档人天],MATCH(E23,BaseUnitCatalogTable[基础单元名称],0)),IF(G23="接入复用",INDEX(BaseUnitCatalogTable[接入复用M档人天],MATCH(E23,BaseUnitCatalogTable[基础单元名称],0)),""))),""))</f>
        <v/>
      </c>
      <c r="N23" s="945">
        <f>IF(OR(D23="",I23=""),"",IFERROR(INDEX(ProjectParameterTable[值],MATCH("K_COMPLEXITY_"&amp;I23,ProjectParameterTable[参数代码],0)),""))</f>
        <v/>
      </c>
      <c r="O23" s="945">
        <f>IF(OR(D23="",NOT(ISNUMBER(M23)),NOT(ISNUMBER(N23))),"",ROUND(M23*N23,1))</f>
        <v/>
      </c>
    </row>
    <row r="24" ht="38" customHeight="1" s="1025">
      <c r="A24" s="944">
        <f>IF(C24="","",IFERROR(INDEX(SOWStoryTable[需求名称],MATCH(C24,SOWStoryTable[故事名称],0)),"来源未匹配"))</f>
        <v/>
      </c>
      <c r="B24" s="944">
        <f>IF(C24="","",IFERROR(INDEX(SOWStoryTable[子需求名称],MATCH(C24,SOWStoryTable[故事名称],0)),"来源未匹配"))</f>
        <v/>
      </c>
      <c r="C24" s="1060" t="inlineStr">
        <is>
          <t>查看统一履约轨迹</t>
        </is>
      </c>
      <c r="D24" s="1060" t="inlineStr">
        <is>
          <t>新建统一订单履约轨迹</t>
        </is>
      </c>
      <c r="E24" s="1060" t="inlineStr">
        <is>
          <t>界面与交互</t>
        </is>
      </c>
      <c r="F24" s="945">
        <f>IF(E24="","",IFERROR(INDEX(BaseUnitCatalogTable[任务族名称],MATCH(E24,BaseUnitCatalogTable[基础单元名称],0)),""))</f>
        <v/>
      </c>
      <c r="G24" s="1061" t="inlineStr">
        <is>
          <t>新建</t>
        </is>
      </c>
      <c r="H24" s="1060" t="inlineStr">
        <is>
          <t>新增顾客与客服共用的状态、履约节点和异常原因时间轴。</t>
        </is>
      </c>
      <c r="I24" s="1061" t="inlineStr">
        <is>
          <t>S</t>
        </is>
      </c>
      <c r="J24" s="1060" t="inlineStr">
        <is>
          <t>单一只读时间轴，复用现有列表组件且无复杂编辑状态。</t>
        </is>
      </c>
      <c r="K24" s="1060" t="inlineStr"/>
      <c r="L24" s="1060" t="inlineStr">
        <is>
          <t>一个订单履约轨迹界面实例。</t>
        </is>
      </c>
      <c r="M24" s="945">
        <f>IF(OR(D24="",E24="",G24=""),"",IFERROR(IF(G24="新建",INDEX(BaseUnitCatalogTable[新建M档人天],MATCH(E24,BaseUnitCatalogTable[基础单元名称],0)),IF(G24="调整",INDEX(BaseUnitCatalogTable[调整M档人天],MATCH(E24,BaseUnitCatalogTable[基础单元名称],0)),IF(G24="接入复用",INDEX(BaseUnitCatalogTable[接入复用M档人天],MATCH(E24,BaseUnitCatalogTable[基础单元名称],0)),""))),""))</f>
        <v/>
      </c>
      <c r="N24" s="945">
        <f>IF(OR(D24="",I24=""),"",IFERROR(INDEX(ProjectParameterTable[值],MATCH("K_COMPLEXITY_"&amp;I24,ProjectParameterTable[参数代码],0)),""))</f>
        <v/>
      </c>
      <c r="O24" s="945">
        <f>IF(OR(D24="",NOT(ISNUMBER(M24)),NOT(ISNUMBER(N24))),"",ROUND(M24*N24,1))</f>
        <v/>
      </c>
    </row>
    <row r="25" ht="38" customHeight="1" s="1025">
      <c r="A25" s="944">
        <f>IF(C25="","",IFERROR(INDEX(SOWStoryTable[需求名称],MATCH(C25,SOWStoryTable[故事名称],0)),"来源未匹配"))</f>
        <v/>
      </c>
      <c r="B25" s="944">
        <f>IF(C25="","",IFERROR(INDEX(SOWStoryTable[子需求名称],MATCH(C25,SOWStoryTable[故事名称],0)),"来源未匹配"))</f>
        <v/>
      </c>
      <c r="C25" s="1060" t="inlineStr">
        <is>
          <t>查看统一履约轨迹</t>
        </is>
      </c>
      <c r="D25" s="1060" t="inlineStr">
        <is>
          <t>新建履约轨迹事件投影</t>
        </is>
      </c>
      <c r="E25" s="1060" t="inlineStr">
        <is>
          <t>事件与消息处理</t>
        </is>
      </c>
      <c r="F25" s="945">
        <f>IF(E25="","",IFERROR(INDEX(BaseUnitCatalogTable[任务族名称],MATCH(E25,BaseUnitCatalogTable[基础单元名称],0)),""))</f>
        <v/>
      </c>
      <c r="G25" s="1061" t="inlineStr">
        <is>
          <t>新建</t>
        </is>
      </c>
      <c r="H25" s="1060" t="inlineStr">
        <is>
          <t>新增订单状态事件到渠道可读轨迹的投影与延迟补偿。</t>
        </is>
      </c>
      <c r="I25" s="1061" t="inlineStr">
        <is>
          <t>M</t>
        </is>
      </c>
      <c r="J25" s="1060" t="inlineStr"/>
      <c r="K25" s="1060" t="inlineStr"/>
      <c r="L25" s="1060" t="inlineStr">
        <is>
          <t>一个履约轨迹事件消费和投影实例。</t>
        </is>
      </c>
      <c r="M25" s="945">
        <f>IF(OR(D25="",E25="",G25=""),"",IFERROR(IF(G25="新建",INDEX(BaseUnitCatalogTable[新建M档人天],MATCH(E25,BaseUnitCatalogTable[基础单元名称],0)),IF(G25="调整",INDEX(BaseUnitCatalogTable[调整M档人天],MATCH(E25,BaseUnitCatalogTable[基础单元名称],0)),IF(G25="接入复用",INDEX(BaseUnitCatalogTable[接入复用M档人天],MATCH(E25,BaseUnitCatalogTable[基础单元名称],0)),""))),""))</f>
        <v/>
      </c>
      <c r="N25" s="945">
        <f>IF(OR(D25="",I25=""),"",IFERROR(INDEX(ProjectParameterTable[值],MATCH("K_COMPLEXITY_"&amp;I25,ProjectParameterTable[参数代码],0)),""))</f>
        <v/>
      </c>
      <c r="O25" s="945">
        <f>IF(OR(D25="",NOT(ISNUMBER(M25)),NOT(ISNUMBER(N25))),"",ROUND(M25*N25,1))</f>
        <v/>
      </c>
    </row>
    <row r="26" ht="38" customHeight="1" s="1025">
      <c r="A26" s="944">
        <f>IF(C26="","",IFERROR(INDEX(SOWStoryTable[需求名称],MATCH(C26,SOWStoryTable[故事名称],0)),"来源未匹配"))</f>
        <v/>
      </c>
      <c r="B26" s="944">
        <f>IF(C26="","",IFERROR(INDEX(SOWStoryTable[子需求名称],MATCH(C26,SOWStoryTable[故事名称],0)),"来源未匹配"))</f>
        <v/>
      </c>
      <c r="C26" s="1060" t="inlineStr">
        <is>
          <t>执行支付退款日结对账</t>
        </is>
      </c>
      <c r="D26" s="1060" t="inlineStr">
        <is>
          <t>新建支付退款日结作业</t>
        </is>
      </c>
      <c r="E26" s="1060" t="inlineStr">
        <is>
          <t>后台任务</t>
        </is>
      </c>
      <c r="F26" s="945">
        <f>IF(E26="","",IFERROR(INDEX(BaseUnitCatalogTable[任务族名称],MATCH(E26,BaseUnitCatalogTable[基础单元名称],0)),""))</f>
        <v/>
      </c>
      <c r="G26" s="1061" t="inlineStr">
        <is>
          <t>新建</t>
        </is>
      </c>
      <c r="H26" s="1060" t="inlineStr">
        <is>
          <t>新增每日交易归集、手续费计算、差异识别和失败重跑作业。</t>
        </is>
      </c>
      <c r="I26" s="1061" t="inlineStr">
        <is>
          <t>M</t>
        </is>
      </c>
      <c r="J26" s="1060" t="inlineStr"/>
      <c r="K26" s="1060" t="inlineStr"/>
      <c r="L26" s="1060" t="inlineStr">
        <is>
          <t>一个按自然日调度的支付对账后台作业实例。</t>
        </is>
      </c>
      <c r="M26" s="945">
        <f>IF(OR(D26="",E26="",G26=""),"",IFERROR(IF(G26="新建",INDEX(BaseUnitCatalogTable[新建M档人天],MATCH(E26,BaseUnitCatalogTable[基础单元名称],0)),IF(G26="调整",INDEX(BaseUnitCatalogTable[调整M档人天],MATCH(E26,BaseUnitCatalogTable[基础单元名称],0)),IF(G26="接入复用",INDEX(BaseUnitCatalogTable[接入复用M档人天],MATCH(E26,BaseUnitCatalogTable[基础单元名称],0)),""))),""))</f>
        <v/>
      </c>
      <c r="N26" s="945">
        <f>IF(OR(D26="",I26=""),"",IFERROR(INDEX(ProjectParameterTable[值],MATCH("K_COMPLEXITY_"&amp;I26,ProjectParameterTable[参数代码],0)),""))</f>
        <v/>
      </c>
      <c r="O26" s="945">
        <f>IF(OR(D26="",NOT(ISNUMBER(M26)),NOT(ISNUMBER(N26))),"",ROUND(M26*N26,1))</f>
        <v/>
      </c>
    </row>
    <row r="27" ht="38" customHeight="1" s="1025">
      <c r="A27" s="944">
        <f>IF(C27="","",IFERROR(INDEX(SOWStoryTable[需求名称],MATCH(C27,SOWStoryTable[故事名称],0)),"来源未匹配"))</f>
        <v/>
      </c>
      <c r="B27" s="944">
        <f>IF(C27="","",IFERROR(INDEX(SOWStoryTable[子需求名称],MATCH(C27,SOWStoryTable[故事名称],0)),"来源未匹配"))</f>
        <v/>
      </c>
      <c r="C27" s="1060" t="inlineStr">
        <is>
          <t>执行支付退款日结对账</t>
        </is>
      </c>
      <c r="D27" s="1060" t="inlineStr">
        <is>
          <t>新建支付差异复核视图</t>
        </is>
      </c>
      <c r="E27" s="1060" t="inlineStr">
        <is>
          <t>报表与指标</t>
        </is>
      </c>
      <c r="F27" s="945">
        <f>IF(E27="","",IFERROR(INDEX(BaseUnitCatalogTable[任务族名称],MATCH(E27,BaseUnitCatalogTable[基础单元名称],0)),""))</f>
        <v/>
      </c>
      <c r="G27" s="1061" t="inlineStr">
        <is>
          <t>新建</t>
        </is>
      </c>
      <c r="H27" s="1060" t="inlineStr">
        <is>
          <t>新增按渠道、门店和订单查看实收、退款与手续费差异的财务视图。</t>
        </is>
      </c>
      <c r="I27" s="1061" t="inlineStr">
        <is>
          <t>M</t>
        </is>
      </c>
      <c r="J27" s="1060" t="inlineStr"/>
      <c r="K27" s="1060" t="inlineStr"/>
      <c r="L27" s="1060" t="inlineStr">
        <is>
          <t>一个支付日结差异报表实例。</t>
        </is>
      </c>
      <c r="M27" s="945">
        <f>IF(OR(D27="",E27="",G27=""),"",IFERROR(IF(G27="新建",INDEX(BaseUnitCatalogTable[新建M档人天],MATCH(E27,BaseUnitCatalogTable[基础单元名称],0)),IF(G27="调整",INDEX(BaseUnitCatalogTable[调整M档人天],MATCH(E27,BaseUnitCatalogTable[基础单元名称],0)),IF(G27="接入复用",INDEX(BaseUnitCatalogTable[接入复用M档人天],MATCH(E27,BaseUnitCatalogTable[基础单元名称],0)),""))),""))</f>
        <v/>
      </c>
      <c r="N27" s="945">
        <f>IF(OR(D27="",I27=""),"",IFERROR(INDEX(ProjectParameterTable[值],MATCH("K_COMPLEXITY_"&amp;I27,ProjectParameterTable[参数代码],0)),""))</f>
        <v/>
      </c>
      <c r="O27" s="945">
        <f>IF(OR(D27="",NOT(ISNUMBER(M27)),NOT(ISNUMBER(N27))),"",ROUND(M27*N27,1))</f>
        <v/>
      </c>
    </row>
    <row r="28" ht="38" customHeight="1" s="1025">
      <c r="A28" s="944">
        <f>IF(C28="","",IFERROR(INDEX(SOWStoryTable[需求名称],MATCH(C28,SOWStoryTable[故事名称],0)),"来源未匹配"))</f>
        <v/>
      </c>
      <c r="B28" s="944">
        <f>IF(C28="","",IFERROR(INDEX(SOWStoryTable[子需求名称],MATCH(C28,SOWStoryTable[故事名称],0)),"来源未匹配"))</f>
        <v/>
      </c>
      <c r="C28" s="1060" t="inlineStr">
        <is>
          <t>申请并追踪电子发票</t>
        </is>
      </c>
      <c r="D28" s="1060" t="inlineStr">
        <is>
          <t>接入既有电子发票通道</t>
        </is>
      </c>
      <c r="E28" s="1060" t="inlineStr">
        <is>
          <t>外部系统对接</t>
        </is>
      </c>
      <c r="F28" s="945">
        <f>IF(E28="","",IFERROR(INDEX(BaseUnitCatalogTable[任务族名称],MATCH(E28,BaseUnitCatalogTable[基础单元名称],0)),""))</f>
        <v/>
      </c>
      <c r="G28" s="1061" t="inlineStr">
        <is>
          <t>接入复用</t>
        </is>
      </c>
      <c r="H28" s="1060" t="inlineStr">
        <is>
          <t>既有电子发票通道保持不变；本项目负责并交付：配置、映射、适配、认证、租户设置、专项验证。</t>
        </is>
      </c>
      <c r="I28" s="1061" t="inlineStr">
        <is>
          <t>M</t>
        </is>
      </c>
      <c r="J28" s="1060" t="inlineStr"/>
      <c r="K28" s="1060" t="inlineStr">
        <is>
          <t>既有电子发票通道</t>
        </is>
      </c>
      <c r="L28" s="1060" t="inlineStr">
        <is>
          <t>实现一个已登记的外部电子发票集成，并单列外部支持成本。</t>
        </is>
      </c>
      <c r="M28" s="945">
        <f>IF(OR(D28="",E28="",G28=""),"",IFERROR(IF(G28="新建",INDEX(BaseUnitCatalogTable[新建M档人天],MATCH(E28,BaseUnitCatalogTable[基础单元名称],0)),IF(G28="调整",INDEX(BaseUnitCatalogTable[调整M档人天],MATCH(E28,BaseUnitCatalogTable[基础单元名称],0)),IF(G28="接入复用",INDEX(BaseUnitCatalogTable[接入复用M档人天],MATCH(E28,BaseUnitCatalogTable[基础单元名称],0)),""))),""))</f>
        <v/>
      </c>
      <c r="N28" s="945">
        <f>IF(OR(D28="",I28=""),"",IFERROR(INDEX(ProjectParameterTable[值],MATCH("K_COMPLEXITY_"&amp;I28,ProjectParameterTable[参数代码],0)),""))</f>
        <v/>
      </c>
      <c r="O28" s="945">
        <f>IF(OR(D28="",NOT(ISNUMBER(M28)),NOT(ISNUMBER(N28))),"",ROUND(M28*N28,1))</f>
        <v/>
      </c>
    </row>
    <row r="29" ht="38" customHeight="1" s="1025">
      <c r="A29" s="944">
        <f>IF(C29="","",IFERROR(INDEX(SOWStoryTable[需求名称],MATCH(C29,SOWStoryTable[故事名称],0)),"来源未匹配"))</f>
        <v/>
      </c>
      <c r="B29" s="944">
        <f>IF(C29="","",IFERROR(INDEX(SOWStoryTable[子需求名称],MATCH(C29,SOWStoryTable[故事名称],0)),"来源未匹配"))</f>
        <v/>
      </c>
      <c r="C29" s="1060" t="inlineStr">
        <is>
          <t>申请并追踪电子发票</t>
        </is>
      </c>
      <c r="D29" s="1060" t="inlineStr">
        <is>
          <t>新建发票状态补偿作业</t>
        </is>
      </c>
      <c r="E29" s="1060" t="inlineStr">
        <is>
          <t>后台任务</t>
        </is>
      </c>
      <c r="F29" s="945">
        <f>IF(E29="","",IFERROR(INDEX(BaseUnitCatalogTable[任务族名称],MATCH(E29,BaseUnitCatalogTable[基础单元名称],0)),""))</f>
        <v/>
      </c>
      <c r="G29" s="1061" t="inlineStr">
        <is>
          <t>新建</t>
        </is>
      </c>
      <c r="H29" s="1060" t="inlineStr">
        <is>
          <t>新增开票状态轮询、失败重试、重复申请拦截和结果回写作业。</t>
        </is>
      </c>
      <c r="I29" s="1061" t="inlineStr">
        <is>
          <t>M</t>
        </is>
      </c>
      <c r="J29" s="1060" t="inlineStr"/>
      <c r="K29" s="1060" t="inlineStr"/>
      <c r="L29" s="1060" t="inlineStr">
        <is>
          <t>一个电子发票状态补偿后台作业实例。</t>
        </is>
      </c>
      <c r="M29" s="945">
        <f>IF(OR(D29="",E29="",G29=""),"",IFERROR(IF(G29="新建",INDEX(BaseUnitCatalogTable[新建M档人天],MATCH(E29,BaseUnitCatalogTable[基础单元名称],0)),IF(G29="调整",INDEX(BaseUnitCatalogTable[调整M档人天],MATCH(E29,BaseUnitCatalogTable[基础单元名称],0)),IF(G29="接入复用",INDEX(BaseUnitCatalogTable[接入复用M档人天],MATCH(E29,BaseUnitCatalogTable[基础单元名称],0)),""))),""))</f>
        <v/>
      </c>
      <c r="N29" s="945">
        <f>IF(OR(D29="",I29=""),"",IFERROR(INDEX(ProjectParameterTable[值],MATCH("K_COMPLEXITY_"&amp;I29,ProjectParameterTable[参数代码],0)),""))</f>
        <v/>
      </c>
      <c r="O29" s="945">
        <f>IF(OR(D29="",NOT(ISNUMBER(M29)),NOT(ISNUMBER(N29))),"",ROUND(M29*N29,1))</f>
        <v/>
      </c>
    </row>
    <row r="30" ht="38" customHeight="1" s="1025">
      <c r="A30" s="944">
        <f>IF(C30="","",IFERROR(INDEX(SOWStoryTable[需求名称],MATCH(C30,SOWStoryTable[故事名称],0)),"来源未匹配"))</f>
        <v/>
      </c>
      <c r="B30" s="944">
        <f>IF(C30="","",IFERROR(INDEX(SOWStoryTable[子需求名称],MATCH(C30,SOWStoryTable[故事名称],0)),"来源未匹配"))</f>
        <v/>
      </c>
      <c r="C30" s="1060" t="inlineStr">
        <is>
          <t>查看财务经营日报</t>
        </is>
      </c>
      <c r="D30" s="1060" t="inlineStr">
        <is>
          <t>新建财务经营日报</t>
        </is>
      </c>
      <c r="E30" s="1060" t="inlineStr">
        <is>
          <t>报表与指标</t>
        </is>
      </c>
      <c r="F30" s="945">
        <f>IF(E30="","",IFERROR(INDEX(BaseUnitCatalogTable[任务族名称],MATCH(E30,BaseUnitCatalogTable[基础单元名称],0)),""))</f>
        <v/>
      </c>
      <c r="G30" s="1061" t="inlineStr">
        <is>
          <t>新建</t>
        </is>
      </c>
      <c r="H30" s="1060" t="inlineStr">
        <is>
          <t>新增销售、退款、优惠和未对账金额的多维指标与下钻。</t>
        </is>
      </c>
      <c r="I30" s="1061" t="inlineStr">
        <is>
          <t>L</t>
        </is>
      </c>
      <c r="J30" s="1060" t="inlineStr">
        <is>
          <t>包含四类金额、日期区域渠道三维切片、逐笔下钻和财务口径校验。</t>
        </is>
      </c>
      <c r="K30" s="1060" t="inlineStr"/>
      <c r="L30" s="1060" t="inlineStr">
        <is>
          <t>一个财务经营日报与指标集合实例。</t>
        </is>
      </c>
      <c r="M30" s="945">
        <f>IF(OR(D30="",E30="",G30=""),"",IFERROR(IF(G30="新建",INDEX(BaseUnitCatalogTable[新建M档人天],MATCH(E30,BaseUnitCatalogTable[基础单元名称],0)),IF(G30="调整",INDEX(BaseUnitCatalogTable[调整M档人天],MATCH(E30,BaseUnitCatalogTable[基础单元名称],0)),IF(G30="接入复用",INDEX(BaseUnitCatalogTable[接入复用M档人天],MATCH(E30,BaseUnitCatalogTable[基础单元名称],0)),""))),""))</f>
        <v/>
      </c>
      <c r="N30" s="945">
        <f>IF(OR(D30="",I30=""),"",IFERROR(INDEX(ProjectParameterTable[值],MATCH("K_COMPLEXITY_"&amp;I30,ProjectParameterTable[参数代码],0)),""))</f>
        <v/>
      </c>
      <c r="O30" s="945">
        <f>IF(OR(D30="",NOT(ISNUMBER(M30)),NOT(ISNUMBER(N30))),"",ROUND(M30*N30,1))</f>
        <v/>
      </c>
    </row>
    <row r="31" ht="38" customHeight="1" s="1025">
      <c r="A31" s="944">
        <f>IF(C31="","",IFERROR(INDEX(SOWStoryTable[需求名称],MATCH(C31,SOWStoryTable[故事名称],0)),"来源未匹配"))</f>
        <v/>
      </c>
      <c r="B31" s="944">
        <f>IF(C31="","",IFERROR(INDEX(SOWStoryTable[子需求名称],MATCH(C31,SOWStoryTable[故事名称],0)),"来源未匹配"))</f>
        <v/>
      </c>
      <c r="C31" s="1060" t="inlineStr">
        <is>
          <t>查看财务经营日报</t>
        </is>
      </c>
      <c r="D31" s="1060" t="inlineStr">
        <is>
          <t>新建财务指标处理流程</t>
        </is>
      </c>
      <c r="E31" s="1060" t="inlineStr">
        <is>
          <t>数据处理流程</t>
        </is>
      </c>
      <c r="F31" s="945">
        <f>IF(E31="","",IFERROR(INDEX(BaseUnitCatalogTable[任务族名称],MATCH(E31,BaseUnitCatalogTable[基础单元名称],0)),""))</f>
        <v/>
      </c>
      <c r="G31" s="1061" t="inlineStr">
        <is>
          <t>新建</t>
        </is>
      </c>
      <c r="H31" s="1060" t="inlineStr">
        <is>
          <t>新增订单、支付、退款和发票明细的清洗、关联与日汇总流程。</t>
        </is>
      </c>
      <c r="I31" s="1061" t="inlineStr">
        <is>
          <t>M</t>
        </is>
      </c>
      <c r="J31" s="1060" t="inlineStr"/>
      <c r="K31" s="1060" t="inlineStr"/>
      <c r="L31" s="1060" t="inlineStr">
        <is>
          <t>一个财务指标数据处理流程实例。</t>
        </is>
      </c>
      <c r="M31" s="945">
        <f>IF(OR(D31="",E31="",G31=""),"",IFERROR(IF(G31="新建",INDEX(BaseUnitCatalogTable[新建M档人天],MATCH(E31,BaseUnitCatalogTable[基础单元名称],0)),IF(G31="调整",INDEX(BaseUnitCatalogTable[调整M档人天],MATCH(E31,BaseUnitCatalogTable[基础单元名称],0)),IF(G31="接入复用",INDEX(BaseUnitCatalogTable[接入复用M档人天],MATCH(E31,BaseUnitCatalogTable[基础单元名称],0)),""))),""))</f>
        <v/>
      </c>
      <c r="N31" s="945">
        <f>IF(OR(D31="",I31=""),"",IFERROR(INDEX(ProjectParameterTable[值],MATCH("K_COMPLEXITY_"&amp;I31,ProjectParameterTable[参数代码],0)),""))</f>
        <v/>
      </c>
      <c r="O31" s="945">
        <f>IF(OR(D31="",NOT(ISNUMBER(M31)),NOT(ISNUMBER(N31))),"",ROUND(M31*N31,1))</f>
        <v/>
      </c>
    </row>
    <row r="32" ht="38" customHeight="1" s="1025">
      <c r="A32" s="944">
        <f>IF(C32="","",IFERROR(INDEX(SOWStoryTable[需求名称],MATCH(C32,SOWStoryTable[故事名称],0)),"来源未匹配"))</f>
        <v/>
      </c>
      <c r="B32" s="944">
        <f>IF(C32="","",IFERROR(INDEX(SOWStoryTable[子需求名称],MATCH(C32,SOWStoryTable[故事名称],0)),"来源未匹配"))</f>
        <v/>
      </c>
      <c r="C32" s="1060" t="inlineStr">
        <is>
          <t>准备生产环境和发布流水线</t>
        </is>
      </c>
      <c r="D32" s="1060" t="inlineStr">
        <is>
          <t>调整既有生产环境与发布流水线的运行配置</t>
        </is>
      </c>
      <c r="E32" s="1060" t="inlineStr">
        <is>
          <t>运行环境</t>
        </is>
      </c>
      <c r="F32" s="945">
        <f>IF(E32="","",IFERROR(INDEX(BaseUnitCatalogTable[任务族名称],MATCH(E32,BaseUnitCatalogTable[基础单元名称],0)),""))</f>
        <v/>
      </c>
      <c r="G32" s="1061" t="inlineStr">
        <is>
          <t>调整</t>
        </is>
      </c>
      <c r="H32" s="1060" t="inlineStr">
        <is>
          <t>在既有生产环境与发布流水线中增加会员、订单、批处理和外部证书配置。</t>
        </is>
      </c>
      <c r="I32" s="1061" t="inlineStr">
        <is>
          <t>M</t>
        </is>
      </c>
      <c r="J32" s="1060" t="inlineStr"/>
      <c r="K32" s="1060" t="inlineStr">
        <is>
          <t>既有生产环境与发布流水线</t>
        </is>
      </c>
      <c r="L32" s="1060" t="inlineStr">
        <is>
          <t>一个生产运行环境配置实例。</t>
        </is>
      </c>
      <c r="M32" s="945">
        <f>IF(OR(D32="",E32="",G32=""),"",IFERROR(IF(G32="新建",INDEX(BaseUnitCatalogTable[新建M档人天],MATCH(E32,BaseUnitCatalogTable[基础单元名称],0)),IF(G32="调整",INDEX(BaseUnitCatalogTable[调整M档人天],MATCH(E32,BaseUnitCatalogTable[基础单元名称],0)),IF(G32="接入复用",INDEX(BaseUnitCatalogTable[接入复用M档人天],MATCH(E32,BaseUnitCatalogTable[基础单元名称],0)),""))),""))</f>
        <v/>
      </c>
      <c r="N32" s="945">
        <f>IF(OR(D32="",I32=""),"",IFERROR(INDEX(ProjectParameterTable[值],MATCH("K_COMPLEXITY_"&amp;I32,ProjectParameterTable[参数代码],0)),""))</f>
        <v/>
      </c>
      <c r="O32" s="945">
        <f>IF(OR(D32="",NOT(ISNUMBER(M32)),NOT(ISNUMBER(N32))),"",ROUND(M32*N32,1))</f>
        <v/>
      </c>
    </row>
    <row r="33" ht="38" customHeight="1" s="1025">
      <c r="A33" s="944">
        <f>IF(C33="","",IFERROR(INDEX(SOWStoryTable[需求名称],MATCH(C33,SOWStoryTable[故事名称],0)),"来源未匹配"))</f>
        <v/>
      </c>
      <c r="B33" s="944">
        <f>IF(C33="","",IFERROR(INDEX(SOWStoryTable[子需求名称],MATCH(C33,SOWStoryTable[故事名称],0)),"来源未匹配"))</f>
        <v/>
      </c>
      <c r="C33" s="1060" t="inlineStr">
        <is>
          <t>准备生产环境和发布流水线</t>
        </is>
      </c>
      <c r="D33" s="1060" t="inlineStr">
        <is>
          <t>调整既有生产环境与发布流水线的部署步骤</t>
        </is>
      </c>
      <c r="E33" s="1060" t="inlineStr">
        <is>
          <t>构建与部署流水线</t>
        </is>
      </c>
      <c r="F33" s="945">
        <f>IF(E33="","",IFERROR(INDEX(BaseUnitCatalogTable[任务族名称],MATCH(E33,BaseUnitCatalogTable[基础单元名称],0)),""))</f>
        <v/>
      </c>
      <c r="G33" s="1061" t="inlineStr">
        <is>
          <t>调整</t>
        </is>
      </c>
      <c r="H33" s="1060" t="inlineStr">
        <is>
          <t>扩展既有生产环境与发布流水线，增加迁移前检查、分步发布和验证门禁。</t>
        </is>
      </c>
      <c r="I33" s="1061" t="inlineStr">
        <is>
          <t>M</t>
        </is>
      </c>
      <c r="J33" s="1060" t="inlineStr"/>
      <c r="K33" s="1060" t="inlineStr">
        <is>
          <t>既有生产环境与发布流水线</t>
        </is>
      </c>
      <c r="L33" s="1060" t="inlineStr">
        <is>
          <t>一个应用构建与部署流水线调整实例。</t>
        </is>
      </c>
      <c r="M33" s="945">
        <f>IF(OR(D33="",E33="",G33=""),"",IFERROR(IF(G33="新建",INDEX(BaseUnitCatalogTable[新建M档人天],MATCH(E33,BaseUnitCatalogTable[基础单元名称],0)),IF(G33="调整",INDEX(BaseUnitCatalogTable[调整M档人天],MATCH(E33,BaseUnitCatalogTable[基础单元名称],0)),IF(G33="接入复用",INDEX(BaseUnitCatalogTable[接入复用M档人天],MATCH(E33,BaseUnitCatalogTable[基础单元名称],0)),""))),""))</f>
        <v/>
      </c>
      <c r="N33" s="945">
        <f>IF(OR(D33="",I33=""),"",IFERROR(INDEX(ProjectParameterTable[值],MATCH("K_COMPLEXITY_"&amp;I33,ProjectParameterTable[参数代码],0)),""))</f>
        <v/>
      </c>
      <c r="O33" s="945">
        <f>IF(OR(D33="",NOT(ISNUMBER(M33)),NOT(ISNUMBER(N33))),"",ROUND(M33*N33,1))</f>
        <v/>
      </c>
    </row>
    <row r="34" ht="38" customHeight="1" s="1025">
      <c r="A34" s="944">
        <f>IF(C34="","",IFERROR(INDEX(SOWStoryTable[需求名称],MATCH(C34,SOWStoryTable[故事名称],0)),"来源未匹配"))</f>
        <v/>
      </c>
      <c r="B34" s="944">
        <f>IF(C34="","",IFERROR(INDEX(SOWStoryTable[子需求名称],MATCH(C34,SOWStoryTable[故事名称],0)),"来源未匹配"))</f>
        <v/>
      </c>
      <c r="C34" s="1060" t="inlineStr">
        <is>
          <t>准备生产环境和发布流水线</t>
        </is>
      </c>
      <c r="D34" s="1060" t="inlineStr">
        <is>
          <t>调整既有生产环境与发布流水线的功能开关</t>
        </is>
      </c>
      <c r="E34" s="1060" t="inlineStr">
        <is>
          <t>配置与功能开关</t>
        </is>
      </c>
      <c r="F34" s="945">
        <f>IF(E34="","",IFERROR(INDEX(BaseUnitCatalogTable[任务族名称],MATCH(E34,BaseUnitCatalogTable[基础单元名称],0)),""))</f>
        <v/>
      </c>
      <c r="G34" s="1061" t="inlineStr">
        <is>
          <t>调整</t>
        </is>
      </c>
      <c r="H34" s="1060" t="inlineStr">
        <is>
          <t>在既有生产环境与发布流水线中配置渠道切流、退款和开票功能开关。</t>
        </is>
      </c>
      <c r="I34" s="1061" t="inlineStr">
        <is>
          <t>S</t>
        </is>
      </c>
      <c r="J34" s="1060" t="inlineStr">
        <is>
          <t>三个独立布尔开关及默认值，沿用现有配置中心且无复杂灰度算法。</t>
        </is>
      </c>
      <c r="K34" s="1060" t="inlineStr">
        <is>
          <t>既有生产环境与发布流水线</t>
        </is>
      </c>
      <c r="L34" s="1060" t="inlineStr">
        <is>
          <t>一个上线功能开关配置实例。</t>
        </is>
      </c>
      <c r="M34" s="945">
        <f>IF(OR(D34="",E34="",G34=""),"",IFERROR(IF(G34="新建",INDEX(BaseUnitCatalogTable[新建M档人天],MATCH(E34,BaseUnitCatalogTable[基础单元名称],0)),IF(G34="调整",INDEX(BaseUnitCatalogTable[调整M档人天],MATCH(E34,BaseUnitCatalogTable[基础单元名称],0)),IF(G34="接入复用",INDEX(BaseUnitCatalogTable[接入复用M档人天],MATCH(E34,BaseUnitCatalogTable[基础单元名称],0)),""))),""))</f>
        <v/>
      </c>
      <c r="N34" s="945">
        <f>IF(OR(D34="",I34=""),"",IFERROR(INDEX(ProjectParameterTable[值],MATCH("K_COMPLEXITY_"&amp;I34,ProjectParameterTable[参数代码],0)),""))</f>
        <v/>
      </c>
      <c r="O34" s="945">
        <f>IF(OR(D34="",NOT(ISNUMBER(M34)),NOT(ISNUMBER(N34))),"",ROUND(M34*N34,1))</f>
        <v/>
      </c>
    </row>
    <row r="35" ht="38" customHeight="1" s="1025">
      <c r="A35" s="944">
        <f>IF(C35="","",IFERROR(INDEX(SOWStoryTable[需求名称],MATCH(C35,SOWStoryTable[故事名称],0)),"来源未匹配"))</f>
        <v/>
      </c>
      <c r="B35" s="944">
        <f>IF(C35="","",IFERROR(INDEX(SOWStoryTable[子需求名称],MATCH(C35,SOWStoryTable[故事名称],0)),"来源未匹配"))</f>
        <v/>
      </c>
      <c r="C35" s="1060" t="inlineStr">
        <is>
          <t>执行生产切换与回滚演练</t>
        </is>
      </c>
      <c r="D35" s="1060" t="inlineStr">
        <is>
          <t>执行生产切换与回滚</t>
        </is>
      </c>
      <c r="E35" s="1060" t="inlineStr">
        <is>
          <t>发布切换</t>
        </is>
      </c>
      <c r="F35" s="945">
        <f>IF(E35="","",IFERROR(INDEX(BaseUnitCatalogTable[任务族名称],MATCH(E35,BaseUnitCatalogTable[基础单元名称],0)),""))</f>
        <v/>
      </c>
      <c r="G35" s="1061" t="inlineStr">
        <is>
          <t>新建</t>
        </is>
      </c>
      <c r="H35" s="1060" t="inlineStr">
        <is>
          <t>基于既有生产环境与发布流水线编制并执行分步切流、检查点和回滚清单。</t>
        </is>
      </c>
      <c r="I35" s="1061" t="inlineStr">
        <is>
          <t>L</t>
        </is>
      </c>
      <c r="J35" s="1060" t="inlineStr">
        <is>
          <t>涉及会员、订单、四个集成链路、迁移窗口、三次继续回滚决策和多团队协同。</t>
        </is>
      </c>
      <c r="K35" s="1060" t="inlineStr">
        <is>
          <t>既有生产环境与发布流水线</t>
        </is>
      </c>
      <c r="L35" s="1060" t="inlineStr">
        <is>
          <t>一个批准上线窗口内的生产发布切换实例。</t>
        </is>
      </c>
      <c r="M35" s="945">
        <f>IF(OR(D35="",E35="",G35=""),"",IFERROR(IF(G35="新建",INDEX(BaseUnitCatalogTable[新建M档人天],MATCH(E35,BaseUnitCatalogTable[基础单元名称],0)),IF(G35="调整",INDEX(BaseUnitCatalogTable[调整M档人天],MATCH(E35,BaseUnitCatalogTable[基础单元名称],0)),IF(G35="接入复用",INDEX(BaseUnitCatalogTable[接入复用M档人天],MATCH(E35,BaseUnitCatalogTable[基础单元名称],0)),""))),""))</f>
        <v/>
      </c>
      <c r="N35" s="945">
        <f>IF(OR(D35="",I35=""),"",IFERROR(INDEX(ProjectParameterTable[值],MATCH("K_COMPLEXITY_"&amp;I35,ProjectParameterTable[参数代码],0)),""))</f>
        <v/>
      </c>
      <c r="O35" s="945">
        <f>IF(OR(D35="",NOT(ISNUMBER(M35)),NOT(ISNUMBER(N35))),"",ROUND(M35*N35,1))</f>
        <v/>
      </c>
    </row>
    <row r="36" ht="38" customHeight="1" s="1025">
      <c r="A36" s="944">
        <f>IF(C36="","",IFERROR(INDEX(SOWStoryTable[需求名称],MATCH(C36,SOWStoryTable[故事名称],0)),"来源未匹配"))</f>
        <v/>
      </c>
      <c r="B36" s="944">
        <f>IF(C36="","",IFERROR(INDEX(SOWStoryTable[子需求名称],MATCH(C36,SOWStoryTable[故事名称],0)),"来源未匹配"))</f>
        <v/>
      </c>
      <c r="C36" s="1060" t="inlineStr">
        <is>
          <t>执行生产切换与回滚演练</t>
        </is>
      </c>
      <c r="D36" s="1060" t="inlineStr">
        <is>
          <t>验证切换与回滚检查清单</t>
        </is>
      </c>
      <c r="E36" s="1060" t="inlineStr">
        <is>
          <t>人工测试</t>
        </is>
      </c>
      <c r="F36" s="945">
        <f>IF(E36="","",IFERROR(INDEX(BaseUnitCatalogTable[任务族名称],MATCH(E36,BaseUnitCatalogTable[基础单元名称],0)),""))</f>
        <v/>
      </c>
      <c r="G36" s="1061" t="inlineStr">
        <is>
          <t>新建</t>
        </is>
      </c>
      <c r="H36" s="1060" t="inlineStr">
        <is>
          <t>新增切换前置条件、检查点、回滚触发器和联系人桌面演练。</t>
        </is>
      </c>
      <c r="I36" s="1061" t="inlineStr">
        <is>
          <t>S</t>
        </is>
      </c>
      <c r="J36" s="1060" t="inlineStr">
        <is>
          <t>一次桌面演练和一套固定清单，不涉及额外环境或大规模数据准备。</t>
        </is>
      </c>
      <c r="K36" s="1060" t="inlineStr"/>
      <c r="L36" s="1060" t="inlineStr">
        <is>
          <t>一个切换回滚清单验证实例。</t>
        </is>
      </c>
      <c r="M36" s="945">
        <f>IF(OR(D36="",E36="",G36=""),"",IFERROR(IF(G36="新建",INDEX(BaseUnitCatalogTable[新建M档人天],MATCH(E36,BaseUnitCatalogTable[基础单元名称],0)),IF(G36="调整",INDEX(BaseUnitCatalogTable[调整M档人天],MATCH(E36,BaseUnitCatalogTable[基础单元名称],0)),IF(G36="接入复用",INDEX(BaseUnitCatalogTable[接入复用M档人天],MATCH(E36,BaseUnitCatalogTable[基础单元名称],0)),""))),""))</f>
        <v/>
      </c>
      <c r="N36" s="945">
        <f>IF(OR(D36="",I36=""),"",IFERROR(INDEX(ProjectParameterTable[值],MATCH("K_COMPLEXITY_"&amp;I36,ProjectParameterTable[参数代码],0)),""))</f>
        <v/>
      </c>
      <c r="O36" s="945">
        <f>IF(OR(D36="",NOT(ISNUMBER(M36)),NOT(ISNUMBER(N36))),"",ROUND(M36*N36,1))</f>
        <v/>
      </c>
    </row>
    <row r="37" ht="38" customHeight="1" s="1025">
      <c r="A37" s="944">
        <f>IF(C37="","",IFERROR(INDEX(SOWStoryTable[需求名称],MATCH(C37,SOWStoryTable[故事名称],0)),"来源未匹配"))</f>
        <v/>
      </c>
      <c r="B37" s="944">
        <f>IF(C37="","",IFERROR(INDEX(SOWStoryTable[子需求名称],MATCH(C37,SOWStoryTable[故事名称],0)),"来源未匹配"))</f>
        <v/>
      </c>
      <c r="C37" s="1060" t="inlineStr">
        <is>
          <t>完成生产烟测与业务确认</t>
        </is>
      </c>
      <c r="D37" s="1060" t="inlineStr">
        <is>
          <t>执行核心查询性能验证</t>
        </is>
      </c>
      <c r="E37" s="1060" t="inlineStr">
        <is>
          <t>性能与容量测试</t>
        </is>
      </c>
      <c r="F37" s="945">
        <f>IF(E37="","",IFERROR(INDEX(BaseUnitCatalogTable[任务族名称],MATCH(E37,BaseUnitCatalogTable[基础单元名称],0)),""))</f>
        <v/>
      </c>
      <c r="G37" s="1061" t="inlineStr">
        <is>
          <t>新建</t>
        </is>
      </c>
      <c r="H37" s="1060" t="inlineStr">
        <is>
          <t>新增档案查询、订单创建和轨迹查询的峰值负载与稳定性验证。</t>
        </is>
      </c>
      <c r="I37" s="1061" t="inlineStr">
        <is>
          <t>L</t>
        </is>
      </c>
      <c r="J37" s="1060" t="inlineStr">
        <is>
          <t>三条核心链路、500 TPS 峰值、两小时稳定性和容量拐点分析需要多轮调优。</t>
        </is>
      </c>
      <c r="K37" s="1060" t="inlineStr"/>
      <c r="L37" s="1060" t="inlineStr">
        <is>
          <t>一个生产前性能与容量测试实例。</t>
        </is>
      </c>
      <c r="M37" s="945">
        <f>IF(OR(D37="",E37="",G37=""),"",IFERROR(IF(G37="新建",INDEX(BaseUnitCatalogTable[新建M档人天],MATCH(E37,BaseUnitCatalogTable[基础单元名称],0)),IF(G37="调整",INDEX(BaseUnitCatalogTable[调整M档人天],MATCH(E37,BaseUnitCatalogTable[基础单元名称],0)),IF(G37="接入复用",INDEX(BaseUnitCatalogTable[接入复用M档人天],MATCH(E37,BaseUnitCatalogTable[基础单元名称],0)),""))),""))</f>
        <v/>
      </c>
      <c r="N37" s="945">
        <f>IF(OR(D37="",I37=""),"",IFERROR(INDEX(ProjectParameterTable[值],MATCH("K_COMPLEXITY_"&amp;I37,ProjectParameterTable[参数代码],0)),""))</f>
        <v/>
      </c>
      <c r="O37" s="945">
        <f>IF(OR(D37="",NOT(ISNUMBER(M37)),NOT(ISNUMBER(N37))),"",ROUND(M37*N37,1))</f>
        <v/>
      </c>
    </row>
    <row r="38" ht="38" customHeight="1" s="1025">
      <c r="A38" s="944">
        <f>IF(C38="","",IFERROR(INDEX(SOWStoryTable[需求名称],MATCH(C38,SOWStoryTable[故事名称],0)),"来源未匹配"))</f>
        <v/>
      </c>
      <c r="B38" s="944">
        <f>IF(C38="","",IFERROR(INDEX(SOWStoryTable[子需求名称],MATCH(C38,SOWStoryTable[故事名称],0)),"来源未匹配"))</f>
        <v/>
      </c>
      <c r="C38" s="1060" t="inlineStr">
        <is>
          <t>完成生产烟测与业务确认</t>
        </is>
      </c>
      <c r="D38" s="1060" t="inlineStr">
        <is>
          <t>执行生产权限与证书验证</t>
        </is>
      </c>
      <c r="E38" s="1060" t="inlineStr">
        <is>
          <t>安全与隐私测试</t>
        </is>
      </c>
      <c r="F38" s="945">
        <f>IF(E38="","",IFERROR(INDEX(BaseUnitCatalogTable[任务族名称],MATCH(E38,BaseUnitCatalogTable[基础单元名称],0)),""))</f>
        <v/>
      </c>
      <c r="G38" s="1061" t="inlineStr">
        <is>
          <t>新建</t>
        </is>
      </c>
      <c r="H38" s="1060" t="inlineStr">
        <is>
          <t>新增生产角色最小权限、外部证书、密钥轮换和敏感字段脱敏检查。</t>
        </is>
      </c>
      <c r="I38" s="1061" t="inlineStr">
        <is>
          <t>M</t>
        </is>
      </c>
      <c r="J38" s="1060" t="inlineStr"/>
      <c r="K38" s="1060" t="inlineStr"/>
      <c r="L38" s="1060" t="inlineStr">
        <is>
          <t>一个生产安全与隐私验证实例。</t>
        </is>
      </c>
      <c r="M38" s="945">
        <f>IF(OR(D38="",E38="",G38=""),"",IFERROR(IF(G38="新建",INDEX(BaseUnitCatalogTable[新建M档人天],MATCH(E38,BaseUnitCatalogTable[基础单元名称],0)),IF(G38="调整",INDEX(BaseUnitCatalogTable[调整M档人天],MATCH(E38,BaseUnitCatalogTable[基础单元名称],0)),IF(G38="接入复用",INDEX(BaseUnitCatalogTable[接入复用M档人天],MATCH(E38,BaseUnitCatalogTable[基础单元名称],0)),""))),""))</f>
        <v/>
      </c>
      <c r="N38" s="945">
        <f>IF(OR(D38="",I38=""),"",IFERROR(INDEX(ProjectParameterTable[值],MATCH("K_COMPLEXITY_"&amp;I38,ProjectParameterTable[参数代码],0)),""))</f>
        <v/>
      </c>
      <c r="O38" s="945">
        <f>IF(OR(D38="",NOT(ISNUMBER(M38)),NOT(ISNUMBER(N38))),"",ROUND(M38*N38,1))</f>
        <v/>
      </c>
    </row>
    <row r="39" ht="38" customHeight="1" s="1025">
      <c r="A39" s="944">
        <f>IF(C39="","",IFERROR(INDEX(SOWStoryTable[需求名称],MATCH(C39,SOWStoryTable[故事名称],0)),"来源未匹配"))</f>
        <v/>
      </c>
      <c r="B39" s="944">
        <f>IF(C39="","",IFERROR(INDEX(SOWStoryTable[子需求名称],MATCH(C39,SOWStoryTable[故事名称],0)),"来源未匹配"))</f>
        <v/>
      </c>
      <c r="C39" s="1060" t="inlineStr">
        <is>
          <t>完成生产烟测与业务确认</t>
        </is>
      </c>
      <c r="D39" s="1060" t="inlineStr">
        <is>
          <t>执行五条生产业务烟测</t>
        </is>
      </c>
      <c r="E39" s="1060" t="inlineStr">
        <is>
          <t>人工测试</t>
        </is>
      </c>
      <c r="F39" s="945">
        <f>IF(E39="","",IFERROR(INDEX(BaseUnitCatalogTable[任务族名称],MATCH(E39,BaseUnitCatalogTable[基础单元名称],0)),""))</f>
        <v/>
      </c>
      <c r="G39" s="1061" t="inlineStr">
        <is>
          <t>新建</t>
        </is>
      </c>
      <c r="H39" s="1060" t="inlineStr">
        <is>
          <t>新增档案、下单、退款、开票和对账五条生产烟测并留存证据。</t>
        </is>
      </c>
      <c r="I39" s="1061" t="inlineStr">
        <is>
          <t>M</t>
        </is>
      </c>
      <c r="J39" s="1060" t="inlineStr"/>
      <c r="K39" s="1060" t="inlineStr"/>
      <c r="L39" s="1060" t="inlineStr">
        <is>
          <t>一个生产关键业务链路烟测实例。</t>
        </is>
      </c>
      <c r="M39" s="945">
        <f>IF(OR(D39="",E39="",G39=""),"",IFERROR(IF(G39="新建",INDEX(BaseUnitCatalogTable[新建M档人天],MATCH(E39,BaseUnitCatalogTable[基础单元名称],0)),IF(G39="调整",INDEX(BaseUnitCatalogTable[调整M档人天],MATCH(E39,BaseUnitCatalogTable[基础单元名称],0)),IF(G39="接入复用",INDEX(BaseUnitCatalogTable[接入复用M档人天],MATCH(E39,BaseUnitCatalogTable[基础单元名称],0)),""))),""))</f>
        <v/>
      </c>
      <c r="N39" s="945">
        <f>IF(OR(D39="",I39=""),"",IFERROR(INDEX(ProjectParameterTable[值],MATCH("K_COMPLEXITY_"&amp;I39,ProjectParameterTable[参数代码],0)),""))</f>
        <v/>
      </c>
      <c r="O39" s="945">
        <f>IF(OR(D39="",NOT(ISNUMBER(M39)),NOT(ISNUMBER(N39))),"",ROUND(M39*N39,1))</f>
        <v/>
      </c>
    </row>
    <row r="40" ht="38" customHeight="1" s="1025">
      <c r="A40" s="944">
        <f>IF(C40="","",IFERROR(INDEX(SOWStoryTable[需求名称],MATCH(C40,SOWStoryTable[故事名称],0)),"来源未匹配"))</f>
        <v/>
      </c>
      <c r="B40" s="944">
        <f>IF(C40="","",IFERROR(INDEX(SOWStoryTable[子需求名称],MATCH(C40,SOWStoryTable[故事名称],0)),"来源未匹配"))</f>
        <v/>
      </c>
      <c r="C40" s="1060" t="inlineStr">
        <is>
          <t>迁移会员与历史订单数据</t>
        </is>
      </c>
      <c r="D40" s="1060" t="inlineStr">
        <is>
          <t>迁移会员与两年历史订单</t>
        </is>
      </c>
      <c r="E40" s="1060" t="inlineStr">
        <is>
          <t>数据迁移</t>
        </is>
      </c>
      <c r="F40" s="945">
        <f>IF(E40="","",IFERROR(INDEX(BaseUnitCatalogTable[任务族名称],MATCH(E40,BaseUnitCatalogTable[基础单元名称],0)),""))</f>
        <v/>
      </c>
      <c r="G40" s="1061" t="inlineStr">
        <is>
          <t>新建</t>
        </is>
      </c>
      <c r="H40" s="1060" t="inlineStr">
        <is>
          <t>从既有会员主数据模型和既有订单服务与状态机抽取数据，执行映射、加载、校验和补偿。</t>
        </is>
      </c>
      <c r="I40" s="1061" t="inlineStr">
        <is>
          <t>L</t>
        </is>
      </c>
      <c r="J40" s="1060" t="inlineStr">
        <is>
          <t>涉及两类源数据、约 1200 万订单行、历史状态映射、增量窗口和失败补偿。</t>
        </is>
      </c>
      <c r="K40" s="1060" t="inlineStr">
        <is>
          <t>既有会员主数据模型</t>
        </is>
      </c>
      <c r="L40" s="1060" t="inlineStr">
        <is>
          <t>一个会员与订单迁移批次方案实例，与发布切换分别估算。</t>
        </is>
      </c>
      <c r="M40" s="945">
        <f>IF(OR(D40="",E40="",G40=""),"",IFERROR(IF(G40="新建",INDEX(BaseUnitCatalogTable[新建M档人天],MATCH(E40,BaseUnitCatalogTable[基础单元名称],0)),IF(G40="调整",INDEX(BaseUnitCatalogTable[调整M档人天],MATCH(E40,BaseUnitCatalogTable[基础单元名称],0)),IF(G40="接入复用",INDEX(BaseUnitCatalogTable[接入复用M档人天],MATCH(E40,BaseUnitCatalogTable[基础单元名称],0)),""))),""))</f>
        <v/>
      </c>
      <c r="N40" s="945">
        <f>IF(OR(D40="",I40=""),"",IFERROR(INDEX(ProjectParameterTable[值],MATCH("K_COMPLEXITY_"&amp;I40,ProjectParameterTable[参数代码],0)),""))</f>
        <v/>
      </c>
      <c r="O40" s="945">
        <f>IF(OR(D40="",NOT(ISNUMBER(M40)),NOT(ISNUMBER(N40))),"",ROUND(M40*N40,1))</f>
        <v/>
      </c>
    </row>
    <row r="41" ht="38" customHeight="1" s="1025">
      <c r="A41" s="944">
        <f>IF(C41="","",IFERROR(INDEX(SOWStoryTable[需求名称],MATCH(C41,SOWStoryTable[故事名称],0)),"来源未匹配"))</f>
        <v/>
      </c>
      <c r="B41" s="944">
        <f>IF(C41="","",IFERROR(INDEX(SOWStoryTable[子需求名称],MATCH(C41,SOWStoryTable[故事名称],0)),"来源未匹配"))</f>
        <v/>
      </c>
      <c r="C41" s="1060" t="inlineStr">
        <is>
          <t>迁移会员与历史订单数据</t>
        </is>
      </c>
      <c r="D41" s="1060" t="inlineStr">
        <is>
          <t>新建迁移抽取转换流程</t>
        </is>
      </c>
      <c r="E41" s="1060" t="inlineStr">
        <is>
          <t>数据处理流程</t>
        </is>
      </c>
      <c r="F41" s="945">
        <f>IF(E41="","",IFERROR(INDEX(BaseUnitCatalogTable[任务族名称],MATCH(E41,BaseUnitCatalogTable[基础单元名称],0)),""))</f>
        <v/>
      </c>
      <c r="G41" s="1061" t="inlineStr">
        <is>
          <t>新建</t>
        </is>
      </c>
      <c r="H41" s="1060" t="inlineStr">
        <is>
          <t>新增全量与增量抽取、字段标准化、状态映射和失败重放流程。</t>
        </is>
      </c>
      <c r="I41" s="1061" t="inlineStr">
        <is>
          <t>L</t>
        </is>
      </c>
      <c r="J41" s="1060" t="inlineStr">
        <is>
          <t>包含全量与增量两条路径、跨版本状态映射、断点续传和可重复执行控制。</t>
        </is>
      </c>
      <c r="K41" s="1060" t="inlineStr"/>
      <c r="L41" s="1060" t="inlineStr">
        <is>
          <t>一个可重复执行的数据迁移处理流程实例。</t>
        </is>
      </c>
      <c r="M41" s="945">
        <f>IF(OR(D41="",E41="",G41=""),"",IFERROR(IF(G41="新建",INDEX(BaseUnitCatalogTable[新建M档人天],MATCH(E41,BaseUnitCatalogTable[基础单元名称],0)),IF(G41="调整",INDEX(BaseUnitCatalogTable[调整M档人天],MATCH(E41,BaseUnitCatalogTable[基础单元名称],0)),IF(G41="接入复用",INDEX(BaseUnitCatalogTable[接入复用M档人天],MATCH(E41,BaseUnitCatalogTable[基础单元名称],0)),""))),""))</f>
        <v/>
      </c>
      <c r="N41" s="945">
        <f>IF(OR(D41="",I41=""),"",IFERROR(INDEX(ProjectParameterTable[值],MATCH("K_COMPLEXITY_"&amp;I41,ProjectParameterTable[参数代码],0)),""))</f>
        <v/>
      </c>
      <c r="O41" s="945">
        <f>IF(OR(D41="",NOT(ISNUMBER(M41)),NOT(ISNUMBER(N41))),"",ROUND(M41*N41,1))</f>
        <v/>
      </c>
    </row>
    <row r="42" ht="38" customHeight="1" s="1025">
      <c r="A42" s="944">
        <f>IF(C42="","",IFERROR(INDEX(SOWStoryTable[需求名称],MATCH(C42,SOWStoryTable[故事名称],0)),"来源未匹配"))</f>
        <v/>
      </c>
      <c r="B42" s="944">
        <f>IF(C42="","",IFERROR(INDEX(SOWStoryTable[子需求名称],MATCH(C42,SOWStoryTable[故事名称],0)),"来源未匹配"))</f>
        <v/>
      </c>
      <c r="C42" s="1060" t="inlineStr">
        <is>
          <t>迁移会员与历史订单数据</t>
        </is>
      </c>
      <c r="D42" s="1060" t="inlineStr">
        <is>
          <t>验证迁移数量与关键字段</t>
        </is>
      </c>
      <c r="E42" s="1060" t="inlineStr">
        <is>
          <t>人工测试</t>
        </is>
      </c>
      <c r="F42" s="945">
        <f>IF(E42="","",IFERROR(INDEX(BaseUnitCatalogTable[任务族名称],MATCH(E42,BaseUnitCatalogTable[基础单元名称],0)),""))</f>
        <v/>
      </c>
      <c r="G42" s="1061" t="inlineStr">
        <is>
          <t>新建</t>
        </is>
      </c>
      <c r="H42" s="1060" t="inlineStr">
        <is>
          <t>新增数量、金额、业务主键、抽样字段和失败补偿核对场景。</t>
        </is>
      </c>
      <c r="I42" s="1061" t="inlineStr">
        <is>
          <t>M</t>
        </is>
      </c>
      <c r="J42" s="1060" t="inlineStr"/>
      <c r="K42" s="1060" t="inlineStr"/>
      <c r="L42" s="1060" t="inlineStr">
        <is>
          <t>一个迁移核对与业务签署测试实例。</t>
        </is>
      </c>
      <c r="M42" s="945">
        <f>IF(OR(D42="",E42="",G42=""),"",IFERROR(IF(G42="新建",INDEX(BaseUnitCatalogTable[新建M档人天],MATCH(E42,BaseUnitCatalogTable[基础单元名称],0)),IF(G42="调整",INDEX(BaseUnitCatalogTable[调整M档人天],MATCH(E42,BaseUnitCatalogTable[基础单元名称],0)),IF(G42="接入复用",INDEX(BaseUnitCatalogTable[接入复用M档人天],MATCH(E42,BaseUnitCatalogTable[基础单元名称],0)),""))),""))</f>
        <v/>
      </c>
      <c r="N42" s="945">
        <f>IF(OR(D42="",I42=""),"",IFERROR(INDEX(ProjectParameterTable[值],MATCH("K_COMPLEXITY_"&amp;I42,ProjectParameterTable[参数代码],0)),""))</f>
        <v/>
      </c>
      <c r="O42" s="945">
        <f>IF(OR(D42="",NOT(ISNUMBER(M42)),NOT(ISNUMBER(N42))),"",ROUND(M42*N42,1))</f>
        <v/>
      </c>
    </row>
    <row r="43" ht="38" customHeight="1" s="1025">
      <c r="A43" s="944">
        <f>IF(C43="","",IFERROR(INDEX(SOWStoryTable[需求名称],MATCH(C43,SOWStoryTable[故事名称],0)),"来源未匹配"))</f>
        <v/>
      </c>
      <c r="B43" s="944">
        <f>IF(C43="","",IFERROR(INDEX(SOWStoryTable[子需求名称],MATCH(C43,SOWStoryTable[故事名称],0)),"来源未匹配"))</f>
        <v/>
      </c>
      <c r="C43" s="1060" t="inlineStr">
        <is>
          <t>监控核心交易与财务作业</t>
        </is>
      </c>
      <c r="D43" s="1060" t="inlineStr">
        <is>
          <t>调整既有统一监控平台的交易与财务看板</t>
        </is>
      </c>
      <c r="E43" s="1060" t="inlineStr">
        <is>
          <t>监控、追踪与审计</t>
        </is>
      </c>
      <c r="F43" s="945">
        <f>IF(E43="","",IFERROR(INDEX(BaseUnitCatalogTable[任务族名称],MATCH(E43,BaseUnitCatalogTable[基础单元名称],0)),""))</f>
        <v/>
      </c>
      <c r="G43" s="1061" t="inlineStr">
        <is>
          <t>调整</t>
        </is>
      </c>
      <c r="H43" s="1060" t="inlineStr">
        <is>
          <t>在既有统一监控平台新增订单成功率、退款失败、开票积压和对账延迟指标。</t>
        </is>
      </c>
      <c r="I43" s="1061" t="inlineStr">
        <is>
          <t>M</t>
        </is>
      </c>
      <c r="J43" s="1060" t="inlineStr"/>
      <c r="K43" s="1060" t="inlineStr">
        <is>
          <t>既有统一监控平台</t>
        </is>
      </c>
      <c r="L43" s="1060" t="inlineStr">
        <is>
          <t>一个核心交易与财务作业可观测性实例。</t>
        </is>
      </c>
      <c r="M43" s="945">
        <f>IF(OR(D43="",E43="",G43=""),"",IFERROR(IF(G43="新建",INDEX(BaseUnitCatalogTable[新建M档人天],MATCH(E43,BaseUnitCatalogTable[基础单元名称],0)),IF(G43="调整",INDEX(BaseUnitCatalogTable[调整M档人天],MATCH(E43,BaseUnitCatalogTable[基础单元名称],0)),IF(G43="接入复用",INDEX(BaseUnitCatalogTable[接入复用M档人天],MATCH(E43,BaseUnitCatalogTable[基础单元名称],0)),""))),""))</f>
        <v/>
      </c>
      <c r="N43" s="945">
        <f>IF(OR(D43="",I43=""),"",IFERROR(INDEX(ProjectParameterTable[值],MATCH("K_COMPLEXITY_"&amp;I43,ProjectParameterTable[参数代码],0)),""))</f>
        <v/>
      </c>
      <c r="O43" s="945">
        <f>IF(OR(D43="",NOT(ISNUMBER(M43)),NOT(ISNUMBER(N43))),"",ROUND(M43*N43,1))</f>
        <v/>
      </c>
    </row>
    <row r="44" ht="38" customHeight="1" s="1025">
      <c r="A44" s="944">
        <f>IF(C44="","",IFERROR(INDEX(SOWStoryTable[需求名称],MATCH(C44,SOWStoryTable[故事名称],0)),"来源未匹配"))</f>
        <v/>
      </c>
      <c r="B44" s="944">
        <f>IF(C44="","",IFERROR(INDEX(SOWStoryTable[子需求名称],MATCH(C44,SOWStoryTable[故事名称],0)),"来源未匹配"))</f>
        <v/>
      </c>
      <c r="C44" s="1060" t="inlineStr">
        <is>
          <t>监控核心交易与财务作业</t>
        </is>
      </c>
      <c r="D44" s="1060" t="inlineStr">
        <is>
          <t>新建关键链路稳定性控制</t>
        </is>
      </c>
      <c r="E44" s="1060" t="inlineStr">
        <is>
          <t>性能与稳定性保障</t>
        </is>
      </c>
      <c r="F44" s="945">
        <f>IF(E44="","",IFERROR(INDEX(BaseUnitCatalogTable[任务族名称],MATCH(E44,BaseUnitCatalogTable[基础单元名称],0)),""))</f>
        <v/>
      </c>
      <c r="G44" s="1061" t="inlineStr">
        <is>
          <t>新建</t>
        </is>
      </c>
      <c r="H44" s="1060" t="inlineStr">
        <is>
          <t>新增 ERP、支付和发票调用的超时、限流、重试与熔断配置。</t>
        </is>
      </c>
      <c r="I44" s="1061" t="inlineStr">
        <is>
          <t>M</t>
        </is>
      </c>
      <c r="J44" s="1060" t="inlineStr"/>
      <c r="K44" s="1060" t="inlineStr"/>
      <c r="L44" s="1060" t="inlineStr">
        <is>
          <t>一个跨外部依赖的性能与稳定性保障实例。</t>
        </is>
      </c>
      <c r="M44" s="945">
        <f>IF(OR(D44="",E44="",G44=""),"",IFERROR(IF(G44="新建",INDEX(BaseUnitCatalogTable[新建M档人天],MATCH(E44,BaseUnitCatalogTable[基础单元名称],0)),IF(G44="调整",INDEX(BaseUnitCatalogTable[调整M档人天],MATCH(E44,BaseUnitCatalogTable[基础单元名称],0)),IF(G44="接入复用",INDEX(BaseUnitCatalogTable[接入复用M档人天],MATCH(E44,BaseUnitCatalogTable[基础单元名称],0)),""))),""))</f>
        <v/>
      </c>
      <c r="N44" s="945">
        <f>IF(OR(D44="",I44=""),"",IFERROR(INDEX(ProjectParameterTable[值],MATCH("K_COMPLEXITY_"&amp;I44,ProjectParameterTable[参数代码],0)),""))</f>
        <v/>
      </c>
      <c r="O44" s="945">
        <f>IF(OR(D44="",NOT(ISNUMBER(M44)),NOT(ISNUMBER(N44))),"",ROUND(M44*N44,1))</f>
        <v/>
      </c>
    </row>
    <row r="45" ht="38" customHeight="1" s="1025">
      <c r="A45" s="944">
        <f>IF(C45="","",IFERROR(INDEX(SOWStoryTable[需求名称],MATCH(C45,SOWStoryTable[故事名称],0)),"来源未匹配"))</f>
        <v/>
      </c>
      <c r="B45" s="944">
        <f>IF(C45="","",IFERROR(INDEX(SOWStoryTable[子需求名称],MATCH(C45,SOWStoryTable[故事名称],0)),"来源未匹配"))</f>
        <v/>
      </c>
      <c r="C45" s="1060" t="inlineStr">
        <is>
          <t>完成运维交接与演练</t>
        </is>
      </c>
      <c r="D45" s="1060" t="inlineStr">
        <is>
          <t>调整既有统一监控平台的运维手册与交接</t>
        </is>
      </c>
      <c r="E45" s="1060" t="inlineStr">
        <is>
          <t>运维交接与操作手册</t>
        </is>
      </c>
      <c r="F45" s="945">
        <f>IF(E45="","",IFERROR(INDEX(BaseUnitCatalogTable[任务族名称],MATCH(E45,BaseUnitCatalogTable[基础单元名称],0)),""))</f>
        <v/>
      </c>
      <c r="G45" s="1061" t="inlineStr">
        <is>
          <t>调整</t>
        </is>
      </c>
      <c r="H45" s="1060" t="inlineStr">
        <is>
          <t>基于既有统一监控平台补齐指标说明、责任人、通知渠道、排障和升级流程。</t>
        </is>
      </c>
      <c r="I45" s="1061" t="inlineStr">
        <is>
          <t>M</t>
        </is>
      </c>
      <c r="J45" s="1060" t="inlineStr"/>
      <c r="K45" s="1060" t="inlineStr">
        <is>
          <t>既有统一监控平台</t>
        </is>
      </c>
      <c r="L45" s="1060" t="inlineStr">
        <is>
          <t>一个运维交接包和一次故障演练实例。</t>
        </is>
      </c>
      <c r="M45" s="945">
        <f>IF(OR(D45="",E45="",G45=""),"",IFERROR(IF(G45="新建",INDEX(BaseUnitCatalogTable[新建M档人天],MATCH(E45,BaseUnitCatalogTable[基础单元名称],0)),IF(G45="调整",INDEX(BaseUnitCatalogTable[调整M档人天],MATCH(E45,BaseUnitCatalogTable[基础单元名称],0)),IF(G45="接入复用",INDEX(BaseUnitCatalogTable[接入复用M档人天],MATCH(E45,BaseUnitCatalogTable[基础单元名称],0)),""))),""))</f>
        <v/>
      </c>
      <c r="N45" s="945">
        <f>IF(OR(D45="",I45=""),"",IFERROR(INDEX(ProjectParameterTable[值],MATCH("K_COMPLEXITY_"&amp;I45,ProjectParameterTable[参数代码],0)),""))</f>
        <v/>
      </c>
      <c r="O45" s="945">
        <f>IF(OR(D45="",NOT(ISNUMBER(M45)),NOT(ISNUMBER(N45))),"",ROUND(M45*N45,1))</f>
        <v/>
      </c>
    </row>
    <row r="46" ht="38" customHeight="1" s="1025">
      <c r="A46" s="944">
        <f>IF(C46="","",IFERROR(INDEX(SOWStoryTable[需求名称],MATCH(C46,SOWStoryTable[故事名称],0)),"来源未匹配"))</f>
        <v/>
      </c>
      <c r="B46" s="944">
        <f>IF(C46="","",IFERROR(INDEX(SOWStoryTable[子需求名称],MATCH(C46,SOWStoryTable[故事名称],0)),"来源未匹配"))</f>
        <v/>
      </c>
      <c r="C46" s="1060" t="inlineStr">
        <is>
          <t>培训门店、客服和财务用户</t>
        </is>
      </c>
      <c r="D46" s="1060" t="inlineStr">
        <is>
          <t>交付门店客服财务培训</t>
        </is>
      </c>
      <c r="E46" s="1060" t="inlineStr">
        <is>
          <t>用户培训与使用材料</t>
        </is>
      </c>
      <c r="F46" s="945">
        <f>IF(E46="","",IFERROR(INDEX(BaseUnitCatalogTable[任务族名称],MATCH(E46,BaseUnitCatalogTable[基础单元名称],0)),""))</f>
        <v/>
      </c>
      <c r="G46" s="1061" t="inlineStr">
        <is>
          <t>新建</t>
        </is>
      </c>
      <c r="H46" s="1060" t="inlineStr">
        <is>
          <t>新增门店、客服和财务三类角色材料，并组织两场培训和反馈收集。</t>
        </is>
      </c>
      <c r="I46" s="1061" t="inlineStr">
        <is>
          <t>M</t>
        </is>
      </c>
      <c r="J46" s="1060" t="inlineStr"/>
      <c r="K46" s="1060" t="inlineStr"/>
      <c r="L46" s="1060" t="inlineStr">
        <is>
          <t>一个角色化用户培训与使用材料交付实例。</t>
        </is>
      </c>
      <c r="M46" s="945">
        <f>IF(OR(D46="",E46="",G46=""),"",IFERROR(IF(G46="新建",INDEX(BaseUnitCatalogTable[新建M档人天],MATCH(E46,BaseUnitCatalogTable[基础单元名称],0)),IF(G46="调整",INDEX(BaseUnitCatalogTable[调整M档人天],MATCH(E46,BaseUnitCatalogTable[基础单元名称],0)),IF(G46="接入复用",INDEX(BaseUnitCatalogTable[接入复用M档人天],MATCH(E46,BaseUnitCatalogTable[基础单元名称],0)),""))),""))</f>
        <v/>
      </c>
      <c r="N46" s="945">
        <f>IF(OR(D46="",I46=""),"",IFERROR(INDEX(ProjectParameterTable[值],MATCH("K_COMPLEXITY_"&amp;I46,ProjectParameterTable[参数代码],0)),""))</f>
        <v/>
      </c>
      <c r="O46" s="945">
        <f>IF(OR(D46="",NOT(ISNUMBER(M46)),NOT(ISNUMBER(N46))),"",ROUND(M46*N46,1))</f>
        <v/>
      </c>
    </row>
    <row r="47" ht="38" customHeight="1" s="1025">
      <c r="A47" s="944">
        <f>IF(C47="","",IFERROR(INDEX(SOWStoryTable[需求名称],MATCH(C47,SOWStoryTable[故事名称],0)),"来源未匹配"))</f>
        <v/>
      </c>
      <c r="B47" s="944">
        <f>IF(C47="","",IFERROR(INDEX(SOWStoryTable[子需求名称],MATCH(C47,SOWStoryTable[故事名称],0)),"来源未匹配"))</f>
        <v/>
      </c>
      <c r="C47" s="1060" t="inlineStr">
        <is>
          <t>扩展自动化与性能验证</t>
        </is>
      </c>
      <c r="D47" s="1060" t="inlineStr">
        <is>
          <t>调整既有回归测试资产的自动化框架</t>
        </is>
      </c>
      <c r="E47" s="1060" t="inlineStr">
        <is>
          <t>自动化测试框架</t>
        </is>
      </c>
      <c r="F47" s="945">
        <f>IF(E47="","",IFERROR(INDEX(BaseUnitCatalogTable[任务族名称],MATCH(E47,BaseUnitCatalogTable[基础单元名称],0)),""))</f>
        <v/>
      </c>
      <c r="G47" s="1061" t="inlineStr">
        <is>
          <t>调整</t>
        </is>
      </c>
      <c r="H47" s="1060" t="inlineStr">
        <is>
          <t>扩展既有回归测试资产的认证、测试数据、异步回调和报告能力。</t>
        </is>
      </c>
      <c r="I47" s="1061" t="inlineStr">
        <is>
          <t>M</t>
        </is>
      </c>
      <c r="J47" s="1060" t="inlineStr"/>
      <c r="K47" s="1060" t="inlineStr">
        <is>
          <t>既有回归测试资产</t>
        </is>
      </c>
      <c r="L47" s="1060" t="inlineStr">
        <is>
          <t>一个 API 自动化测试框架调整实例。</t>
        </is>
      </c>
      <c r="M47" s="945">
        <f>IF(OR(D47="",E47="",G47=""),"",IFERROR(IF(G47="新建",INDEX(BaseUnitCatalogTable[新建M档人天],MATCH(E47,BaseUnitCatalogTable[基础单元名称],0)),IF(G47="调整",INDEX(BaseUnitCatalogTable[调整M档人天],MATCH(E47,BaseUnitCatalogTable[基础单元名称],0)),IF(G47="接入复用",INDEX(BaseUnitCatalogTable[接入复用M档人天],MATCH(E47,BaseUnitCatalogTable[基础单元名称],0)),""))),""))</f>
        <v/>
      </c>
      <c r="N47" s="945">
        <f>IF(OR(D47="",I47=""),"",IFERROR(INDEX(ProjectParameterTable[值],MATCH("K_COMPLEXITY_"&amp;I47,ProjectParameterTable[参数代码],0)),""))</f>
        <v/>
      </c>
      <c r="O47" s="945">
        <f>IF(OR(D47="",NOT(ISNUMBER(M47)),NOT(ISNUMBER(N47))),"",ROUND(M47*N47,1))</f>
        <v/>
      </c>
    </row>
    <row r="48" ht="38" customHeight="1" s="1025">
      <c r="A48" s="944">
        <f>IF(C48="","",IFERROR(INDEX(SOWStoryTable[需求名称],MATCH(C48,SOWStoryTable[故事名称],0)),"来源未匹配"))</f>
        <v/>
      </c>
      <c r="B48" s="944">
        <f>IF(C48="","",IFERROR(INDEX(SOWStoryTable[子需求名称],MATCH(C48,SOWStoryTable[故事名称],0)),"来源未匹配"))</f>
        <v/>
      </c>
      <c r="C48" s="1060" t="inlineStr">
        <is>
          <t>扩展自动化与性能验证</t>
        </is>
      </c>
      <c r="D48" s="1060" t="inlineStr">
        <is>
          <t>调整既有回归测试资产的核心自动化用例</t>
        </is>
      </c>
      <c r="E48" s="1060" t="inlineStr">
        <is>
          <t>自动化测试用例</t>
        </is>
      </c>
      <c r="F48" s="945">
        <f>IF(E48="","",IFERROR(INDEX(BaseUnitCatalogTable[任务族名称],MATCH(E48,BaseUnitCatalogTable[基础单元名称],0)),""))</f>
        <v/>
      </c>
      <c r="G48" s="1061" t="inlineStr">
        <is>
          <t>调整</t>
        </is>
      </c>
      <c r="H48" s="1060" t="inlineStr">
        <is>
          <t>在既有回归测试资产中增加订单状态、库存、退款、开票和对账自动化用例。</t>
        </is>
      </c>
      <c r="I48" s="1061" t="inlineStr">
        <is>
          <t>L</t>
        </is>
      </c>
      <c r="J48" s="1060" t="inlineStr">
        <is>
          <t>覆盖五条跨系统链路、异步结果、失败补偿和财务金额断言，数据组合较多。</t>
        </is>
      </c>
      <c r="K48" s="1060" t="inlineStr">
        <is>
          <t>既有回归测试资产</t>
        </is>
      </c>
      <c r="L48" s="1060" t="inlineStr">
        <is>
          <t>一个核心业务自动化用例集实例。</t>
        </is>
      </c>
      <c r="M48" s="945">
        <f>IF(OR(D48="",E48="",G48=""),"",IFERROR(IF(G48="新建",INDEX(BaseUnitCatalogTable[新建M档人天],MATCH(E48,BaseUnitCatalogTable[基础单元名称],0)),IF(G48="调整",INDEX(BaseUnitCatalogTable[调整M档人天],MATCH(E48,BaseUnitCatalogTable[基础单元名称],0)),IF(G48="接入复用",INDEX(BaseUnitCatalogTable[接入复用M档人天],MATCH(E48,BaseUnitCatalogTable[基础单元名称],0)),""))),""))</f>
        <v/>
      </c>
      <c r="N48" s="945">
        <f>IF(OR(D48="",I48=""),"",IFERROR(INDEX(ProjectParameterTable[值],MATCH("K_COMPLEXITY_"&amp;I48,ProjectParameterTable[参数代码],0)),""))</f>
        <v/>
      </c>
      <c r="O48" s="945">
        <f>IF(OR(D48="",NOT(ISNUMBER(M48)),NOT(ISNUMBER(N48))),"",ROUND(M48*N48,1))</f>
        <v/>
      </c>
    </row>
    <row r="49" ht="38" customHeight="1" s="1025">
      <c r="A49" s="944">
        <f>IF(C49="","",IFERROR(INDEX(SOWStoryTable[需求名称],MATCH(C49,SOWStoryTable[故事名称],0)),"来源未匹配"))</f>
        <v/>
      </c>
      <c r="B49" s="944">
        <f>IF(C49="","",IFERROR(INDEX(SOWStoryTable[子需求名称],MATCH(C49,SOWStoryTable[故事名称],0)),"来源未匹配"))</f>
        <v/>
      </c>
      <c r="C49" s="1060" t="inlineStr">
        <is>
          <t>执行兼容性与工程回归</t>
        </is>
      </c>
      <c r="D49" s="1060" t="inlineStr">
        <is>
          <t>调整既有回归测试资产的兼容矩阵</t>
        </is>
      </c>
      <c r="E49" s="1060" t="inlineStr">
        <is>
          <t>兼容性与无障碍测试</t>
        </is>
      </c>
      <c r="F49" s="945">
        <f>IF(E49="","",IFERROR(INDEX(BaseUnitCatalogTable[任务族名称],MATCH(E49,BaseUnitCatalogTable[基础单元名称],0)),""))</f>
        <v/>
      </c>
      <c r="G49" s="1061" t="inlineStr">
        <is>
          <t>调整</t>
        </is>
      </c>
      <c r="H49" s="1060" t="inlineStr">
        <is>
          <t>根据既有回归测试资产更新浏览器、门店设备和无障碍检查范围。</t>
        </is>
      </c>
      <c r="I49" s="1061" t="inlineStr">
        <is>
          <t>S</t>
        </is>
      </c>
      <c r="J49" s="1060" t="inlineStr">
        <is>
          <t>仅验证两类浏览器和一种门店设备，沿用现有脚本且无新增终端。</t>
        </is>
      </c>
      <c r="K49" s="1060" t="inlineStr">
        <is>
          <t>既有回归测试资产</t>
        </is>
      </c>
      <c r="L49" s="1060" t="inlineStr">
        <is>
          <t>一个兼容性与无障碍测试矩阵实例。</t>
        </is>
      </c>
      <c r="M49" s="945">
        <f>IF(OR(D49="",E49="",G49=""),"",IFERROR(IF(G49="新建",INDEX(BaseUnitCatalogTable[新建M档人天],MATCH(E49,BaseUnitCatalogTable[基础单元名称],0)),IF(G49="调整",INDEX(BaseUnitCatalogTable[调整M档人天],MATCH(E49,BaseUnitCatalogTable[基础单元名称],0)),IF(G49="接入复用",INDEX(BaseUnitCatalogTable[接入复用M档人天],MATCH(E49,BaseUnitCatalogTable[基础单元名称],0)),""))),""))</f>
        <v/>
      </c>
      <c r="N49" s="945">
        <f>IF(OR(D49="",I49=""),"",IFERROR(INDEX(ProjectParameterTable[值],MATCH("K_COMPLEXITY_"&amp;I49,ProjectParameterTable[参数代码],0)),""))</f>
        <v/>
      </c>
      <c r="O49" s="945">
        <f>IF(OR(D49="",NOT(ISNUMBER(M49)),NOT(ISNUMBER(N49))),"",ROUND(M49*N49,1))</f>
        <v/>
      </c>
    </row>
    <row r="50" ht="38" customHeight="1" s="1025">
      <c r="A50" s="944">
        <f>IF(C50="","",IFERROR(INDEX(SOWStoryTable[需求名称],MATCH(C50,SOWStoryTable[故事名称],0)),"来源未匹配"))</f>
        <v/>
      </c>
      <c r="B50" s="944">
        <f>IF(C50="","",IFERROR(INDEX(SOWStoryTable[子需求名称],MATCH(C50,SOWStoryTable[故事名称],0)),"来源未匹配"))</f>
        <v/>
      </c>
      <c r="C50" s="1060" t="inlineStr">
        <is>
          <t>执行兼容性与工程回归</t>
        </is>
      </c>
      <c r="D50" s="1060" t="inlineStr">
        <is>
          <t>调整既有回归测试资产的工程回归范围</t>
        </is>
      </c>
      <c r="E50" s="1060" t="inlineStr">
        <is>
          <t>人工测试</t>
        </is>
      </c>
      <c r="F50" s="945">
        <f>IF(E50="","",IFERROR(INDEX(BaseUnitCatalogTable[任务族名称],MATCH(E50,BaseUnitCatalogTable[基础单元名称],0)),""))</f>
        <v/>
      </c>
      <c r="G50" s="1061" t="inlineStr">
        <is>
          <t>调整</t>
        </is>
      </c>
      <c r="H50" s="1060" t="inlineStr">
        <is>
          <t>基于既有回归测试资产补充配置、权限、作业恢复和日志审计检查。</t>
        </is>
      </c>
      <c r="I50" s="1061" t="inlineStr">
        <is>
          <t>S</t>
        </is>
      </c>
      <c r="J50" s="1060" t="inlineStr">
        <is>
          <t>四项工程检查均有现成步骤，只需补充新配置和日志断言。</t>
        </is>
      </c>
      <c r="K50" s="1060" t="inlineStr">
        <is>
          <t>既有回归测试资产</t>
        </is>
      </c>
      <c r="L50" s="1060" t="inlineStr">
        <is>
          <t>一个不计入 UAT 分母的工程回归测试实例。</t>
        </is>
      </c>
      <c r="M50" s="945">
        <f>IF(OR(D50="",E50="",G50=""),"",IFERROR(IF(G50="新建",INDEX(BaseUnitCatalogTable[新建M档人天],MATCH(E50,BaseUnitCatalogTable[基础单元名称],0)),IF(G50="调整",INDEX(BaseUnitCatalogTable[调整M档人天],MATCH(E50,BaseUnitCatalogTable[基础单元名称],0)),IF(G50="接入复用",INDEX(BaseUnitCatalogTable[接入复用M档人天],MATCH(E50,BaseUnitCatalogTable[基础单元名称],0)),""))),""))</f>
        <v/>
      </c>
      <c r="N50" s="945">
        <f>IF(OR(D50="",I50=""),"",IFERROR(INDEX(ProjectParameterTable[值],MATCH("K_COMPLEXITY_"&amp;I50,ProjectParameterTable[参数代码],0)),""))</f>
        <v/>
      </c>
      <c r="O50" s="945">
        <f>IF(OR(D50="",NOT(ISNUMBER(M50)),NOT(ISNUMBER(N50))),"",ROUND(M50*N50,1))</f>
        <v/>
      </c>
    </row>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row r="105" s="1025"/>
    <row r="106" s="1025"/>
    <row r="107" s="1025"/>
    <row r="108" s="1025"/>
    <row r="109" s="1025"/>
    <row r="110" s="1025"/>
    <row r="111" s="1025"/>
    <row r="112" s="1025"/>
    <row r="113" s="1025"/>
    <row r="114" s="1025"/>
    <row r="115" s="1025"/>
    <row r="116" s="1025"/>
    <row r="117" s="1025"/>
    <row r="118" s="1025"/>
    <row r="119" s="1025"/>
    <row r="120" s="1025"/>
    <row r="121" s="1025"/>
    <row r="122" s="1025"/>
    <row r="123" s="1025"/>
    <row r="124" s="1025"/>
    <row r="125" s="1025"/>
    <row r="126" s="1025"/>
    <row r="127" s="1025"/>
    <row r="128" s="1025"/>
    <row r="129" s="1025"/>
    <row r="130" s="1025"/>
    <row r="131" s="1025"/>
    <row r="132" s="1025"/>
    <row r="133" s="1025"/>
    <row r="134" s="1025"/>
    <row r="135" s="1025"/>
    <row r="136" s="1025"/>
    <row r="137" s="1025"/>
    <row r="138" s="1025"/>
    <row r="139" s="1025"/>
    <row r="140" s="1025"/>
    <row r="141" s="1025"/>
    <row r="142" s="1025"/>
    <row r="143" s="1025"/>
    <row r="144" s="1025"/>
    <row r="145" s="1025"/>
    <row r="146" s="1025"/>
    <row r="147" s="1025"/>
    <row r="148" s="1025"/>
    <row r="149" s="1025"/>
    <row r="150" s="1025"/>
    <row r="151" s="1025"/>
    <row r="152" s="1025"/>
    <row r="153" s="1025"/>
    <row r="154" s="1025"/>
    <row r="155" s="1025"/>
    <row r="156" s="1025"/>
    <row r="157" s="1025"/>
    <row r="158" s="1025"/>
    <row r="159" s="1025"/>
    <row r="160" s="1025"/>
    <row r="161" s="1025"/>
    <row r="162" s="1025"/>
    <row r="163" s="1025"/>
    <row r="164" s="1025"/>
    <row r="165" s="1025"/>
    <row r="166" s="1025"/>
    <row r="167" s="1025"/>
    <row r="168" s="1025"/>
    <row r="169" s="1025"/>
    <row r="170" s="1025"/>
    <row r="171" s="1025"/>
    <row r="172" s="1025"/>
    <row r="173" s="1025"/>
    <row r="174" s="1025"/>
    <row r="175" s="1025"/>
    <row r="176" s="1025"/>
    <row r="177" s="1025"/>
    <row r="178" s="1025"/>
    <row r="179" s="1025"/>
    <row r="180" s="1025"/>
    <row r="181" s="1025"/>
    <row r="182" s="1025"/>
    <row r="183" s="1025"/>
    <row r="184" s="1025"/>
    <row r="185" s="1025"/>
    <row r="186" s="1025"/>
    <row r="187" s="1025"/>
    <row r="188" s="1025"/>
    <row r="189" s="1025"/>
    <row r="190" s="1025"/>
    <row r="191" s="1025"/>
    <row r="192" s="1025"/>
    <row r="193" s="1025"/>
    <row r="194" s="1025"/>
    <row r="195" s="1025"/>
    <row r="196" s="1025"/>
    <row r="197" s="1025"/>
    <row r="198" s="1025"/>
    <row r="199" s="1025"/>
    <row r="200" s="1025"/>
    <row r="201" s="1025"/>
    <row r="202" s="1025"/>
    <row r="203" s="1025"/>
    <row r="204" s="1025"/>
    <row r="205" s="1025"/>
    <row r="206" s="1025"/>
    <row r="207" s="1025"/>
    <row r="208" s="1025"/>
    <row r="209" s="1025"/>
    <row r="210" s="1025"/>
    <row r="211" s="1025"/>
    <row r="212" s="1025"/>
    <row r="213" s="1025"/>
    <row r="214" s="1025"/>
    <row r="215" s="1025"/>
    <row r="216" s="1025"/>
    <row r="217" s="1025"/>
    <row r="218" s="1025"/>
    <row r="219" s="1025"/>
    <row r="220" s="1025"/>
    <row r="221" s="1025"/>
    <row r="222" s="1025"/>
    <row r="223" s="1025"/>
    <row r="224" s="1025"/>
    <row r="225" s="1025"/>
    <row r="226" s="1025"/>
    <row r="227" s="1025"/>
    <row r="228" s="1025"/>
    <row r="229" s="1025"/>
    <row r="230" s="1025"/>
    <row r="231" s="1025"/>
    <row r="232" s="1025"/>
    <row r="233" s="1025"/>
    <row r="234" s="1025"/>
    <row r="235" s="1025"/>
    <row r="236" s="1025"/>
    <row r="237" s="1025"/>
    <row r="238" s="1025"/>
    <row r="239" s="1025"/>
    <row r="240" s="1025"/>
    <row r="241" s="1025"/>
    <row r="242" s="1025"/>
    <row r="243" s="1025"/>
    <row r="244" s="1025"/>
    <row r="245" s="1025"/>
    <row r="246" s="1025"/>
    <row r="247" s="1025"/>
    <row r="248" s="1025"/>
    <row r="249" s="1025"/>
    <row r="250" s="1025"/>
    <row r="251" s="1025"/>
    <row r="252" s="1025"/>
    <row r="253" s="1025"/>
    <row r="254" s="1025"/>
    <row r="255" s="1025"/>
    <row r="256" s="1025"/>
    <row r="257" s="1025"/>
    <row r="258" s="1025"/>
    <row r="259" s="1025"/>
    <row r="260" s="1025"/>
    <row r="261" s="1025"/>
    <row r="262" s="1025"/>
    <row r="263" s="1025"/>
    <row r="264" s="1025"/>
    <row r="265" s="1025"/>
    <row r="266" s="1025"/>
    <row r="267" s="1025"/>
    <row r="268" s="1025"/>
    <row r="269" s="1025"/>
    <row r="270" s="1025"/>
    <row r="271" s="1025"/>
    <row r="272" s="1025"/>
    <row r="273" s="1025"/>
    <row r="274" s="1025"/>
    <row r="275" s="1025"/>
    <row r="276" s="1025"/>
    <row r="277" s="1025"/>
    <row r="278" s="1025"/>
    <row r="279" s="1025"/>
    <row r="280" s="1025"/>
    <row r="281" s="1025"/>
    <row r="282" s="1025"/>
    <row r="283" s="1025"/>
    <row r="284" s="1025"/>
    <row r="285" s="1025"/>
    <row r="286" s="1025"/>
    <row r="287" s="1025"/>
    <row r="288" s="1025"/>
    <row r="289" s="1025"/>
    <row r="290" s="1025"/>
    <row r="291" s="1025"/>
    <row r="292" s="1025"/>
    <row r="293" s="1025"/>
    <row r="294" s="1025"/>
    <row r="295" s="1025"/>
    <row r="296" s="1025"/>
    <row r="297" s="1025"/>
    <row r="298" s="1025"/>
    <row r="299" s="1025"/>
    <row r="300" s="1025"/>
    <row r="301" s="1025"/>
    <row r="302" s="1025"/>
    <row r="303" s="1025"/>
    <row r="304" s="1025"/>
    <row r="305" s="1025"/>
    <row r="306" s="1025"/>
    <row r="307" s="1025"/>
    <row r="308" s="1025"/>
    <row r="309" s="1025"/>
    <row r="310" s="1025"/>
    <row r="311" s="1025"/>
    <row r="312" s="1025"/>
    <row r="313" s="1025"/>
    <row r="314" s="1025"/>
    <row r="315" s="1025"/>
    <row r="316" s="1025"/>
    <row r="317" s="1025"/>
    <row r="318" s="1025"/>
    <row r="319" s="1025"/>
    <row r="320" s="1025"/>
    <row r="321" s="1025"/>
    <row r="322" s="1025"/>
    <row r="323" s="1025"/>
    <row r="324" s="1025"/>
    <row r="325" s="1025"/>
    <row r="326" s="1025"/>
    <row r="327" s="1025"/>
    <row r="328" s="1025"/>
    <row r="329" s="1025"/>
    <row r="330" s="1025"/>
    <row r="331" s="1025"/>
    <row r="332" s="1025"/>
    <row r="333" s="1025"/>
    <row r="334" s="1025"/>
    <row r="335" s="1025"/>
    <row r="336" s="1025"/>
    <row r="337" s="1025"/>
    <row r="338" s="1025"/>
    <row r="339" s="1025"/>
    <row r="340" s="1025"/>
    <row r="341" s="1025"/>
    <row r="342" s="1025"/>
    <row r="343" s="1025"/>
    <row r="344" s="1025"/>
    <row r="345" s="1025"/>
    <row r="346" s="1025"/>
    <row r="347" s="1025"/>
    <row r="348" s="1025"/>
    <row r="349" s="1025"/>
    <row r="350" s="1025"/>
    <row r="351" s="1025"/>
    <row r="352" s="1025"/>
    <row r="353" s="1025"/>
    <row r="354" s="1025"/>
    <row r="355" s="1025"/>
    <row r="356" s="1025"/>
    <row r="357" s="1025"/>
    <row r="358" s="1025"/>
    <row r="359" s="1025"/>
    <row r="360" s="1025"/>
    <row r="361" s="1025"/>
    <row r="362" s="1025"/>
    <row r="363" s="1025"/>
    <row r="364" s="1025"/>
    <row r="365" s="1025"/>
    <row r="366" s="1025"/>
    <row r="367" s="1025"/>
    <row r="368" s="1025"/>
    <row r="369" s="1025"/>
    <row r="370" s="1025"/>
    <row r="371" s="1025"/>
    <row r="372" s="1025"/>
    <row r="373" s="1025"/>
    <row r="374" s="1025"/>
    <row r="375" s="1025"/>
    <row r="376" s="1025"/>
    <row r="377" s="1025"/>
    <row r="378" s="1025"/>
    <row r="379" s="1025"/>
    <row r="380" s="1025"/>
    <row r="381" s="1025"/>
    <row r="382" s="1025"/>
    <row r="383" s="1025"/>
    <row r="384" s="1025"/>
    <row r="385" s="1025"/>
    <row r="386" s="1025"/>
    <row r="387" s="1025"/>
    <row r="388" s="1025"/>
    <row r="389" s="1025"/>
    <row r="390" s="1025"/>
    <row r="391" s="1025"/>
    <row r="392" s="1025"/>
    <row r="393" s="1025"/>
    <row r="394" s="1025"/>
    <row r="395" s="1025"/>
    <row r="396" s="1025"/>
    <row r="397" s="1025"/>
    <row r="398" s="1025"/>
    <row r="399" s="1025"/>
    <row r="400" s="1025"/>
    <row r="401" s="1025"/>
    <row r="402" s="1025"/>
    <row r="403" s="1025"/>
    <row r="404" s="1025"/>
    <row r="405" s="1025"/>
    <row r="406" s="1025"/>
    <row r="407" s="1025"/>
    <row r="408" s="1025"/>
    <row r="409" s="1025"/>
    <row r="410" s="1025"/>
    <row r="411" s="1025"/>
    <row r="412" s="1025"/>
    <row r="413" s="1025"/>
    <row r="414" s="1025"/>
    <row r="415" s="1025"/>
    <row r="416" s="1025"/>
    <row r="417" s="1025"/>
    <row r="418" s="1025"/>
    <row r="419" s="1025"/>
    <row r="420" s="1025"/>
    <row r="421" s="1025"/>
    <row r="422" s="1025"/>
    <row r="423" s="1025"/>
    <row r="424" s="1025"/>
    <row r="425" s="1025"/>
    <row r="426" s="1025"/>
    <row r="427" s="1025"/>
    <row r="428" s="1025"/>
    <row r="429" s="1025"/>
    <row r="430" s="1025"/>
    <row r="431" s="1025"/>
    <row r="432" s="1025"/>
    <row r="433" s="1025"/>
    <row r="434" s="1025"/>
    <row r="435" s="1025"/>
    <row r="436" s="1025"/>
    <row r="437" s="1025"/>
    <row r="438" s="1025"/>
    <row r="439" s="1025"/>
    <row r="440" s="1025"/>
    <row r="441" s="1025"/>
    <row r="442" s="1025"/>
    <row r="443" s="1025"/>
    <row r="444" s="1025"/>
    <row r="445" s="1025"/>
    <row r="446" s="1025"/>
    <row r="447" s="1025"/>
    <row r="448" s="1025"/>
    <row r="449" s="1025"/>
    <row r="450" s="1025"/>
    <row r="451" s="1025"/>
    <row r="452" s="1025"/>
    <row r="453" s="1025"/>
    <row r="454" s="1025"/>
    <row r="455" s="1025"/>
    <row r="456" s="1025"/>
    <row r="457" s="1025"/>
    <row r="458" s="1025"/>
    <row r="459" s="1025"/>
    <row r="460" s="1025"/>
    <row r="461" s="1025"/>
    <row r="462" s="1025"/>
    <row r="463" s="1025"/>
    <row r="464" s="1025"/>
    <row r="465" s="1025"/>
    <row r="466" s="1025"/>
    <row r="467" s="1025"/>
    <row r="468" s="1025"/>
    <row r="469" s="1025"/>
    <row r="470" s="1025"/>
    <row r="471" s="1025"/>
    <row r="472" s="1025"/>
    <row r="473" s="1025"/>
    <row r="474" s="1025"/>
    <row r="475" s="1025"/>
    <row r="476" s="1025"/>
    <row r="477" s="1025"/>
    <row r="478" s="1025"/>
    <row r="479" s="1025"/>
    <row r="480" s="1025"/>
    <row r="481" s="1025"/>
    <row r="482" s="1025"/>
    <row r="483" s="1025"/>
    <row r="484" s="1025"/>
    <row r="485" s="1025"/>
    <row r="486" s="1025"/>
    <row r="487" s="1025"/>
    <row r="488" s="1025"/>
    <row r="489" s="1025"/>
    <row r="490" s="1025"/>
    <row r="491" s="1025"/>
    <row r="492" s="1025"/>
    <row r="493" s="1025"/>
    <row r="494" s="1025"/>
    <row r="495" s="1025"/>
    <row r="496" s="1025"/>
    <row r="497" s="1025"/>
    <row r="498" s="1025"/>
    <row r="499" s="1025"/>
    <row r="500" s="1025"/>
    <row r="501" s="1025"/>
    <row r="502" s="1025"/>
    <row r="503" s="1025"/>
    <row r="504" s="1025"/>
  </sheetData>
  <sheetProtection selectLockedCells="0" selectUnlockedCells="0" sheet="1" objects="0" insertRows="1" insertHyperlinks="1" autoFilter="1" scenarios="0" formatColumns="0" deleteColumns="1" insertColumns="1" pivotTables="1" deleteRows="1" formatCells="1" formatRows="0" sort="1"/>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1" showErrorMessage="1" allowBlank="1" errorTitle="现状条目无效" error="请选择 90-系统现状 明细表中的现状条目名称。" promptTitle="关联现状条目" prompt="来源：90-系统现状 &gt; 现状条目名称" type="list" errorStyle="stop">
      <formula1>INDIRECT("AsIsDetailTable[现状条目名称]")</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inlineStr">
        <is>
          <t>集成会员主数据查询</t>
        </is>
      </c>
      <c r="D5" s="944" t="inlineStr">
        <is>
          <t>接入内部客户档案 API</t>
        </is>
      </c>
      <c r="E5" s="1060" t="inlineStr">
        <is>
          <t>星云会员门户</t>
        </is>
      </c>
      <c r="F5" s="1060" t="inlineStr">
        <is>
          <t>会员主数据服务</t>
        </is>
      </c>
      <c r="G5" s="1060" t="inlineStr">
        <is>
          <t>收到客户档案查看请求</t>
        </is>
      </c>
      <c r="H5" s="1061" t="inlineStr">
        <is>
          <t>出站</t>
        </is>
      </c>
      <c r="I5" s="1060" t="inlineStr">
        <is>
          <t>检索统一会员号和授权范围内的客户档案</t>
        </is>
      </c>
      <c r="J5" s="1061" t="inlineStr">
        <is>
          <t>内部</t>
        </is>
      </c>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44">
        <f>IF(C6="","",IFERROR(INDEX(SOWStoryTable[需求名称],MATCH(C6,SOWStoryTable[故事名称],0)),"来源未匹配"))</f>
        <v/>
      </c>
      <c r="B6" s="944">
        <f>IF(C6="","",IFERROR(INDEX(SOWStoryTable[子需求名称],MATCH(C6,SOWStoryTable[故事名称],0)),"来源未匹配"))</f>
        <v/>
      </c>
      <c r="C6" s="944" t="inlineStr">
        <is>
          <t>预占和释放 ERP 库存</t>
        </is>
      </c>
      <c r="D6" s="944" t="inlineStr">
        <is>
          <t>接入既有 ERP 库存接口</t>
        </is>
      </c>
      <c r="E6" s="1060" t="inlineStr">
        <is>
          <t>订单服务</t>
        </is>
      </c>
      <c r="F6" s="1060" t="inlineStr">
        <is>
          <t>ERP</t>
        </is>
      </c>
      <c r="G6" s="1060" t="inlineStr">
        <is>
          <t>订单确认、取消或预占超时</t>
        </is>
      </c>
      <c r="H6" s="1061" t="inlineStr">
        <is>
          <t>出站</t>
        </is>
      </c>
      <c r="I6" s="1060" t="inlineStr">
        <is>
          <t>预占或释放门店与仓库库存</t>
        </is>
      </c>
      <c r="J6" s="1061" t="inlineStr">
        <is>
          <t>内部</t>
        </is>
      </c>
      <c r="K6" s="945">
        <f>IF(D6="","",IFERROR(INDEX(TaskTable[工作模式],MATCH(D6,TaskTable[任务名称],0)),""))</f>
        <v/>
      </c>
      <c r="L6" s="945">
        <f>IF(D6="","",IFERROR(INDEX(TaskTable[复杂度],MATCH(D6,TaskTable[任务名称],0)),""))</f>
        <v/>
      </c>
      <c r="M6" s="945">
        <f>IF(D6="","",IF(J6="内部",INDEX(ProjectParameterTable[值],MATCH("SIT_INT_SUPPORT",ProjectParameterTable[参数代码],0)),IF(J6="外部",INDEX(ProjectParameterTable[值],MATCH("SIT_EXT_SUPPORT",ProjectParameterTable[参数代码],0)),"")))</f>
        <v/>
      </c>
      <c r="N6" s="945">
        <f>IF(OR(D6="",M6=""),"",ROUND(M6*IFERROR(INDEX(TaskTable[复杂度倍率],MATCH(D6,TaskTable[任务名称],0)),0),1))</f>
        <v/>
      </c>
    </row>
    <row r="7" ht="38" customHeight="1" s="1025">
      <c r="A7" s="944">
        <f>IF(C7="","",IFERROR(INDEX(SOWStoryTable[需求名称],MATCH(C7,SOWStoryTable[故事名称],0)),"来源未匹配"))</f>
        <v/>
      </c>
      <c r="B7" s="944">
        <f>IF(C7="","",IFERROR(INDEX(SOWStoryTable[子需求名称],MATCH(C7,SOWStoryTable[故事名称],0)),"来源未匹配"))</f>
        <v/>
      </c>
      <c r="C7" s="944" t="inlineStr">
        <is>
          <t>发起退款并回写结果</t>
        </is>
      </c>
      <c r="D7" s="944" t="inlineStr">
        <is>
          <t>接入既有支付网关租户</t>
        </is>
      </c>
      <c r="E7" s="1060" t="inlineStr">
        <is>
          <t>订单服务</t>
        </is>
      </c>
      <c r="F7" s="1060" t="inlineStr">
        <is>
          <t>支付网关</t>
        </is>
      </c>
      <c r="G7" s="1060" t="inlineStr">
        <is>
          <t>退货审核通过</t>
        </is>
      </c>
      <c r="H7" s="1061" t="inlineStr">
        <is>
          <t>出站</t>
        </is>
      </c>
      <c r="I7" s="1060" t="inlineStr">
        <is>
          <t>发起退款并查询或接收退款结果</t>
        </is>
      </c>
      <c r="J7" s="1061" t="inlineStr">
        <is>
          <t>外部</t>
        </is>
      </c>
      <c r="K7" s="945">
        <f>IF(D7="","",IFERROR(INDEX(TaskTable[工作模式],MATCH(D7,TaskTable[任务名称],0)),""))</f>
        <v/>
      </c>
      <c r="L7" s="945">
        <f>IF(D7="","",IFERROR(INDEX(TaskTable[复杂度],MATCH(D7,TaskTable[任务名称],0)),""))</f>
        <v/>
      </c>
      <c r="M7" s="945">
        <f>IF(D7="","",IF(J7="内部",INDEX(ProjectParameterTable[值],MATCH("SIT_INT_SUPPORT",ProjectParameterTable[参数代码],0)),IF(J7="外部",INDEX(ProjectParameterTable[值],MATCH("SIT_EXT_SUPPORT",ProjectParameterTable[参数代码],0)),"")))</f>
        <v/>
      </c>
      <c r="N7" s="945">
        <f>IF(OR(D7="",M7=""),"",ROUND(M7*IFERROR(INDEX(TaskTable[复杂度倍率],MATCH(D7,TaskTable[任务名称],0)),0),1))</f>
        <v/>
      </c>
    </row>
    <row r="8" ht="38" customHeight="1" s="1025">
      <c r="A8" s="944">
        <f>IF(C8="","",IFERROR(INDEX(SOWStoryTable[需求名称],MATCH(C8,SOWStoryTable[故事名称],0)),"来源未匹配"))</f>
        <v/>
      </c>
      <c r="B8" s="944">
        <f>IF(C8="","",IFERROR(INDEX(SOWStoryTable[子需求名称],MATCH(C8,SOWStoryTable[故事名称],0)),"来源未匹配"))</f>
        <v/>
      </c>
      <c r="C8" s="944" t="inlineStr">
        <is>
          <t>申请并追踪电子发票</t>
        </is>
      </c>
      <c r="D8" s="944" t="inlineStr">
        <is>
          <t>接入既有电子发票通道</t>
        </is>
      </c>
      <c r="E8" s="1060" t="inlineStr">
        <is>
          <t>订单服务</t>
        </is>
      </c>
      <c r="F8" s="1060" t="inlineStr">
        <is>
          <t>电子发票平台</t>
        </is>
      </c>
      <c r="G8" s="1060" t="inlineStr">
        <is>
          <t>顾客对已完成订单提交开票申请</t>
        </is>
      </c>
      <c r="H8" s="1061" t="inlineStr">
        <is>
          <t>出站</t>
        </is>
      </c>
      <c r="I8" s="1060" t="inlineStr">
        <is>
          <t>申请电子发票并查询开票状态</t>
        </is>
      </c>
      <c r="J8" s="1061" t="inlineStr">
        <is>
          <t>外部</t>
        </is>
      </c>
      <c r="K8" s="945">
        <f>IF(D8="","",IFERROR(INDEX(TaskTable[工作模式],MATCH(D8,TaskTable[任务名称],0)),""))</f>
        <v/>
      </c>
      <c r="L8" s="945">
        <f>IF(D8="","",IFERROR(INDEX(TaskTable[复杂度],MATCH(D8,TaskTable[任务名称],0)),""))</f>
        <v/>
      </c>
      <c r="M8" s="945">
        <f>IF(D8="","",IF(J8="内部",INDEX(ProjectParameterTable[值],MATCH("SIT_INT_SUPPORT",ProjectParameterTable[参数代码],0)),IF(J8="外部",INDEX(ProjectParameterTable[值],MATCH("SIT_EXT_SUPPORT",ProjectParameterTable[参数代码],0)),"")))</f>
        <v/>
      </c>
      <c r="N8" s="945">
        <f>IF(OR(D8="",M8=""),"",ROUND(M8*IFERROR(INDEX(TaskTable[复杂度倍率],MATCH(D8,TaskTable[任务名称],0)),0),1))</f>
        <v/>
      </c>
    </row>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1" scenarios="0" formatColumns="0" deleteColumns="1" insertColumns="1" pivotTables="1" deleteRows="1" formatCells="1" formatRows="0" sort="1"/>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60" t="inlineStr">
        <is>
          <t>会员主数据服务在联调期间可用</t>
        </is>
      </c>
      <c r="B5" s="1061" t="inlineStr">
        <is>
          <t>假设</t>
        </is>
      </c>
      <c r="C5" s="1060" t="inlineStr">
        <is>
          <t>客户档案内部集成测试开始</t>
        </is>
      </c>
      <c r="D5" s="1060" t="inlineStr">
        <is>
          <t>会员主数据团队提供稳定的 SIT 端点和测试账号</t>
        </is>
      </c>
      <c r="E5" s="1061" t="inlineStr">
        <is>
          <t>已明确</t>
        </is>
      </c>
      <c r="F5" s="1060" t="inlineStr">
        <is>
          <t>按已确认的联调窗口执行系统集成测试</t>
        </is>
      </c>
      <c r="G5" s="1049" t="n"/>
      <c r="H5" s="1049" t="n"/>
      <c r="I5" s="1049" t="n"/>
    </row>
    <row r="6" ht="38" customHeight="1" s="1025">
      <c r="A6" s="1060" t="inlineStr">
        <is>
          <t>生产告警通知渠道待确认</t>
        </is>
      </c>
      <c r="B6" s="1061" t="inlineStr">
        <is>
          <t>风险</t>
        </is>
      </c>
      <c r="C6" s="1060" t="inlineStr">
        <is>
          <t>生产准备评审前仍未登记最终通知渠道</t>
        </is>
      </c>
      <c r="D6" s="1060" t="inlineStr">
        <is>
          <t>运维团队确认邮件、工单或值班群以及接收人</t>
        </is>
      </c>
      <c r="E6" s="1061" t="inlineStr">
        <is>
          <t>待确认</t>
        </is>
      </c>
      <c r="F6" s="1060" t="inlineStr">
        <is>
          <t>上线前确认渠道并写入监控配置和运维手册</t>
        </is>
      </c>
      <c r="G6" s="1049" t="n"/>
      <c r="H6" s="1049" t="n"/>
      <c r="I6" s="1049" t="n"/>
    </row>
    <row r="7" ht="38" customHeight="1" s="1025">
      <c r="A7" s="1060" t="inlineStr">
        <is>
          <t>ERP SIT 环境按工作日窗口开放</t>
        </is>
      </c>
      <c r="B7" s="1061" t="inlineStr">
        <is>
          <t>假设</t>
        </is>
      </c>
      <c r="C7" s="1060" t="inlineStr">
        <is>
          <t>库存预占联调计划基线确认</t>
        </is>
      </c>
      <c r="D7" s="1060" t="inlineStr">
        <is>
          <t>ERP 团队保证工作日 09:00 至 18:00 可用并提前通知停机</t>
        </is>
      </c>
      <c r="E7" s="1061" t="inlineStr">
        <is>
          <t>已明确</t>
        </is>
      </c>
      <c r="F7" s="1060" t="inlineStr">
        <is>
          <t>联调和缺陷复测安排在已确认窗口内</t>
        </is>
      </c>
      <c r="G7" s="1049" t="n"/>
      <c r="H7" s="1049" t="n"/>
      <c r="I7" s="1049" t="n"/>
    </row>
    <row r="8" ht="38" customHeight="1" s="1025">
      <c r="A8" s="1060" t="inlineStr">
        <is>
          <t>支付网关退款认证可能延迟</t>
        </is>
      </c>
      <c r="B8" s="1061" t="inlineStr">
        <is>
          <t>风险</t>
        </is>
      </c>
      <c r="C8" s="1060" t="inlineStr">
        <is>
          <t>SIT 第 2 周开始时认证材料仍未通过</t>
        </is>
      </c>
      <c r="D8" s="1060" t="inlineStr">
        <is>
          <t>资金管理部提交企业材料，项目团队提供回调地址和测试证据</t>
        </is>
      </c>
      <c r="E8" s="1061" t="inlineStr">
        <is>
          <t>待确认</t>
        </is>
      </c>
      <c r="F8" s="1060" t="inlineStr">
        <is>
          <t>项目启动五个工作日内提交材料，延期时调整退款联调顺序</t>
        </is>
      </c>
      <c r="G8" s="1049" t="n"/>
      <c r="H8" s="1049" t="n"/>
      <c r="I8" s="1049" t="n"/>
    </row>
    <row r="9" ht="38" customHeight="1" s="1025">
      <c r="A9" s="1060" t="inlineStr">
        <is>
          <t>迁移冻结窗口为周六 00:00 至 04:00</t>
        </is>
      </c>
      <c r="B9" s="1061" t="inlineStr">
        <is>
          <t>假设</t>
        </is>
      </c>
      <c r="C9" s="1060" t="inlineStr">
        <is>
          <t>生产切换计划批准</t>
        </is>
      </c>
      <c r="D9" s="1060" t="inlineStr">
        <is>
          <t>业务负责人批准冻结，数据负责人提供最终增量范围</t>
        </is>
      </c>
      <c r="E9" s="1061" t="inlineStr">
        <is>
          <t>已明确</t>
        </is>
      </c>
      <c r="F9" s="1060" t="inlineStr">
        <is>
          <t>按四小时窗口编排增量迁移、校验和回滚检查点</t>
        </is>
      </c>
      <c r="G9" s="1049" t="n"/>
      <c r="H9" s="1049" t="n"/>
      <c r="I9" s="1049" t="n"/>
    </row>
    <row r="10" ht="38" customHeight="1" s="1025">
      <c r="A10" s="1060" t="inlineStr">
        <is>
          <t>电子发票生产证书与测试配额待确认</t>
        </is>
      </c>
      <c r="B10" s="1061" t="inlineStr">
        <is>
          <t>风险</t>
        </is>
      </c>
      <c r="C10" s="1060" t="inlineStr">
        <is>
          <t>生产准备评审时证书或每日 500 张测试配额未就绪</t>
        </is>
      </c>
      <c r="D10" s="1060" t="inlineStr">
        <is>
          <t>财务共享中心协调供应商下发证书并确认配额</t>
        </is>
      </c>
      <c r="E10" s="1061" t="inlineStr">
        <is>
          <t>待确认</t>
        </is>
      </c>
      <c r="F10" s="1060" t="inlineStr">
        <is>
          <t>联调前确认测试配额，生产切换前完成证书装载和连通性检查</t>
        </is>
      </c>
      <c r="G10" s="1049" t="n"/>
      <c r="H10" s="1049" t="n"/>
      <c r="I10" s="1049" t="n"/>
    </row>
    <row r="11" s="1025">
      <c r="G11" s="1049" t="n"/>
      <c r="H11" s="1049" t="n"/>
      <c r="I11" s="1049" t="n"/>
    </row>
    <row r="12" s="1025">
      <c r="G12" s="1049" t="n"/>
      <c r="H12" s="1049" t="n"/>
      <c r="I12" s="1049" t="n"/>
    </row>
    <row r="13" s="1025">
      <c r="G13" s="1049" t="n"/>
      <c r="H13" s="1049" t="n"/>
      <c r="I13" s="1049" t="n"/>
    </row>
    <row r="14" s="1025">
      <c r="G14" s="1049" t="n"/>
      <c r="H14" s="1049" t="n"/>
      <c r="I14" s="1049" t="n"/>
    </row>
    <row r="15" s="1025">
      <c r="G15" s="1049" t="n"/>
      <c r="H15" s="1049" t="n"/>
      <c r="I15" s="1049" t="n"/>
    </row>
    <row r="16" s="1025">
      <c r="G16" s="1049" t="n"/>
      <c r="H16" s="1049" t="n"/>
      <c r="I16" s="1049" t="n"/>
    </row>
    <row r="17" s="1025">
      <c r="G17" s="1049" t="n"/>
      <c r="H17" s="1049" t="n"/>
      <c r="I17" s="1049" t="n"/>
    </row>
    <row r="18" s="1025">
      <c r="G18" s="1049" t="n"/>
      <c r="H18" s="1049" t="n"/>
      <c r="I18" s="1049" t="n"/>
    </row>
    <row r="19" s="1025">
      <c r="G19" s="1049" t="n"/>
      <c r="H19" s="1049" t="n"/>
      <c r="I19" s="1049" t="n"/>
    </row>
    <row r="20" s="1025">
      <c r="G20" s="1049" t="n"/>
      <c r="H20" s="1049" t="n"/>
      <c r="I20" s="1049" t="n"/>
    </row>
    <row r="21" s="1025">
      <c r="G21" s="1049" t="n"/>
      <c r="H21" s="1049" t="n"/>
      <c r="I21" s="1049" t="n"/>
    </row>
    <row r="22" s="1025">
      <c r="G22" s="1049" t="n"/>
      <c r="H22" s="1049" t="n"/>
      <c r="I22" s="1049" t="n"/>
    </row>
    <row r="23" s="1025">
      <c r="G23" s="1049" t="n"/>
      <c r="H23" s="1049" t="n"/>
      <c r="I23" s="1049" t="n"/>
    </row>
    <row r="24" s="1025">
      <c r="G24" s="1049" t="n"/>
      <c r="H24" s="1049" t="n"/>
      <c r="I24" s="1049" t="n"/>
    </row>
    <row r="25" s="1025">
      <c r="G25" s="1049" t="n"/>
      <c r="H25" s="1049" t="n"/>
      <c r="I25" s="1049" t="n"/>
    </row>
    <row r="26" s="1025">
      <c r="G26" s="1049" t="n"/>
      <c r="H26" s="1049" t="n"/>
      <c r="I26" s="1049" t="n"/>
    </row>
    <row r="27" s="1025">
      <c r="G27" s="1049" t="n"/>
      <c r="H27" s="1049" t="n"/>
      <c r="I27" s="1049" t="n"/>
    </row>
    <row r="28" s="1025">
      <c r="G28" s="1049" t="n"/>
      <c r="H28" s="1049" t="n"/>
      <c r="I28" s="1049" t="n"/>
    </row>
    <row r="29" s="1025">
      <c r="G29" s="1049" t="n"/>
      <c r="H29" s="1049" t="n"/>
      <c r="I29" s="1049" t="n"/>
    </row>
    <row r="30" s="1025">
      <c r="G30" s="1049" t="n"/>
      <c r="H30" s="1049" t="n"/>
      <c r="I30" s="1049" t="n"/>
    </row>
    <row r="31" s="1025">
      <c r="G31" s="1049" t="n"/>
      <c r="H31" s="1049" t="n"/>
      <c r="I31" s="1049" t="n"/>
    </row>
    <row r="32" s="1025">
      <c r="G32" s="1049" t="n"/>
      <c r="H32" s="1049" t="n"/>
      <c r="I32" s="1049" t="n"/>
    </row>
    <row r="33" s="1025">
      <c r="G33" s="1049" t="n"/>
      <c r="H33" s="1049" t="n"/>
      <c r="I33" s="1049" t="n"/>
    </row>
    <row r="34" s="1025">
      <c r="G34" s="1049" t="n"/>
      <c r="H34" s="1049" t="n"/>
      <c r="I34" s="1049" t="n"/>
    </row>
    <row r="35" s="1025">
      <c r="G35" s="1049" t="n"/>
      <c r="H35" s="1049" t="n"/>
      <c r="I35" s="1049" t="n"/>
    </row>
    <row r="36" s="1025">
      <c r="G36" s="1049" t="n"/>
      <c r="H36" s="1049" t="n"/>
      <c r="I36" s="1049" t="n"/>
    </row>
    <row r="37" s="1025">
      <c r="G37" s="1049" t="n"/>
      <c r="H37" s="1049" t="n"/>
      <c r="I37" s="1049" t="n"/>
    </row>
    <row r="38" s="1025">
      <c r="G38" s="1049" t="n"/>
      <c r="H38" s="1049" t="n"/>
      <c r="I38" s="1049" t="n"/>
    </row>
    <row r="39" s="1025">
      <c r="G39" s="1049" t="n"/>
      <c r="H39" s="1049" t="n"/>
      <c r="I39" s="1049" t="n"/>
    </row>
    <row r="40" s="1025">
      <c r="G40" s="1049" t="n"/>
      <c r="H40" s="1049" t="n"/>
      <c r="I40" s="1049" t="n"/>
    </row>
    <row r="41" s="1025">
      <c r="G41" s="1049" t="n"/>
      <c r="H41" s="1049" t="n"/>
      <c r="I41" s="1049" t="n"/>
    </row>
    <row r="42" s="1025">
      <c r="G42" s="1049" t="n"/>
      <c r="H42" s="1049" t="n"/>
      <c r="I42" s="1049" t="n"/>
    </row>
    <row r="43" s="1025">
      <c r="G43" s="1049" t="n"/>
      <c r="H43" s="1049" t="n"/>
      <c r="I43" s="1049" t="n"/>
    </row>
    <row r="44" s="1025">
      <c r="G44" s="1049" t="n"/>
      <c r="H44" s="1049" t="n"/>
      <c r="I44" s="1049" t="n"/>
    </row>
    <row r="45" s="1025">
      <c r="G45" s="1049" t="n"/>
      <c r="H45" s="1049" t="n"/>
      <c r="I45" s="1049" t="n"/>
    </row>
    <row r="46" s="1025">
      <c r="G46" s="1049" t="n"/>
      <c r="H46" s="1049" t="n"/>
      <c r="I46" s="1049" t="n"/>
    </row>
    <row r="47" s="1025">
      <c r="G47" s="1049" t="n"/>
      <c r="H47" s="1049" t="n"/>
      <c r="I47" s="1049" t="n"/>
    </row>
    <row r="48" s="1025">
      <c r="G48" s="1049" t="n"/>
      <c r="H48" s="1049" t="n"/>
      <c r="I48" s="1049" t="n"/>
    </row>
    <row r="49" s="1025">
      <c r="G49" s="1049" t="n"/>
      <c r="H49" s="1049" t="n"/>
      <c r="I49" s="1049" t="n"/>
    </row>
    <row r="50" s="1025">
      <c r="G50" s="1049" t="n"/>
      <c r="H50" s="1049" t="n"/>
      <c r="I50" s="1049" t="n"/>
    </row>
    <row r="51" s="1025">
      <c r="G51" s="1049" t="n"/>
      <c r="H51" s="1049" t="n"/>
      <c r="I51" s="1049" t="n"/>
    </row>
    <row r="52" s="1025">
      <c r="G52" s="1049" t="n"/>
      <c r="H52" s="1049" t="n"/>
      <c r="I52" s="1049" t="n"/>
    </row>
    <row r="53" s="1025">
      <c r="G53" s="1049" t="n"/>
      <c r="H53" s="1049" t="n"/>
      <c r="I53" s="1049" t="n"/>
    </row>
    <row r="54" s="1025">
      <c r="G54" s="1049" t="n"/>
      <c r="H54" s="1049" t="n"/>
      <c r="I54" s="1049" t="n"/>
    </row>
    <row r="55" s="1025">
      <c r="G55" s="1049" t="n"/>
      <c r="H55" s="1049" t="n"/>
      <c r="I55" s="1049" t="n"/>
    </row>
    <row r="56" s="1025">
      <c r="G56" s="1049" t="n"/>
      <c r="H56" s="1049" t="n"/>
      <c r="I56" s="1049" t="n"/>
    </row>
    <row r="57" s="1025">
      <c r="G57" s="1049" t="n"/>
      <c r="H57" s="1049" t="n"/>
      <c r="I57" s="1049" t="n"/>
    </row>
    <row r="58" s="1025">
      <c r="G58" s="1049" t="n"/>
      <c r="H58" s="1049" t="n"/>
      <c r="I58" s="1049" t="n"/>
    </row>
    <row r="59" s="1025">
      <c r="G59" s="1049" t="n"/>
      <c r="H59" s="1049" t="n"/>
      <c r="I59" s="1049" t="n"/>
    </row>
    <row r="60" s="1025">
      <c r="G60" s="1049" t="n"/>
      <c r="H60" s="1049" t="n"/>
      <c r="I60" s="1049" t="n"/>
    </row>
    <row r="61" s="1025">
      <c r="G61" s="1049" t="n"/>
      <c r="H61" s="1049" t="n"/>
      <c r="I61" s="1049" t="n"/>
    </row>
    <row r="62" s="1025">
      <c r="G62" s="1049" t="n"/>
      <c r="H62" s="1049" t="n"/>
      <c r="I62" s="1049" t="n"/>
    </row>
    <row r="63" s="1025">
      <c r="G63" s="1049" t="n"/>
      <c r="H63" s="1049" t="n"/>
      <c r="I63" s="1049" t="n"/>
    </row>
    <row r="64" s="1025">
      <c r="G64" s="1049" t="n"/>
      <c r="H64" s="1049" t="n"/>
      <c r="I64" s="1049" t="n"/>
    </row>
    <row r="65" s="1025">
      <c r="G65" s="1049" t="n"/>
      <c r="H65" s="1049" t="n"/>
      <c r="I65" s="1049" t="n"/>
    </row>
    <row r="66" s="1025">
      <c r="G66" s="1049" t="n"/>
      <c r="H66" s="1049" t="n"/>
      <c r="I66" s="1049" t="n"/>
    </row>
    <row r="67" s="1025">
      <c r="G67" s="1049" t="n"/>
      <c r="H67" s="1049" t="n"/>
      <c r="I67" s="1049" t="n"/>
    </row>
    <row r="68" s="1025">
      <c r="G68" s="1049" t="n"/>
      <c r="H68" s="1049" t="n"/>
      <c r="I68" s="1049" t="n"/>
    </row>
    <row r="69" s="1025">
      <c r="G69" s="1049" t="n"/>
      <c r="H69" s="1049" t="n"/>
      <c r="I69" s="1049" t="n"/>
    </row>
    <row r="70" s="1025">
      <c r="G70" s="1049" t="n"/>
      <c r="H70" s="1049" t="n"/>
      <c r="I70" s="1049" t="n"/>
    </row>
    <row r="71" s="1025">
      <c r="G71" s="1049" t="n"/>
      <c r="H71" s="1049" t="n"/>
      <c r="I71" s="1049" t="n"/>
    </row>
    <row r="72" s="1025">
      <c r="G72" s="1049" t="n"/>
      <c r="H72" s="1049" t="n"/>
      <c r="I72" s="1049" t="n"/>
    </row>
    <row r="73" s="1025">
      <c r="G73" s="1049" t="n"/>
      <c r="H73" s="1049" t="n"/>
      <c r="I73" s="1049" t="n"/>
    </row>
    <row r="74" s="1025">
      <c r="G74" s="1049" t="n"/>
      <c r="H74" s="1049" t="n"/>
      <c r="I74" s="1049" t="n"/>
    </row>
    <row r="75" s="1025">
      <c r="G75" s="1049" t="n"/>
      <c r="H75" s="1049" t="n"/>
      <c r="I75" s="1049" t="n"/>
    </row>
    <row r="76" s="1025">
      <c r="G76" s="1049" t="n"/>
      <c r="H76" s="1049" t="n"/>
      <c r="I76" s="1049" t="n"/>
    </row>
    <row r="77" s="1025">
      <c r="G77" s="1049" t="n"/>
      <c r="H77" s="1049" t="n"/>
      <c r="I77" s="1049" t="n"/>
    </row>
    <row r="78" s="1025">
      <c r="G78" s="1049" t="n"/>
      <c r="H78" s="1049" t="n"/>
      <c r="I78" s="1049" t="n"/>
    </row>
    <row r="79" s="1025">
      <c r="G79" s="1049" t="n"/>
      <c r="H79" s="1049" t="n"/>
      <c r="I79" s="1049" t="n"/>
    </row>
    <row r="80" s="1025">
      <c r="G80" s="1049" t="n"/>
      <c r="H80" s="1049" t="n"/>
      <c r="I80" s="1049" t="n"/>
    </row>
    <row r="81" s="1025">
      <c r="G81" s="1049" t="n"/>
      <c r="H81" s="1049" t="n"/>
      <c r="I81" s="1049" t="n"/>
    </row>
    <row r="82" s="1025">
      <c r="G82" s="1049" t="n"/>
      <c r="H82" s="1049" t="n"/>
      <c r="I82" s="1049" t="n"/>
    </row>
    <row r="83" s="1025">
      <c r="G83" s="1049" t="n"/>
      <c r="H83" s="1049" t="n"/>
      <c r="I83" s="1049" t="n"/>
    </row>
    <row r="84" s="1025">
      <c r="G84" s="1049" t="n"/>
      <c r="H84" s="1049" t="n"/>
      <c r="I84" s="1049" t="n"/>
    </row>
    <row r="85" s="1025">
      <c r="G85" s="1049" t="n"/>
      <c r="H85" s="1049" t="n"/>
      <c r="I85" s="1049" t="n"/>
    </row>
    <row r="86" s="1025">
      <c r="G86" s="1049" t="n"/>
      <c r="H86" s="1049" t="n"/>
      <c r="I86" s="1049" t="n"/>
    </row>
    <row r="87" s="1025">
      <c r="G87" s="1049" t="n"/>
      <c r="H87" s="1049" t="n"/>
      <c r="I87" s="1049" t="n"/>
    </row>
    <row r="88" s="1025">
      <c r="G88" s="1049" t="n"/>
      <c r="H88" s="1049" t="n"/>
      <c r="I88" s="1049" t="n"/>
    </row>
    <row r="89" s="1025">
      <c r="G89" s="1049" t="n"/>
      <c r="H89" s="1049" t="n"/>
      <c r="I89" s="1049" t="n"/>
    </row>
    <row r="90" s="1025">
      <c r="G90" s="1049" t="n"/>
      <c r="H90" s="1049" t="n"/>
      <c r="I90" s="1049" t="n"/>
    </row>
    <row r="91" s="1025">
      <c r="G91" s="1049" t="n"/>
      <c r="H91" s="1049" t="n"/>
      <c r="I91" s="1049" t="n"/>
    </row>
    <row r="92" s="1025">
      <c r="G92" s="1049" t="n"/>
      <c r="H92" s="1049" t="n"/>
      <c r="I92" s="1049" t="n"/>
    </row>
    <row r="93" s="1025">
      <c r="G93" s="1049" t="n"/>
      <c r="H93" s="1049" t="n"/>
      <c r="I93" s="1049" t="n"/>
    </row>
    <row r="94" s="1025">
      <c r="G94" s="1049" t="n"/>
      <c r="H94" s="1049" t="n"/>
      <c r="I94" s="1049" t="n"/>
    </row>
    <row r="95" s="1025">
      <c r="G95" s="1049" t="n"/>
      <c r="H95" s="1049" t="n"/>
      <c r="I95" s="1049" t="n"/>
    </row>
    <row r="96" s="1025">
      <c r="G96" s="1049" t="n"/>
      <c r="H96" s="1049" t="n"/>
      <c r="I96" s="1049" t="n"/>
    </row>
    <row r="97" s="1025">
      <c r="G97" s="1049" t="n"/>
      <c r="H97" s="1049" t="n"/>
      <c r="I97" s="1049" t="n"/>
    </row>
    <row r="98" s="1025">
      <c r="G98" s="1049" t="n"/>
      <c r="H98" s="1049" t="n"/>
      <c r="I98" s="1049" t="n"/>
    </row>
    <row r="99" s="1025">
      <c r="G99" s="1049" t="n"/>
      <c r="H99" s="1049" t="n"/>
      <c r="I99" s="1049" t="n"/>
    </row>
    <row r="100" s="1025">
      <c r="G100" s="1049" t="n"/>
      <c r="H100" s="1049" t="n"/>
      <c r="I100" s="1049" t="n"/>
    </row>
    <row r="101" s="1025">
      <c r="G101" s="1049" t="n"/>
      <c r="H101" s="1049" t="n"/>
      <c r="I101" s="1049" t="n"/>
    </row>
    <row r="102" s="1025">
      <c r="G102" s="1049" t="n"/>
      <c r="H102" s="1049" t="n"/>
      <c r="I102" s="1049" t="n"/>
    </row>
    <row r="103" s="1025">
      <c r="G103" s="1049" t="n"/>
      <c r="H103" s="1049" t="n"/>
      <c r="I103" s="1049" t="n"/>
    </row>
    <row r="104" s="1025">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1" scenarios="0" formatColumns="0" deleteColumns="1" insertColumns="1" pivotTables="1" deleteRows="1" formatCells="1" formatRows="0" sort="1"/>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5"/>
  <sheetViews>
    <sheetView showGridLines="0" workbookViewId="0">
      <pane ySplit="4" topLeftCell="A5" activePane="bottomLeft" state="frozen"/>
      <selection pane="bottomLeft" activeCell="A1" sqref="A1"/>
    </sheetView>
  </sheetViews>
  <sheetFormatPr baseColWidth="8" defaultColWidth="9" defaultRowHeight="16.79999923706055"/>
  <cols>
    <col width="24" customWidth="1" style="1025" min="1" max="1"/>
    <col width="32" customWidth="1" style="1025" min="2" max="2"/>
    <col width="72" customWidth="1" style="1025" min="3" max="3"/>
    <col width="20" customWidth="1" style="1025" min="4" max="4"/>
    <col width="44" customWidth="1" style="1025" min="5" max="5"/>
    <col width="34" customWidth="1" style="1025" min="6" max="6"/>
    <col width="34" customWidth="1" style="1025" min="7" max="7"/>
    <col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row>
    <row r="2" ht="32" customHeight="1" s="1025">
      <c r="A2" s="1055" t="inlineStr">
        <is>
          <t>模式：存量改造 | 截止日期：2026-08-19 | 代码仓库：客户门户仓库@0123456789ab | 排除范围：上线后驻场支持、旧系统退役、ERP 库存核算改造、总账系统改造</t>
        </is>
      </c>
      <c r="B2" s="1056" t="n"/>
      <c r="C2" s="1056" t="n"/>
      <c r="D2" s="1056" t="n"/>
    </row>
    <row r="3" ht="9" customHeight="1" s="1025">
      <c r="A3" s="918" t="n"/>
      <c r="B3" s="948" t="n"/>
      <c r="C3" s="918" t="n"/>
      <c r="D3" s="948" t="n"/>
      <c r="E3" s="948" t="n"/>
      <c r="F3" s="948" t="n"/>
      <c r="G3" s="948" t="n"/>
      <c r="H3" s="918" t="n"/>
    </row>
    <row r="4" ht="38" customHeight="1" s="1025">
      <c r="A4" s="644" t="inlineStr">
        <is>
          <t>主题名称</t>
        </is>
      </c>
      <c r="B4" s="644" t="inlineStr">
        <is>
          <t>现状条目名称</t>
        </is>
      </c>
      <c r="C4" s="644" t="inlineStr">
        <is>
          <t>现状描述</t>
        </is>
      </c>
      <c r="D4" s="644" t="inlineStr">
        <is>
          <t>起点可用性</t>
        </is>
      </c>
    </row>
    <row r="5" ht="36" customHeight="1" s="1025">
      <c r="A5" s="1057" t="inlineStr">
        <is>
          <t>应用与组件</t>
        </is>
      </c>
      <c r="B5" s="1053" t="inlineStr">
        <is>
          <t>可复用的客户档案框架</t>
        </is>
      </c>
      <c r="C5" s="1053" t="inlineStr">
        <is>
          <t>从现有客户档案页面、字段校验和服务框架开始。</t>
        </is>
      </c>
      <c r="D5" s="1057" t="inlineStr">
        <is>
          <t>当前已存在</t>
        </is>
      </c>
    </row>
    <row r="6" ht="36" customHeight="1" s="1025">
      <c r="A6" s="1057" t="inlineStr">
        <is>
          <t>数据与存储</t>
        </is>
      </c>
      <c r="B6" s="1053" t="inlineStr">
        <is>
          <t>既有会员主数据模型</t>
        </is>
      </c>
      <c r="C6" s="1053" t="inlineStr">
        <is>
          <t>复用统一会员号与基础属性表，新增等级历史和规则版本。</t>
        </is>
      </c>
      <c r="D6" s="1057" t="inlineStr">
        <is>
          <t>当前已存在</t>
        </is>
      </c>
    </row>
    <row r="7" ht="36" customHeight="1" s="1025">
      <c r="A7" s="1057" t="inlineStr">
        <is>
          <t>应用与组件</t>
        </is>
      </c>
      <c r="B7" s="1053" t="inlineStr">
        <is>
          <t>既有订单服务与状态机</t>
        </is>
      </c>
      <c r="C7" s="1053" t="inlineStr">
        <is>
          <t>调整线上订单服务，扩展门店、退货退款和财务状态。</t>
        </is>
      </c>
      <c r="D7" s="1057" t="inlineStr">
        <is>
          <t>当前已存在</t>
        </is>
      </c>
    </row>
    <row r="8" ht="36" customHeight="1" s="1025">
      <c r="A8" s="1057" t="inlineStr">
        <is>
          <t>集成与外部依赖</t>
        </is>
      </c>
      <c r="B8" s="1053" t="inlineStr">
        <is>
          <t>既有 ERP 库存接口</t>
        </is>
      </c>
      <c r="C8" s="1053" t="inlineStr">
        <is>
          <t>接口契约保持不变，本项目完成认证、映射、适配和专项验证。</t>
        </is>
      </c>
      <c r="D8" s="1057" t="inlineStr">
        <is>
          <t>当前已存在</t>
        </is>
      </c>
    </row>
    <row r="9" ht="36" customHeight="1" s="1025">
      <c r="A9" s="1057" t="inlineStr">
        <is>
          <t>集成与外部依赖</t>
        </is>
      </c>
      <c r="B9" s="1053" t="inlineStr">
        <is>
          <t>既有支付网关租户</t>
        </is>
      </c>
      <c r="C9" s="1053" t="inlineStr">
        <is>
          <t>支付网关平台保持不变，本项目完成配置、认证、映射和专项验证。</t>
        </is>
      </c>
      <c r="D9" s="1057" t="inlineStr">
        <is>
          <t>当前已存在</t>
        </is>
      </c>
    </row>
    <row r="10" ht="36" customHeight="1" s="1025">
      <c r="A10" s="1057" t="inlineStr">
        <is>
          <t>集成与外部依赖</t>
        </is>
      </c>
      <c r="B10" s="1053" t="inlineStr">
        <is>
          <t>既有电子发票通道</t>
        </is>
      </c>
      <c r="C10" s="1053" t="inlineStr">
        <is>
          <t>电子发票平台保持不变，本项目完成租户设置、认证、映射和适配。</t>
        </is>
      </c>
      <c r="D10" s="1057" t="inlineStr">
        <is>
          <t>当前已存在</t>
        </is>
      </c>
    </row>
    <row r="11" ht="36" customHeight="1" s="1025">
      <c r="A11" s="1057" t="inlineStr">
        <is>
          <t>平台、环境与部署</t>
        </is>
      </c>
      <c r="B11" s="1053" t="inlineStr">
        <is>
          <t>既有生产环境与发布流水线</t>
        </is>
      </c>
      <c r="C11" s="1053" t="inlineStr">
        <is>
          <t>在现有集群与流水线中增加应用配置、发布步骤、切换和回滚清单。</t>
        </is>
      </c>
      <c r="D11" s="1057" t="inlineStr">
        <is>
          <t>当前已存在</t>
        </is>
      </c>
    </row>
    <row r="12" ht="36" customHeight="1" s="1025">
      <c r="A12" s="1057" t="inlineStr">
        <is>
          <t>安全与合规</t>
        </is>
      </c>
      <c r="B12" s="1053" t="inlineStr">
        <is>
          <t>既有会员授权中心</t>
        </is>
      </c>
      <c r="C12" s="1053" t="inlineStr">
        <is>
          <t>现有授权、撤回、查询与审计能力已完整覆盖本期目标。</t>
        </is>
      </c>
      <c r="D12" s="1057" t="inlineStr">
        <is>
          <t>当前已存在</t>
        </is>
      </c>
    </row>
    <row r="13" ht="36" customHeight="1" s="1025">
      <c r="A13" s="1057" t="inlineStr">
        <is>
          <t>能力与流程</t>
        </is>
      </c>
      <c r="B13" s="1053" t="inlineStr">
        <is>
          <t>既有订单消息通知服务</t>
        </is>
      </c>
      <c r="C13" s="1053" t="inlineStr">
        <is>
          <t>标准订单事件和现有通知通道已完整覆盖本期通知目标。</t>
        </is>
      </c>
      <c r="D13" s="1057" t="inlineStr">
        <is>
          <t>当前已存在</t>
        </is>
      </c>
    </row>
    <row r="14" ht="36" customHeight="1" s="1025">
      <c r="A14" s="1057" t="inlineStr">
        <is>
          <t>运维与质量</t>
        </is>
      </c>
      <c r="B14" s="1053" t="inlineStr">
        <is>
          <t>既有统一监控平台</t>
        </is>
      </c>
      <c r="C14" s="1053" t="inlineStr">
        <is>
          <t>复用日志、指标和链路平台，新增订单与财务作业监控。</t>
        </is>
      </c>
      <c r="D14" s="1057" t="inlineStr">
        <is>
          <t>当前已存在</t>
        </is>
      </c>
    </row>
    <row r="15" ht="36" customHeight="1" s="1025">
      <c r="A15" s="1057" t="inlineStr">
        <is>
          <t>运维与质量</t>
        </is>
      </c>
      <c r="B15" s="1053" t="inlineStr">
        <is>
          <t>既有回归测试资产</t>
        </is>
      </c>
      <c r="C15" s="1053" t="inlineStr">
        <is>
          <t>调整既有测试框架、测试用例、测试脚本、兼容矩阵与负载模型。</t>
        </is>
      </c>
      <c r="D15" s="1057" t="inlineStr">
        <is>
          <t>当前已存在</t>
        </is>
      </c>
    </row>
    <row r="17" ht="38" customHeight="1" s="1025"/>
    <row r="18" ht="36" customHeight="1" s="1025"/>
    <row r="19" ht="36" customHeight="1" s="1025"/>
    <row r="20" ht="36" customHeight="1" s="1025"/>
    <row r="21" ht="36" customHeight="1" s="1025"/>
    <row r="22" ht="36" customHeight="1" s="1025"/>
    <row r="23" ht="36" customHeight="1" s="1025"/>
    <row r="24" ht="36" customHeight="1" s="1025"/>
    <row r="25" ht="36" customHeight="1" s="1025"/>
  </sheetData>
  <mergeCells count="2">
    <mergeCell ref="A1:D1"/>
    <mergeCell ref="A2:D2"/>
  </mergeCells>
  <conditionalFormatting sqref="B5:B1004">
    <cfRule type="expression" priority="2" dxfId="39">
      <formula>AND(B5&lt;&gt;"",COUNTIF($B$5:$B$1004,B5)&gt;1)</formula>
    </cfRule>
  </conditionalFormatting>
  <dataValidations count="2">
    <dataValidation sqref="A5:A1004" showDropDown="0" showInputMessage="1" showErrorMessage="1" allowBlank="0" errorTitle="主题名称无效" error="请选择下拉列表中的主题名称。" promptTitle="主题名称" prompt="从九个系统现状主题中选择。" type="list" errorStyle="stop">
      <formula1>"系统边界与参与方,能力与流程,应用与组件,集成与外部依赖,数据与存储,平台、环境与部署,安全与合规,运维与质量,交付与约束"</formula1>
    </dataValidation>
    <dataValidation sqref="D5:D1004" showDropDown="0" showInputMessage="1" showErrorMessage="1" allowBlank="0" errorTitle="起点可用性无效" error="请选择“当前已存在”或“预计开工前具备”。" promptTitle="起点可用性" prompt="说明该条目现在已存在，还是预计在项目开工前具备。" type="list" errorStyle="stop">
      <formula1>"当前已存在,预计开工前具备"</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