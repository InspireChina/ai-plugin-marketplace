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5.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3"/>
  </bookViews>
  <sheets>
    <sheet name="01-需求故事" sheetId="1" state="visible" r:id="rId3"/>
    <sheet name="02-任务清单" sheetId="2" state="visible" r:id="rId4"/>
    <sheet name="03-工作量汇总" sheetId="3" state="visible" r:id="rId5"/>
    <sheet name="90-估算标准" sheetId="4" state="visible" r:id="rId6"/>
  </sheets>
  <definedNames>
    <definedName function="false" hidden="false" localSheetId="0" name="_xlnm.Print_Titles" vbProcedure="false">'01-需求故事'!$1:$4</definedName>
    <definedName function="false" hidden="false" localSheetId="1" name="_xlnm.Print_Titles" vbProcedure="false">'02-任务清单'!$1:$4</definedName>
    <definedName function="false" hidden="false" localSheetId="2" name="_xlnm.Print_Area" vbProcedure="false">'03-工作量汇总'!$A$1:$C$22</definedName>
    <definedName function="false" hidden="false" localSheetId="3" name="_xlnm.Print_Area" vbProcedure="false">'90-估算标准'!$AM$1:$AV$92</definedName>
    <definedName function="false" hidden="false" localSheetId="3" name="_xlnm.Print_Titles" vbProcedure="false">'90-估算标准'!$1:$4</definedName>
    <definedName function="false" hidden="true" localSheetId="3" name="_xlnm._FilterDatabase" vbProcedure="false">'90-估算标准'!$AM$4:$BB$92</definedName>
    <definedName function="false" hidden="false" name="AiSowIntegrationTypes" vbProcedure="false">'90-估算标准'!$BD$5:$BD$6</definedName>
    <definedName function="false" hidden="false" name="AiSowNoIntegrationType" vbProcedure="false">'90-估算标准'!$BD$7</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<sst xmlns="http://schemas.openxmlformats.org/spreadsheetml/2006/main" count="2688" uniqueCount="1738">
  <si>
    <t xml:space="preserve">需求故事</t>
  </si>
  <si>
    <r>
      <rPr>
        <sz val="11"/>
        <color theme="1"/>
        <rFont val="Arial Unicode MS"/>
        <family val="2"/>
      </rPr>
      <t xml:space="preserve">每个 </t>
    </r>
    <r>
      <rPr>
        <sz val="11"/>
        <color theme="1"/>
        <rFont val="Calibri"/>
        <family val="2"/>
        <charset val="1"/>
      </rPr>
      <t xml:space="preserve">Story </t>
    </r>
    <r>
      <rPr>
        <sz val="11"/>
        <color theme="1"/>
        <rFont val="Arial Unicode MS"/>
        <family val="2"/>
      </rPr>
      <t xml:space="preserve">一行；标题使用自然的角色</t>
    </r>
    <r>
      <rPr>
        <sz val="11"/>
        <color theme="1"/>
        <rFont val="Calibri"/>
        <family val="2"/>
        <charset val="1"/>
      </rPr>
      <t xml:space="preserve">/</t>
    </r>
    <r>
      <rPr>
        <sz val="11"/>
        <color theme="1"/>
        <rFont val="Arial Unicode MS"/>
        <family val="2"/>
      </rPr>
      <t xml:space="preserve">对象动作。每条验收条件以“• ”开头并独占一行；任务列表显示“</t>
    </r>
    <r>
      <rPr>
        <sz val="11"/>
        <color theme="1"/>
        <rFont val="Calibri"/>
        <family val="2"/>
        <charset val="1"/>
      </rPr>
      <t xml:space="preserve">[</t>
    </r>
    <r>
      <rPr>
        <sz val="11"/>
        <color theme="1"/>
        <rFont val="Arial Unicode MS"/>
        <family val="2"/>
      </rPr>
      <t xml:space="preserve">任务类型</t>
    </r>
    <r>
      <rPr>
        <sz val="11"/>
        <color theme="1"/>
        <rFont val="Calibri"/>
        <family val="2"/>
        <charset val="1"/>
      </rPr>
      <t xml:space="preserve">/</t>
    </r>
    <r>
      <rPr>
        <sz val="11"/>
        <color theme="1"/>
        <rFont val="Arial Unicode MS"/>
        <family val="2"/>
      </rPr>
      <t xml:space="preserve">工作方式</t>
    </r>
    <r>
      <rPr>
        <sz val="11"/>
        <color theme="1"/>
        <rFont val="Calibri"/>
        <family val="2"/>
        <charset val="1"/>
      </rPr>
      <t xml:space="preserve">/</t>
    </r>
    <r>
      <rPr>
        <sz val="11"/>
        <color theme="1"/>
        <rFont val="Arial Unicode MS"/>
        <family val="2"/>
      </rPr>
      <t xml:space="preserve">复杂度</t>
    </r>
    <r>
      <rPr>
        <sz val="11"/>
        <color theme="1"/>
        <rFont val="Calibri"/>
        <family val="2"/>
        <charset val="1"/>
      </rPr>
      <t xml:space="preserve">]”</t>
    </r>
    <r>
      <rPr>
        <sz val="11"/>
        <color theme="1"/>
        <rFont val="Arial Unicode MS"/>
        <family val="2"/>
      </rPr>
      <t xml:space="preserve">。备注只显示对象特有风险、假设、边界或不确定性，通用事项留在说明中。灰色列由公式维护。</t>
    </r>
  </si>
  <si>
    <t xml:space="preserve">需求</t>
  </si>
  <si>
    <t xml:space="preserve">子需求</t>
  </si>
  <si>
    <t xml:space="preserve">故事</t>
  </si>
  <si>
    <t xml:space="preserve">UAT适用</t>
  </si>
  <si>
    <t xml:space="preserve">验收条件</t>
  </si>
  <si>
    <t xml:space="preserve">备注</t>
  </si>
  <si>
    <t xml:space="preserve">任务列表</t>
  </si>
  <si>
    <t xml:space="preserve">故事人天</t>
  </si>
  <si>
    <t xml:space="preserve">校验结果</t>
  </si>
  <si>
    <t xml:space="preserve">订单履约</t>
  </si>
  <si>
    <t xml:space="preserve">订单工作台</t>
  </si>
  <si>
    <t xml:space="preserve">运营按履约状态查询订单</t>
  </si>
  <si>
    <t xml:space="preserve">是</t>
  </si>
  <si>
    <t xml:space="preserve">• 8 个筛选条件可组合查询，分页和排序结果一致；无匹配时显示空结果。
• 客服仅见允许范围的订单；原有列表查询用例保持通过。</t>
  </si>
  <si>
    <t xml:space="preserve">真实开源项目背景＋示范改造需求；非 mall 实际项目报价或历史人天。详见配套案例说明。
共享交付：订单售后共享测试数据适配包；人天计入「交付订单售后自动化回归资产」，本故事不重复计量。</t>
  </si>
  <si>
    <t xml:space="preserve">客服查看订单履约全貌</t>
  </si>
  <si>
    <t xml:space="preserve">• 订单详情展示包裹、售后状态和发货时间；无包裹订单显示明确空态。
• 已发货/售后中等 6 种状态显示一致；返回列表后筛选条件恢复。</t>
  </si>
  <si>
    <t xml:space="preserve">拆包与发货</t>
  </si>
  <si>
    <t xml:space="preserve">仓管生成可追踪的发货包裹</t>
  </si>
  <si>
    <t xml:space="preserve">• 一个订单可形成多个包裹；每个明细累计发货数不得超过订购数。
• 重复提交同一拆包请求不重复创建包裹；无效数量整单拒绝。</t>
  </si>
  <si>
    <t xml:space="preserve">仓管将包裹交给 WMS 发货</t>
  </si>
  <si>
    <t xml:space="preserve">• 校验待发货状态后才能提交；提交失败保留可重试状态。
• WMS 收到创建/取消指令及正确的 24 个映射字段；不交付 WMS 对端改造。</t>
  </si>
  <si>
    <t xml:space="preserve">订单接收 WMS 发货结果</t>
  </si>
  <si>
    <t xml:space="preserve">• 重复或乱序回执不造成重复发货与状态倒退。
• 成功/失败/取消回执更新对应包裹，并保留可查询的接收记录。</t>
  </si>
  <si>
    <t xml:space="preserve">回执内部落库、普通 Retry/DLQ 包含在集成交付物内，不额外拆命令 API 或消息 Task。</t>
  </si>
  <si>
    <t xml:space="preserve">物流查询</t>
  </si>
  <si>
    <t xml:space="preserve">客服查询包裹物流轨迹</t>
  </si>
  <si>
    <t xml:space="preserve">• 有效运单可查询签收轨迹；供应商超时与查无运单显示不同状态。
• 轨迹按时间排序，不向客服暴露供应商凭据。</t>
  </si>
  <si>
    <t xml:space="preserve">退货与退款</t>
  </si>
  <si>
    <t xml:space="preserve">退货申请</t>
  </si>
  <si>
    <t xml:space="preserve">会员分步骤提交退货申请</t>
  </si>
  <si>
    <t xml:space="preserve">• 选择商品、填写原因、确认信息、提交结果四步可回退；数量和可退状态跨步校验。
• 重复提交不新增重复申请；客服代申请仅在授权范围内可用。</t>
  </si>
  <si>
    <t xml:space="preserve">共享交付：订单售后共享测试数据适配包；人天计入「交付订单售后自动化回归资产」，本故事不重复计量。</t>
  </si>
  <si>
    <t xml:space="preserve">退货审核</t>
  </si>
  <si>
    <t xml:space="preserve">客服审核并登记退货收货</t>
  </si>
  <si>
    <t xml:space="preserve">• 审核通过、拒绝、待补充三种处理保存原因；数量超过可退上限时拒绝。
• 客服、售后主管、只读财务按资源规则操作；未授权角色默认拒绝。</t>
  </si>
  <si>
    <t xml:space="preserve">退款闭环</t>
  </si>
  <si>
    <t xml:space="preserve">财务退款并处置结果不明</t>
  </si>
  <si>
    <t xml:space="preserve">• 同一退款业务键重复提交只有一个退款结果；并发审核不得重复发起退款。
• 回调缺失可查询并经一次人工确认恢复；所有恢复步骤有操作记录。</t>
  </si>
  <si>
    <t xml:space="preserve">退款对账</t>
  </si>
  <si>
    <t xml:space="preserve">财务识别并导出退款差异</t>
  </si>
  <si>
    <t xml:space="preserve">• 日终快照按退款申请/财务结果两对对象比对，差异可分类和重跑。
• 分析系统获得机器可消费 CSV 数据集；客服页面可查看当日差异，不能直接改账。</t>
  </si>
  <si>
    <t xml:space="preserve">治理与交付</t>
  </si>
  <si>
    <t xml:space="preserve">账号与审计</t>
  </si>
  <si>
    <t xml:space="preserve">企业员工通过 SSO 进入后台</t>
  </si>
  <si>
    <t xml:space="preserve">• 企业员工可登录和续期；禁用账号不能进入后台。
• 既有本地账号按唯一员工号关联，退出后会话失效，不扩展账号同步方向。</t>
  </si>
  <si>
    <t xml:space="preserve">审计员追溯售后关键操作</t>
  </si>
  <si>
    <t xml:space="preserve">• 审核、拒绝、退款和恢复等8类事件含操作者、业务键和前后状态。
• 授权审计员可检索记录；留存180天并屏蔽非必要个人信息，普通技术日志不替代审计记录。</t>
  </si>
  <si>
    <t xml:space="preserve">数据与质量</t>
  </si>
  <si>
    <t xml:space="preserve">迁移历史订单并核验</t>
  </si>
  <si>
    <t xml:space="preserve">否</t>
  </si>
  <si>
    <t xml:space="preserve">• 三个对象共90万行按46字段映射；缺失和重复数据隔离并由业务确认后装载。
• 迁移前后业务键、数量和金额核对一致；失败可恢复快照，演练和生产执行分别留证。</t>
  </si>
  <si>
    <t xml:space="preserve">技术核验不套业务 UAT；维护窗口允许整体停机回滚。这里是计划工作，不是已完成的生产记录。</t>
  </si>
  <si>
    <t xml:space="preserve">交付订单售后自动化回归资产</t>
  </si>
  <si>
    <t xml:space="preserve">• 订单查询与拆包、退货申请与审核分别具备可重复执行的 API/UI 断言。
• 共享数据适配包被两个业务场景共同使用；构建产物及测试报告可追溯且只计一次。</t>
  </si>
  <si>
    <t xml:space="preserve">业务故事引用共享覆盖，但上述自动化资产全部在本故事计量；例行回归、缺陷复测、普通单元测试不另建 Task。</t>
  </si>
  <si>
    <t xml:space="preserve">验证并改善订单查询性能</t>
  </si>
  <si>
    <t xml:space="preserve">• 以同一硬件和快照重测查询链路，目标200 RPS下 p95≤600ms、错误率&lt;0.1%。
• 交付调优差异及固定负载模型；60分钟报告包含资源、延迟和错误指标。</t>
  </si>
  <si>
    <t xml:space="preserve">验证后台账号与售后访问控制</t>
  </si>
  <si>
    <t xml:space="preserve">• 登录、令牌和售后 API 三个相关攻击面完成约定控制检查。
• 三类角色的允许/拒绝结果与权限矩阵一致，证据可定位具体请求；不包含第三方正式渗透认证。</t>
  </si>
  <si>
    <t xml:space="preserve">工程与上线</t>
  </si>
  <si>
    <t xml:space="preserve">通过已有平台构建三个应用</t>
  </si>
  <si>
    <t xml:space="preserve">• 后台服务、门户服务和后台 Web 均有可独立执行的流水线。
• 制品版本、审批和测试门禁可追溯；失败停止，平台本体无需建设。</t>
  </si>
  <si>
    <t xml:space="preserve">三个应用在 UAT 与生产环境可运行</t>
  </si>
  <si>
    <t xml:space="preserve">• 六个应用环境实例的配置、密钥引用、网络和证书核验通过。
• 各实例具备可执行健康检查与版本回退定义；不包含容器平台建设。</t>
  </si>
  <si>
    <t xml:space="preserve">运维定位并处置售后故障</t>
  </si>
  <si>
    <t xml:space="preserve">• 售后关键链路日志和指标可关联；告警可按阈值触发、恢复并通知到责任人。
• 运行手册六个处置场景可执行，功能开关可审计并回退。</t>
  </si>
  <si>
    <t xml:space="preserve">按一个批次发布订单售后升级</t>
  </si>
  <si>
    <t xml:space="preserve">• 发布范围、Go/No-Go、执行分工、维护窗口和标准回滚条件明确，演练通过。
• 三个应用各有执行与冒烟记录；生产数据装载只在迁移 Task 计量。</t>
  </si>
  <si>
    <t xml:space="preserve">技术团队接手售后运行维护</t>
  </si>
  <si>
    <t xml:space="preserve">• 开发与运维两类受众完成两次专题交接并执行一次退款异常演示。
• 参与者可按已交付 Runbook 找到恢复与升级路径，留下确认记录。</t>
  </si>
  <si>
    <t xml:space="preserve">方案与边界</t>
  </si>
  <si>
    <t xml:space="preserve">确认跨系统订单售后技术边界</t>
  </si>
  <si>
    <t xml:space="preserve">• 三个应用的八个影响点、数据和责任约束可追溯到改造范围。
• 对履约一致性专题形成三个方案比较与五个设计视图，评审结果单独交付。</t>
  </si>
  <si>
    <t xml:space="preserve">任务清单</t>
  </si>
  <si>
    <r>
      <rPr>
        <sz val="11"/>
        <color theme="1"/>
        <rFont val="Arial Unicode MS"/>
        <family val="2"/>
      </rPr>
      <t xml:space="preserve">工作类型按名称选择，任务名称全表唯一。仅集成类任务选择内部集成或外部集成，其他任务留空；</t>
    </r>
    <r>
      <rPr>
        <sz val="11"/>
        <color theme="1"/>
        <rFont val="Calibri"/>
        <family val="2"/>
        <charset val="1"/>
      </rPr>
      <t xml:space="preserve">SIT </t>
    </r>
    <r>
      <rPr>
        <sz val="11"/>
        <color theme="1"/>
        <rFont val="Arial Unicode MS"/>
        <family val="2"/>
      </rPr>
      <t xml:space="preserve">按该集成任务计取。灰色计算列由公式维护。</t>
    </r>
  </si>
  <si>
    <t xml:space="preserve">所属故事</t>
  </si>
  <si>
    <t xml:space="preserve">任务名称</t>
  </si>
  <si>
    <t xml:space="preserve">工作类型ID</t>
  </si>
  <si>
    <t xml:space="preserve">工作类型名称</t>
  </si>
  <si>
    <t xml:space="preserve">工作方式</t>
  </si>
  <si>
    <t xml:space="preserve">复杂度</t>
  </si>
  <si>
    <t xml:space="preserve">集成类型</t>
  </si>
  <si>
    <t xml:space="preserve">M档标准人天</t>
  </si>
  <si>
    <t xml:space="preserve">复杂度系数</t>
  </si>
  <si>
    <t xml:space="preserve">任务人天</t>
  </si>
  <si>
    <t xml:space="preserve">SIT支持人天</t>
  </si>
  <si>
    <t xml:space="preserve">订单列表增加履约筛选</t>
  </si>
  <si>
    <t xml:space="preserve">信息展示与查询页面</t>
  </si>
  <si>
    <t xml:space="preserve">调整</t>
  </si>
  <si>
    <t xml:space="preserve">M</t>
  </si>
  <si>
    <t xml:space="preserve">实际计量范围：1 个既有页面；变化涉及订单/包裹 2 个数据源、4 个状态、8 个条件和 2 个角色；含必要页面回归。
模式与判档依据：F07、H06：修改既有订单列表。</t>
  </si>
  <si>
    <t xml:space="preserve">订单列表查询契约扩展</t>
  </si>
  <si>
    <t xml:space="preserve">业务数据查询 API</t>
  </si>
  <si>
    <t xml:space="preserve">实际计量范围：1 个既有查询事务；变化涉及订单/包裹 2 个对象、6 条规则、4 个返回状态，新增角色过滤。
模式与判档依据：F02、H06：修改 /order/list。</t>
  </si>
  <si>
    <t xml:space="preserve">订单详情联动履约信息</t>
  </si>
  <si>
    <t xml:space="preserve">L</t>
  </si>
  <si>
    <t xml:space="preserve">实际计量范围：1 个详情页面；本次增加订单、明细、包裹、售后 4 个紧密数据源及 6 种状态，并恢复跨页面筛选状态。
模式与判档依据：F02、H06：在既有详情能力上调整；4 个源、6 种变化状态命中 L。</t>
  </si>
  <si>
    <t xml:space="preserve">订单详情聚合包裹信息</t>
  </si>
  <si>
    <t xml:space="preserve">实际计量范围：1 个详情查询事务；本次变化 3 个对象、7 条规则、5 个返回状态；不按所有存量字段判档。
模式与判档依据：F02：调整既有 /order/{id} 返回契约。</t>
  </si>
  <si>
    <t xml:space="preserve">包裹共享存储模型</t>
  </si>
  <si>
    <t xml:space="preserve">应用存储模型与结构</t>
  </si>
  <si>
    <t xml:space="preserve">新建</t>
  </si>
  <si>
    <t xml:space="preserve">实际计量范围：独立版本化包裹对象组；包裹、包裹明细、发货记录 3 个对象，4 条关系、9 个约束/索引；供拆包、发货和回调共同使用；不再在 API 中重复计算建模。
模式与判档依据：H06：没有此共享对象组。</t>
  </si>
  <si>
    <t xml:space="preserve">拆包编辑页面</t>
  </si>
  <si>
    <t xml:space="preserve">数据编辑与业务交互页面</t>
  </si>
  <si>
    <t xml:space="preserve">实际计量范围：1 个独立提交页面；14 个字段、7 条校验、4 个状态、仓管/主管 2 类行为角色；内部控件包含在本 Task。
模式与判档依据：H06：新增拆包页面。</t>
  </si>
  <si>
    <t xml:space="preserve">拆包业务事务</t>
  </si>
  <si>
    <t xml:space="preserve">业务操作 API</t>
  </si>
  <si>
    <t xml:space="preserve">实际计量范围：1 个拆包事务；订单、明细、包裹 3 个对象，7 条规则、3 个状态迁移；使用已单列的包裹存储模型。
模式与判档依据：H06：新增拆包业务结果。</t>
  </si>
  <si>
    <t xml:space="preserve">发货业务操作适配包裹</t>
  </si>
  <si>
    <t xml:space="preserve">实际计量范围：1 个既有发货事务；变化涉及订单/包裹 2 个对象、6 条规则、4 个状态迁移；负责业务前置校验，不包含跨系统协议映射。
模式与判档依据：F02：修改 /order/update/delivery。</t>
  </si>
  <si>
    <t xml:space="preserve">mall 向 WMS 下发发货指令</t>
  </si>
  <si>
    <t xml:space="preserve">跨系统业务交互集成</t>
  </si>
  <si>
    <t xml:space="preserve">内部集成</t>
  </si>
  <si>
    <t xml:space="preserve">实际计量范围：I01 单方向；内部稳定 WMS，创建/取消 2 个操作、24 个字段；交付认证、映射、幂等、错误处理及方向验证。
模式与判档依据：H06、H10：新增项目侧适配器，24 字段命中内部 M。</t>
  </si>
  <si>
    <t xml:space="preserve">WMS 向 mall 回传发货结果</t>
  </si>
  <si>
    <t xml:space="preserve">实际计量范围：I02 单方向；内部对端，3 种回执操作、18 个映射字段；包含验签、幂等、顺序校验、接收落库及普通重试。
模式与判档依据：H06、H10：回传是与 I01 独立的交互方向，分别计量。</t>
  </si>
  <si>
    <t xml:space="preserve">mall 查询外部物流轨迹</t>
  </si>
  <si>
    <t xml:space="preserve">外部集成</t>
  </si>
  <si>
    <t xml:space="preserve">实际计量范围：I03 单方向；外部稳定物流 API，1 个操作、16 个字段，标准认证和常规联调；含项目侧查询适配。
模式与判档依据：H06、H10：外部稳定方向即使只有1个操作也按 M。</t>
  </si>
  <si>
    <t xml:space="preserve">包裹物流轨迹页面</t>
  </si>
  <si>
    <t xml:space="preserve">S</t>
  </si>
  <si>
    <t xml:space="preserve">实际计量范围：1 个独立页面；1 个轨迹数据源、2 个主要状态、5 个展示条件、客服单角色；异常提示包含在页面内。
模式与判档依据：H06：新增轨迹查看结果。</t>
  </si>
  <si>
    <t xml:space="preserve">退货申请四步交互流程</t>
  </si>
  <si>
    <t xml:space="preserve">多步骤业务流程页面</t>
  </si>
  <si>
    <t xml:space="preserve">实际计量范围：1 个独立流程；4 个步骤、2 条分支、会员/代办客服 2 个角色、跨步校验；步骤内编辑控件不另计 FE-EDIT。
模式与判档依据：只有 F04 的后端创建接口作为起点；本例新交付 Web 四步流程。</t>
  </si>
  <si>
    <t xml:space="preserve">退货申请操作扩展包裹关联</t>
  </si>
  <si>
    <t xml:space="preserve">实际计量范围：1 个既有申请事务；变化涉及退货、明细、包裹 3 个对象、6 条规则、3 个状态迁移；增加代办校验。
模式与判档依据：F04：修改 /returnApply/create；不把整个退货系统视为新建。</t>
  </si>
  <si>
    <t xml:space="preserve">退货处理页补充审核字段</t>
  </si>
  <si>
    <t xml:space="preserve">实际计量范围：1 个既有页面；本次12字段、6条规则、4种状态、2个行为角色；不按存量全部字段判档。
模式与判档依据：F08：改造已有退货详情处理页。</t>
  </si>
  <si>
    <t xml:space="preserve">退货审核状态事务调整</t>
  </si>
  <si>
    <t xml:space="preserve">实际计量范围：1 个既有业务事务；本次2对象、5规则、4个状态迁移；含多角色权限调用及必要回归。
模式与判档依据：F03：修改已有 /returnApply/update/status/{id}。</t>
  </si>
  <si>
    <t xml:space="preserve">售后功能授权策略集</t>
  </si>
  <si>
    <t xml:space="preserve">功能与资源访问控制</t>
  </si>
  <si>
    <t xml:space="preserve">实际计量范围：1 个独立售后权限域；3 个角色、6 个资源、12 条规则；交付角色资源矩阵、默认拒绝策略与验证结果；API 只引用策略。
模式与判档依据：F06、H06：变更已有 RBAC 资源策略。</t>
  </si>
  <si>
    <t xml:space="preserve">退款申请原子业务事务</t>
  </si>
  <si>
    <t xml:space="preserve">实际计量范围：1 个独立退款事务；退货、退款、退款明细、状态记录4对象、10规则、6迁移；处理并发写冲突与重复业务键；协议映射由 I04 承担。
模式与判档依据：H06：新增退款结果；并发写冲突及4对象命中 L。</t>
  </si>
  <si>
    <t xml:space="preserve">mall 接入财务退款提交查询适配器</t>
  </si>
  <si>
    <t xml:space="preserve">接入复用</t>
  </si>
  <si>
    <t xml:space="preserve">实际计量范围：I04 单方向；内部稳定财务，提交/查询2操作、8映射字段、标准认证；只交付项目凭据/字段/幂等键配置和验证；查询供恢复流程调用。
模式与判档依据：H02：公共适配器已验收且不改源码；不是看到已有系统就判复用。</t>
  </si>
  <si>
    <t xml:space="preserve">财务向 mall 回传退款结果</t>
  </si>
  <si>
    <t xml:space="preserve">实际计量范围：I05 单方向；内部财务，2操作、22字段；新建项目侧结果接收、签名、幂等与状态映射。
模式与判档依据：H02：现有适配器仅覆盖提交，不覆盖独立回传方向。</t>
  </si>
  <si>
    <t xml:space="preserve">退款结果不明恢复流程</t>
  </si>
  <si>
    <t xml:space="preserve">异常补偿与业务恢复流程</t>
  </si>
  <si>
    <t xml:space="preserve">实际计量范围：1 个独立人工可发起的恢复结果；受理超时/结果丢失2失败点、查询/比对/人工确认/恢复4步骤；不重复计 I04/I05 普通重试。
模式与判档依据：H06：新增可独立验收的异常恢复资产。</t>
  </si>
  <si>
    <t xml:space="preserve">退款日终差异对账资产</t>
  </si>
  <si>
    <t xml:space="preserve">业务数据对账</t>
  </si>
  <si>
    <t xml:space="preserve">实际计量范围：1 个独立对账场景；退款单/退款明细2对对象、8规则、30万行日终快照；自动分类与重跑；H11财务人工提供截至次日02:00快照，差异由财务确认；不自动修复。
模式与判档依据：H06、H11：新增独立对账结果；不额外建设自动快照传输。</t>
  </si>
  <si>
    <t xml:space="preserve">退款差异查询页面</t>
  </si>
  <si>
    <t xml:space="preserve">实际计量范围：1 页面、1 个差异结果源、2状态、5条件、财务单角色；不另拆内部简单查询实现。
模式与判档依据：新增可独立验收的差异页面。</t>
  </si>
  <si>
    <t xml:space="preserve">退款差异机器数据集导出</t>
  </si>
  <si>
    <t xml:space="preserve">批量数据集与数据馈送输出</t>
  </si>
  <si>
    <t xml:space="preserve">实际计量范围：1 种 CSV、18字段、3派生规则、最多1万条/次；按对账结果分页输出给离线分析程序；不负责跨系统自动传输。
模式与判档依据：机器消费数据集；不是人工报表，选 DATA-EXPORT。</t>
  </si>
  <si>
    <t xml:space="preserve">后台接入企业 OIDC 客户端</t>
  </si>
  <si>
    <t xml:space="preserve">身份与账号系统集成</t>
  </si>
  <si>
    <t xml:space="preserve">实际计量范围：I06 单一身份方向；登录/续期2路径、8属性映射，包含账号关联和会话验证；不交付 SCIM。
模式与判档依据：H01、F05：复用企业已有客户端，仅项目配置；2路径与8属性为 M。</t>
  </si>
  <si>
    <t xml:space="preserve">售后业务审计接入包</t>
  </si>
  <si>
    <t xml:space="preserve">业务操作审计追踪</t>
  </si>
  <si>
    <t xml:space="preserve">实际计量范围：1 个售后审计域；8事件、18字段、退货/退款2对象；项目映射、访问控制、180天留存和查询验证；使用现成平台检索界面。
模式与判档依据：H04：只配置项目业务审计契约，不修改公共平台。</t>
  </si>
  <si>
    <t xml:space="preserve">历史订单到包裹结构迁移脚本</t>
  </si>
  <si>
    <t xml:space="preserve">历史数据迁移</t>
  </si>
  <si>
    <t xml:space="preserve">实际计量范围：1订单数据域、1源目标组合；3对象、46字段、90万行；清洗、可重跑、源目标核验及标准回滚；交付迁移资产。
模式与判档依据：H07：引用示例数据快照；已有业务数据不等于已有迁移脚本。</t>
  </si>
  <si>
    <t xml:space="preserve">历史订单迁移批次演练</t>
  </si>
  <si>
    <t xml:space="preserve">数据迁移演练</t>
  </si>
  <si>
    <t xml:space="preserve">实际计量范围：1迁移批次、3对象、90万行、9验证项；演练耗时、数量/金额核对与整体回滚；不重复计算脚本开发。
模式与判档依据：H07：新建本次演练方案、记录和结论。</t>
  </si>
  <si>
    <t xml:space="preserve">历史订单生产迁移执行</t>
  </si>
  <si>
    <t xml:space="preserve">生产数据迁移执行</t>
  </si>
  <si>
    <t xml:space="preserve">实际计量范围：同1迁移批次、3对象、90万行、8执行步骤；批准快照后分批装载并核对/回滚；仅计划执行范围，尚未实际实施。
模式与判档依据：H07：生产执行形成新的执行结果；复用脚本不改变新建模式。</t>
  </si>
  <si>
    <t xml:space="preserve">订单查询与拆包 API 自动化</t>
  </si>
  <si>
    <t xml:space="preserve">API 自动化回归测试</t>
  </si>
  <si>
    <t xml:space="preserve">实际计量范围：1 个订单接口组；3路径、10用例、24断言、2角色、1模拟依赖；独立回归资产；普通 Unit Test 包含在开发 Task。
模式与判档依据：本例未提供可沿用的正式 API 回归资产，按首次建设。</t>
  </si>
  <si>
    <t xml:space="preserve">退款闭环 API 自动化</t>
  </si>
  <si>
    <t xml:space="preserve">实际计量范围：1 个退款接口组；5路径、18用例、40断言、2角色、2模拟依赖；包含异步回调轮询；与合同结构测试断言不重叠。
模式与判档依据：新增正式回归资产；5路径及异步回调命中 L。</t>
  </si>
  <si>
    <t xml:space="preserve">订单履约浏览器回归</t>
  </si>
  <si>
    <t xml:space="preserve">用户界面端到端自动化测试</t>
  </si>
  <si>
    <t xml:space="preserve">实际计量范围：1 个订单查询到拆包流程；12步骤、3分支、2角色、2浏览器；在模拟接口下验证页面状态，不重复联调外部系统。
模式与判档依据：新增可运行 E2E 资产。</t>
  </si>
  <si>
    <t xml:space="preserve">退货申请到审核浏览器回归</t>
  </si>
  <si>
    <t xml:space="preserve">实际计量范围：1 个可独立启动的退货流程；14步骤、3分支、2角色、2浏览器；覆盖跨步校验；不按浏览器重复拆 Task。
模式与判档依据：与订单流程有独立启动条件和业务验收结果，应单独计量。</t>
  </si>
  <si>
    <t xml:space="preserve">WMS 接口组契约兼容测试</t>
  </si>
  <si>
    <t xml:space="preserve">接口契约测试</t>
  </si>
  <si>
    <t xml:space="preserve">实际计量范围：1 个 WMS 契约域；创建/取消/回执3接口、2版本、2消费者角色、18条结构兼容断言；交付持续契约测试，不重复普通 SIT 支持。
模式与判档依据：新增独立版本兼容验证资产；消费者为 WMS 与 mall 端。</t>
  </si>
  <si>
    <t xml:space="preserve">订单售后共享测试数据适配包</t>
  </si>
  <si>
    <t xml:space="preserve">可复用测试支撑资产</t>
  </si>
  <si>
    <t xml:space="preserve">实际计量范围：1 个项目适配包；数据准备/清理2能力、订单正常/异常与售后三种数据变体、DEV/UAT2环境；提供版本化接口，供订单和退货共用。
模式与判档依据：H05：公共数据工厂不改，项目适配包可独立验收；只计一次。</t>
  </si>
  <si>
    <t xml:space="preserve">订单查询链路专项调优</t>
  </si>
  <si>
    <t xml:space="preserve">性能与可靠性工程</t>
  </si>
  <si>
    <t xml:space="preserve">实际计量范围：1 个独立订单查询瓶颈域；admin/数据库/缓存3组件；按 H08 的基线、200RPS目标、60分钟窗口和验收法完成调优及复测，不另计普通SQL优化。
模式与判档依据：F02、H08：调整已有查询链路；有明确量化服务目标，按 L。</t>
  </si>
  <si>
    <t xml:space="preserve">订单查询独立负载模型</t>
  </si>
  <si>
    <t xml:space="preserve">性能、容量与稳定性验证</t>
  </si>
  <si>
    <t xml:space="preserve">实际计量范围：1 个负载模型含稳定/峰值2场景、6指标、60分钟、3组件、1轮调优复测；交付可复跑脚本及报告；不重复计算调优实现。
模式与判档依据：H08：性能参数是示例假设，首次建设对应验证资产。</t>
  </si>
  <si>
    <t xml:space="preserve">后台售后信息安全验证专题</t>
  </si>
  <si>
    <t xml:space="preserve">应用信息安全（Cybersecurity）验证</t>
  </si>
  <si>
    <t xml:space="preserve">实际计量范围：1个后台访问安全专题；登录/令牌/售后API 3攻击面、认证/授权/会话/输入4控制族、3角色；人工API与配置验证，无正式渗透认证。
模式与判档依据：新建项目团队的信息安全验证方案与证据。</t>
  </si>
  <si>
    <t xml:space="preserve">后台服务流水线接入</t>
  </si>
  <si>
    <t xml:space="preserve">构建与发布自动化</t>
  </si>
  <si>
    <t xml:space="preserve">实际计量范围：mall-admin 1条应用流水线；6阶段、DEV/UAT/PROD3环境、2类制品、2矩阵项；项目参数、审批和质量门禁验证。
模式与判档依据：H03：复用现有共享模板，不改平台。</t>
  </si>
  <si>
    <t xml:space="preserve">门户服务流水线接入</t>
  </si>
  <si>
    <t xml:space="preserve">实际计量范围：mall-portal 1条独立流水线；5阶段、3环境、2类制品、2矩阵项；项目配置及执行验证。
模式与判档依据：H03：独立应用对应独立流水线。</t>
  </si>
  <si>
    <t xml:space="preserve">后台 Web 流水线接入</t>
  </si>
  <si>
    <t xml:space="preserve">实际计量范围：后台 Web 1条独立流水线；5阶段、3环境、2类制品、2矩阵项；项目构建参数及审批验证。
模式与判档依据：H03：实例接入，非共享流水线平台建设。</t>
  </si>
  <si>
    <t xml:space="preserve">后台服务接入UAT环境</t>
  </si>
  <si>
    <t xml:space="preserve">应用部署与运行环境接入</t>
  </si>
  <si>
    <t xml:space="preserve">实际计量范围：后台服务×UAT 1 个应用环境；1服务、8配置/密钥、3网络依赖，含证书和探针；仅项目部署定义和验证。
模式与判档依据：H03、H09：已有平台；按应用×单环境计量，不能把6个环境实例并为1个Task。</t>
  </si>
  <si>
    <t xml:space="preserve">后台服务接入PROD环境</t>
  </si>
  <si>
    <t xml:space="preserve">实际计量范围：后台服务×PROD 1 个应用环境；1服务、8配置/密钥、3网络依赖，含证书和探针；仅项目部署定义和验证。
模式与判档依据：H03、H09：已有平台；按应用×单环境计量，不能把6个环境实例并为1个Task。</t>
  </si>
  <si>
    <t xml:space="preserve">门户服务接入UAT环境</t>
  </si>
  <si>
    <t xml:space="preserve">实际计量范围：门户服务×UAT 1 个应用环境；1服务、8配置/密钥、3网络依赖，含证书和探针；仅项目部署定义和验证。
模式与判档依据：H03、H09：已有平台；按应用×单环境计量，不能把6个环境实例并为1个Task。</t>
  </si>
  <si>
    <t xml:space="preserve">门户服务接入PROD环境</t>
  </si>
  <si>
    <t xml:space="preserve">实际计量范围：门户服务×PROD 1 个应用环境；1服务、8配置/密钥、3网络依赖，含证书和探针；仅项目部署定义和验证。
模式与判档依据：H03、H09：已有平台；按应用×单环境计量，不能把6个环境实例并为1个Task。</t>
  </si>
  <si>
    <t xml:space="preserve">后台 Web接入UAT环境</t>
  </si>
  <si>
    <t xml:space="preserve">实际计量范围：后台 Web×UAT 1 个应用环境；1服务、8配置/密钥、3网络依赖，含证书和探针；仅项目部署定义和验证。
模式与判档依据：H03、H09：已有平台；按应用×单环境计量，不能把6个环境实例并为1个Task。</t>
  </si>
  <si>
    <t xml:space="preserve">后台 Web接入PROD环境</t>
  </si>
  <si>
    <t xml:space="preserve">实际计量范围：后台 Web×PROD 1 个应用环境；1服务、8配置/密钥、3网络依赖，含证书和探针；仅项目部署定义和验证。
模式与判档依据：H03、H09：已有平台；按应用×单环境计量，不能把6个环境实例并为1个Task。</t>
  </si>
  <si>
    <t xml:space="preserve">后台售后遥测接入</t>
  </si>
  <si>
    <t xml:space="preserve">应用日志、指标与链路追踪接入</t>
  </si>
  <si>
    <t xml:space="preserve">实际计量范围：mall-admin 1应用、1服务、2关键路径、日志/指标2类遥测、8关键字段/指标；普通健康检查和项目标签验证。
模式与判档依据：H04：复用平台，未建设跨系统追踪。</t>
  </si>
  <si>
    <t xml:space="preserve">售后异常告警组接入</t>
  </si>
  <si>
    <t xml:space="preserve">应用监控与告警</t>
  </si>
  <si>
    <t xml:space="preserve">实际计量范围：1共同管理告警组；6信号、6规则、2路由，含分级/抑制/恢复通知；固定阈值与责任人随包交付。
模式与判档依据：H04：项目指标、阈值、路由绑定和触发验证。</t>
  </si>
  <si>
    <t xml:space="preserve">售后功能开关控制域接入</t>
  </si>
  <si>
    <t xml:space="preserve">应用配置与功能开关</t>
  </si>
  <si>
    <t xml:space="preserve">实际计量范围：1售后配置域；8相关开关、DEV/UAT/PROD3环境；按角色作用，含审计、默认值和回退验证；不是普通环境常量。
模式与判档依据：H03：复用企业配置平台，仅项目配置。</t>
  </si>
  <si>
    <t xml:space="preserve">售后运行维护手册</t>
  </si>
  <si>
    <t xml:space="preserve">应用运行维护手册</t>
  </si>
  <si>
    <t xml:space="preserve">实际计量范围：1售后运维对象；6场景、3组件、运维/开发2角色；含排障、退款恢复、回滚和升级联系；运行验证包含在手册交付。
模式与判档依据：本例没有可沿用的专项运维手册；引用已有操作资产不重复开发。</t>
  </si>
  <si>
    <t xml:space="preserve">订单售后发布批次切换方案</t>
  </si>
  <si>
    <t xml:space="preserve">发布与切换方案</t>
  </si>
  <si>
    <t xml:space="preserve">实际计量范围：R01单批次；3应用组件、2团队、12步骤，明确Go/No-Go、维护窗口和标准回滚；不承诺零停机。
模式与判档依据：本批次首次形成发布方案；不重复拆技术准备与实施方案。</t>
  </si>
  <si>
    <t xml:space="preserve">订单售后发布批次演练</t>
  </si>
  <si>
    <t xml:space="preserve">发布与切换演练</t>
  </si>
  <si>
    <t xml:space="preserve">实际计量范围：R01单批次；切换/回滚2场景、3组件、2团队；记录与问题整改复演；迁移数据核验由独立迁移演练承担。
模式与判档依据：首次形成该批次演练资产；例行重复演练不另计。</t>
  </si>
  <si>
    <t xml:space="preserve">后台服务 R01 发布执行</t>
  </si>
  <si>
    <t xml:space="preserve">发布技术执行</t>
  </si>
  <si>
    <t xml:space="preserve">实际计量范围：mall-admin×R01；1组件、5步骤、1执行团队、标准停机回滚；产出执行/冒烟记录，未实际执行。
模式与判档依据：使用 H03 已有流水线仍产生新的本次执行结果。</t>
  </si>
  <si>
    <t xml:space="preserve">门户服务 R01 发布执行</t>
  </si>
  <si>
    <t xml:space="preserve">实际计量范围：mall-portal×R01；1组件、5步骤、1执行团队、标准停机回滚；不含迁移操作，未实际执行。
模式与判档依据：按应用×批次独立计量；不是接入复用。</t>
  </si>
  <si>
    <t xml:space="preserve">后台 Web R01 发布执行</t>
  </si>
  <si>
    <t xml:space="preserve">实际计量范围：后台Web×R01；1组件、4步骤、1执行团队、标准停机回滚；发布和冒烟结果，未实际执行。
模式与判档依据：一次新的发布执行结果。</t>
  </si>
  <si>
    <t xml:space="preserve">售后运行维护专题交接</t>
  </si>
  <si>
    <t xml:space="preserve">技术知识交接（KT）</t>
  </si>
  <si>
    <t xml:space="preserve">实际计量范围：1独立技术专题、开发/运维2类稳定受众、2会次、1次实操；引用已有Runbook，只计受众适配、演示、问答与确认。
模式与判档依据：新建本组受众的知识交接结果；共享材料不重复计量。</t>
  </si>
  <si>
    <t xml:space="preserve">订单售后变更影响分析专题</t>
  </si>
  <si>
    <t xml:space="preserve">需求与变更技术影响分析</t>
  </si>
  <si>
    <t xml:space="preserve">实际计量范围：1专题；admin/portal/Web 3个独立技术单元、8影响点、数据/权限/接口3约束、实施/企业2责任方；交付独立分析报告。
模式与判档依据：首次形成该变更专题；不按系统已存在判为调整。</t>
  </si>
  <si>
    <t xml:space="preserve">履约状态一致性专项技术方案</t>
  </si>
  <si>
    <t xml:space="preserve">专项技术方案设计</t>
  </si>
  <si>
    <t xml:space="preserve">实际计量范围：1独立专题；3紧密组件、3备选方案、5设计视图，含常规安全和运维约束；普通页面/API内部设计包含在开发Task。
模式与判档依据：有独立可验收的跨系统方案成果；与影响分析交付物不同。</t>
  </si>
  <si>
    <t xml:space="preserve">工作量汇总</t>
  </si>
  <si>
    <r>
      <rPr>
        <sz val="11"/>
        <color theme="1"/>
        <rFont val="Arial Unicode MS"/>
        <family val="2"/>
      </rPr>
      <t xml:space="preserve">汇总只显示直接开发、</t>
    </r>
    <r>
      <rPr>
        <sz val="11"/>
        <color theme="1"/>
        <rFont val="Calibri"/>
        <family val="2"/>
        <charset val="1"/>
      </rPr>
      <t xml:space="preserve">SIT </t>
    </r>
    <r>
      <rPr>
        <sz val="11"/>
        <color theme="1"/>
        <rFont val="Arial Unicode MS"/>
        <family val="2"/>
      </rPr>
      <t xml:space="preserve">支持、</t>
    </r>
    <r>
      <rPr>
        <sz val="11"/>
        <color theme="1"/>
        <rFont val="Calibri"/>
        <family val="2"/>
        <charset val="1"/>
      </rPr>
      <t xml:space="preserve">UAT </t>
    </r>
    <r>
      <rPr>
        <sz val="11"/>
        <color theme="1"/>
        <rFont val="Arial Unicode MS"/>
        <family val="2"/>
      </rPr>
      <t xml:space="preserve">支持和总开发人天；下方展示全部 </t>
    </r>
    <r>
      <rPr>
        <sz val="11"/>
        <color theme="1"/>
        <rFont val="Calibri"/>
        <family val="2"/>
        <charset val="1"/>
      </rPr>
      <t xml:space="preserve">8 </t>
    </r>
    <r>
      <rPr>
        <sz val="11"/>
        <color theme="1"/>
        <rFont val="Arial Unicode MS"/>
        <family val="2"/>
      </rPr>
      <t xml:space="preserve">项估算参数。打开 </t>
    </r>
    <r>
      <rPr>
        <sz val="11"/>
        <color theme="1"/>
        <rFont val="Calibri"/>
        <family val="2"/>
        <charset val="1"/>
      </rPr>
      <t xml:space="preserve">Excel </t>
    </r>
    <r>
      <rPr>
        <sz val="11"/>
        <color theme="1"/>
        <rFont val="Arial Unicode MS"/>
        <family val="2"/>
      </rPr>
      <t xml:space="preserve">后完整重算。</t>
    </r>
  </si>
  <si>
    <t xml:space="preserve">工作量项</t>
  </si>
  <si>
    <t xml:space="preserve">人天</t>
  </si>
  <si>
    <t xml:space="preserve">直接开发人天</t>
  </si>
  <si>
    <t xml:space="preserve">UAT支持人天</t>
  </si>
  <si>
    <t xml:space="preserve">总开发人天</t>
  </si>
  <si>
    <t xml:space="preserve">估算参数（8 项）</t>
  </si>
  <si>
    <t xml:space="preserve">返回工作类型 →</t>
  </si>
  <si>
    <t xml:space="preserve">参数名称</t>
  </si>
  <si>
    <t xml:space="preserve">当前值</t>
  </si>
  <si>
    <t xml:space="preserve">单位 / 适用范围 / 状态</t>
  </si>
  <si>
    <t xml:space="preserve">参数展示与估算标准保持同步；当前页为只读查看。标记“待样本校准”的参数仍保留原验证状态。</t>
  </si>
  <si>
    <t xml:space="preserve">估算标准</t>
  </si>
  <si>
    <t xml:space="preserve">工作类型与估算标准</t>
  </si>
  <si>
    <t xml:space="preserve">查看估算参数 →</t>
  </si>
  <si>
    <t xml:space="preserve">Task 标准目录（88 项，参数待校准）</t>
  </si>
  <si>
    <t xml:space="preserve">项目参数（8 项，参数待校准）</t>
  </si>
  <si>
    <t xml:space="preserve">PD 为 M 档基准人天。“-”表示不适用。右侧“+”展开细则；展示公式已保护。估算参数见「03-工作量汇总」。</t>
  </si>
  <si>
    <t xml:space="preserve">类型与计量</t>
  </si>
  <si>
    <t xml:space="preserve">M 档基础人天</t>
  </si>
  <si>
    <t xml:space="preserve">交付与边界</t>
  </si>
  <si>
    <t xml:space="preserve">复杂度细则</t>
  </si>
  <si>
    <t xml:space="preserve">序号</t>
  </si>
  <si>
    <t xml:space="preserve">分类</t>
  </si>
  <si>
    <t xml:space="preserve">计量单位</t>
  </si>
  <si>
    <t xml:space="preserve">标准交付物</t>
  </si>
  <si>
    <t xml:space="preserve">包含内容</t>
  </si>
  <si>
    <t xml:space="preserve">不包含内容</t>
  </si>
  <si>
    <t xml:space="preserve">说明</t>
  </si>
  <si>
    <t xml:space="preserve">新建适用</t>
  </si>
  <si>
    <t xml:space="preserve">新建M档人天</t>
  </si>
  <si>
    <t xml:space="preserve">新建完成标准</t>
  </si>
  <si>
    <t xml:space="preserve">调整适用</t>
  </si>
  <si>
    <t xml:space="preserve">调整M档人天</t>
  </si>
  <si>
    <t xml:space="preserve">调整完成标准</t>
  </si>
  <si>
    <t xml:space="preserve">接入复用适用</t>
  </si>
  <si>
    <t xml:space="preserve">接入复用M档人天</t>
  </si>
  <si>
    <t xml:space="preserve">接入复用完成标准</t>
  </si>
  <si>
    <t xml:space="preserve">主要计量维度</t>
  </si>
  <si>
    <t xml:space="preserve">S标准</t>
  </si>
  <si>
    <t xml:space="preserve">M标准</t>
  </si>
  <si>
    <t xml:space="preserve">L标准</t>
  </si>
  <si>
    <t xml:space="preserve">X/拆分条件</t>
  </si>
  <si>
    <t xml:space="preserve">模式适用说明</t>
  </si>
  <si>
    <t xml:space="preserve">相邻工作类型IDs</t>
  </si>
  <si>
    <t xml:space="preserve">相邻类型选择规则</t>
  </si>
  <si>
    <t xml:space="preserve">不建Task条件</t>
  </si>
  <si>
    <t xml:space="preserve">SIT支持资格</t>
  </si>
  <si>
    <t xml:space="preserve">标准版本</t>
  </si>
  <si>
    <t xml:space="preserve">参数状态</t>
  </si>
  <si>
    <t xml:space="preserve">来源版本</t>
  </si>
  <si>
    <t xml:space="preserve">参数代码</t>
  </si>
  <si>
    <t xml:space="preserve">名称</t>
  </si>
  <si>
    <t xml:space="preserve">值</t>
  </si>
  <si>
    <t xml:space="preserve">单位</t>
  </si>
  <si>
    <t xml:space="preserve">适用范围</t>
  </si>
  <si>
    <t xml:space="preserve">验证状态/说明</t>
  </si>
  <si>
    <t xml:space="preserve">工作类型 ID</t>
  </si>
  <si>
    <t xml:space="preserve">工作类型</t>
  </si>
  <si>
    <t xml:space="preserve">新建 PD</t>
  </si>
  <si>
    <t xml:space="preserve">调整 PD</t>
  </si>
  <si>
    <t xml:space="preserve">复用 PD</t>
  </si>
  <si>
    <t xml:space="preserve">标准交付对象</t>
  </si>
  <si>
    <t xml:space="preserve">模式化完成标准</t>
  </si>
  <si>
    <t xml:space="preserve">S（简单）</t>
  </si>
  <si>
    <t xml:space="preserve">M（标准）</t>
  </si>
  <si>
    <t xml:space="preserve">L（复杂）</t>
  </si>
  <si>
    <t xml:space="preserve">X / 拆分条件</t>
  </si>
  <si>
    <t xml:space="preserve">分析与设计</t>
  </si>
  <si>
    <t xml:space="preserve">AN-IMPACT</t>
  </si>
  <si>
    <t xml:space="preserve">每专题</t>
  </si>
  <si>
    <t xml:space="preserve">影响范围、技术风险、建议及结论</t>
  </si>
  <si>
    <t xml:space="preserve">形成、验证并交付“影响范围、技术风险、建议及结论”所必需的本类型工作；以“每专题”为一个 Task 实例。</t>
  </si>
  <si>
    <t xml:space="preserve">超出“每专题”边界且可独立交付验收的其他对象。来源明确排除：普通开发思考不单列；</t>
  </si>
  <si>
    <t xml:space="preserve">普通开发思考不单列；标准调整仍需重建完整可审查结论，因此 M 档不低于新建。</t>
  </si>
  <si>
    <t xml:space="preserve">形成“影响范围、技术风险、建议及结论”并通过约定验收。</t>
  </si>
  <si>
    <t xml:space="preserve">重新分析既有专题中变化的起点、影响、约束或结论并完成复核。</t>
  </si>
  <si>
    <t xml:space="preserve">受影响技术单元、影响点、约束、参与方</t>
  </si>
  <si>
    <t xml:space="preserve">1 个受影响技术单元；≤3 个影响点；1 类主要约束；单一责任方</t>
  </si>
  <si>
    <t xml:space="preserve">2～3 个紧密相关技术单元；4～8 个影响点；2～3 类约束；需 2 个责任方确认</t>
  </si>
  <si>
    <t xml:space="preserve">4～6 个紧密相关技术单元、9～16 个影响点或 4～6 类主要约束；涉及迁移切换影响闭环、多方联合交付、高敏感数据或权限控制、受监管证据、量化服务目标或零停机</t>
  </si>
  <si>
    <t xml:space="preserve">技术单元 &gt;6、影响点 &gt;16、约束类别 &gt;6，包含多个可独立决策的专题，或目标、当前情况、影响边界任一不明确</t>
  </si>
  <si>
    <t xml:space="preserve">受影响技术单元取报告中最低层且可独立部署或版本化的应用或组件；只评估应用整体时应用计 1，列出内部组件后由组件替代应用且不得重复计数。新建看首次形成的完整专题；调整只看本次结论变化及受影响分析范围</t>
  </si>
  <si>
    <t xml:space="preserve">来源未明确点名相邻机器键；仅按本行独立交付物建 Task，发现可独立交付的邻接对象时返回目录评审。</t>
  </si>
  <si>
    <t xml:space="preserve">普通开发思考不单列；未形成可独立交付和验收的本类型标准交付物时不建 Task。</t>
  </si>
  <si>
    <t xml:space="preserve">NONE</t>
  </si>
  <si>
    <t xml:space="preserve">v6.0</t>
  </si>
  <si>
    <t xml:space="preserve">待校准</t>
  </si>
  <si>
    <t xml:space="preserve">0d0982fb/v6.0</t>
  </si>
  <si>
    <t xml:space="preserve">K_COMPLEXITY_S</t>
  </si>
  <si>
    <t xml:space="preserve">S档复杂度系数</t>
  </si>
  <si>
    <t xml:space="preserve">倍</t>
  </si>
  <si>
    <t xml:space="preserve">固定规则</t>
  </si>
  <si>
    <t xml:space="preserve">AN-DESIGN</t>
  </si>
  <si>
    <t xml:space="preserve">通过评审的正式技术方案</t>
  </si>
  <si>
    <t xml:space="preserve">形成、验证并交付“通过评审的正式技术方案”所必需的本类型工作；以“每专题”为一个 Task 实例。</t>
  </si>
  <si>
    <t xml:space="preserve">超出“每专题”边界且可独立交付验收的其他对象。来源明确排除：普通功能内部设计不单列。</t>
  </si>
  <si>
    <t xml:space="preserve">普通功能内部设计不单列。</t>
  </si>
  <si>
    <t xml:space="preserve">形成“通过评审的正式技术方案”并通过约定验收。</t>
  </si>
  <si>
    <t xml:space="preserve">完成“通过评审的正式技术方案”的目标变更和影响核验，并按交付对象性质通过评审、复核、演练或回归验证。</t>
  </si>
  <si>
    <t xml:space="preserve">方案对象、备选方案、设计视图、强约束</t>
  </si>
  <si>
    <t xml:space="preserve">1 个组件；1～2 个明确方案；≤2 个设计视图；约束常规</t>
  </si>
  <si>
    <t xml:space="preserve">2～4 个紧密相关组件；3 个方案；3～5 个设计视图；含常规安全或运维约束</t>
  </si>
  <si>
    <t xml:space="preserve">5～8 个紧密相关组件、4～6 个方案或 6～10 个设计视图；涉及迁移切换实施方案，或零停机、受监管证据、多方联合交付</t>
  </si>
  <si>
    <t xml:space="preserve">组件 &gt;8、方案 &gt;6、视图 &gt;10，包含多个可独立批准的方案主题，或关键需求、起点、决策权未明确</t>
  </si>
  <si>
    <t xml:space="preserve">新建看完整新方案；调整只看变化章节、连带设计和必要重审</t>
  </si>
  <si>
    <t xml:space="preserve">普通功能内部设计不单列。未形成可独立交付和验收的本类型标准交付物时不建 Task。</t>
  </si>
  <si>
    <t xml:space="preserve">K_COMPLEXITY_M</t>
  </si>
  <si>
    <t xml:space="preserve">M档复杂度系数</t>
  </si>
  <si>
    <t xml:space="preserve">AN-ADR</t>
  </si>
  <si>
    <t xml:space="preserve">架构与技术决策记录（ADR）</t>
  </si>
  <si>
    <t xml:space="preserve">每决策</t>
  </si>
  <si>
    <t xml:space="preserve">决策、备选方案及取舍依据</t>
  </si>
  <si>
    <t xml:space="preserve">形成、验证并交付“决策、备选方案及取舍依据”所必需的本类型工作；以“每决策”为一个 Task 实例。</t>
  </si>
  <si>
    <t xml:space="preserve">超出“每决策”边界且可独立交付验收的其他对象。来源未列出更具体的相邻排除项。</t>
  </si>
  <si>
    <t xml:space="preserve">未批准 ADR 的迭代属于本次新建内部过程；已批准决策被替代时新建后继 ADR，不使用调整。</t>
  </si>
  <si>
    <t xml:space="preserve">形成决策、备选方案及取舍依据并通过批准。</t>
  </si>
  <si>
    <t xml:space="preserve">备选项、评价维度、受影响组件、可逆性</t>
  </si>
  <si>
    <t xml:space="preserve">2 个备选项；≤3 个评价维度；1 个组件；可逆</t>
  </si>
  <si>
    <t xml:space="preserve">3 个备选项；4～6 个维度；2～3 个组件；需迁移或兼容说明</t>
  </si>
  <si>
    <t xml:space="preserve">4～6 个备选项、7～12 个评价维度或 4～6 个受影响组件；涉及不可逆决策，或受监管证据、跨区域连续性、多方联合交付</t>
  </si>
  <si>
    <t xml:space="preserve">少于 2 个或 &gt;6 个可比较备选项，评价维度 &gt;12，组件 &gt;6，实际包含多个可独立批准的决策，或决策问题和批准人不明确</t>
  </si>
  <si>
    <t xml:space="preserve">仅新建；未批准决策迭代包含在本实例，已批准决策被替代时新建后继 ADR</t>
  </si>
  <si>
    <t xml:space="preserve">未形成可独立交付和验收的本类型标准交付物时不建 Task。</t>
  </si>
  <si>
    <t xml:space="preserve">K_COMPLEXITY_L</t>
  </si>
  <si>
    <t xml:space="preserve">L档复杂度系数</t>
  </si>
  <si>
    <t xml:space="preserve">AN-SPIKE</t>
  </si>
  <si>
    <t xml:space="preserve">技术问题探索（Spike）</t>
  </si>
  <si>
    <t xml:space="preserve">每技术问题</t>
  </si>
  <si>
    <t xml:space="preserve">实验过程、技术结论、风险及推荐方案</t>
  </si>
  <si>
    <t xml:space="preserve">形成、验证并交付“实验过程、技术结论、风险及推荐方案”所必需的本类型工作；以“每技术问题”为一个 Task 实例。</t>
  </si>
  <si>
    <t xml:space="preserve">超出“每技术问题”边界且可独立交付验收的其他对象。来源未列出更具体的相邻排除项。</t>
  </si>
  <si>
    <t xml:space="preserve">交付重点是消除一个明确技术未知。</t>
  </si>
  <si>
    <t xml:space="preserve">形成“实验过程、技术结论、风险及推荐方案”并通过约定验收。</t>
  </si>
  <si>
    <t xml:space="preserve">假设、实验路径、证据源、未知程度</t>
  </si>
  <si>
    <t xml:space="preserve">1 个明确假设；1 条实验路径；已有环境；≤2 个证据源</t>
  </si>
  <si>
    <t xml:space="preserve">1 个问题含 2～3 个备选假设；2～3 条实验路径；3～6 个证据源；需局部原型或数据采样</t>
  </si>
  <si>
    <t xml:space="preserve">1 个问题含 4～6 个紧密相关假设、4～6 条实验路径或 7～12 个证据源；涉及跨系统可证伪实验，或受限外部环境、多方联合交付</t>
  </si>
  <si>
    <t xml:space="preserve">假设 &gt;6、路径 &gt;6、证据源 &gt;12，包含多个独立技术问题，或没有可证伪问题、结束条件和证据标准</t>
  </si>
  <si>
    <t xml:space="preserve">仅新建；重复探索不是调整，新增独立问题应另建 Task</t>
  </si>
  <si>
    <t xml:space="preserve">K_UAT</t>
  </si>
  <si>
    <t xml:space="preserve">UAT支持系数</t>
  </si>
  <si>
    <t xml:space="preserve">%</t>
  </si>
  <si>
    <t xml:space="preserve">显式标记 UAT 适用的故事直接人天</t>
  </si>
  <si>
    <t xml:space="preserve">待样本校准</t>
  </si>
  <si>
    <t xml:space="preserve">AN-POC</t>
  </si>
  <si>
    <t xml:space="preserve">技术方案概念验证（PoC）</t>
  </si>
  <si>
    <t xml:space="preserve">每验证目标</t>
  </si>
  <si>
    <t xml:space="preserve">可运行验证结果、验证数据及技术结论</t>
  </si>
  <si>
    <t xml:space="preserve">形成、验证并交付“可运行验证结果、验证数据及技术结论”所必需的本类型工作；以“每验证目标”为一个 Task 实例。</t>
  </si>
  <si>
    <t xml:space="preserve">超出“每验证目标”边界且可独立交付验收的其他对象。来源未列出更具体的相邻排除项。</t>
  </si>
  <si>
    <t xml:space="preserve">每个独立成功标准计一项。</t>
  </si>
  <si>
    <t xml:space="preserve">形成“可运行验证结果、验证数据及技术结论”并通过约定验收。</t>
  </si>
  <si>
    <t xml:space="preserve">验证目标、技术路径、集成点、成功指标</t>
  </si>
  <si>
    <t xml:space="preserve">1 个目标；1 条技术路径；≤2 个集成点；≤3 个成功指标</t>
  </si>
  <si>
    <t xml:space="preserve">1 个目标；2～3 条路径；3～5 个集成点；4～6 个指标；需代表性数据</t>
  </si>
  <si>
    <t xml:space="preserve">1 个目标；4～6 条路径、6～10 个集成点或 7～12 个成功指标；涉及故障注入验证、生产等效环境验证，或量化服务目标、高敏感数据或权限控制、受监管证据</t>
  </si>
  <si>
    <t xml:space="preserve">路径 &gt;6、集成点 &gt;10、指标 &gt;12，存在多个可独立通过的验证目标，或成功标准、样本和环境不明确</t>
  </si>
  <si>
    <t xml:space="preserve">仅新建；已有 PoC 的新目标应新建，产品化工作使用对应交付类型</t>
  </si>
  <si>
    <t xml:space="preserve">SIT_INT_SUPPORT</t>
  </si>
  <si>
    <t xml:space="preserve">内部集成点SIT支持</t>
  </si>
  <si>
    <t xml:space="preserve">人天/点</t>
  </si>
  <si>
    <t xml:space="preserve">开发交付估算</t>
  </si>
  <si>
    <t xml:space="preserve">功能与接口</t>
  </si>
  <si>
    <t xml:space="preserve">FE-VIEW</t>
  </si>
  <si>
    <t xml:space="preserve">每页面</t>
  </si>
  <si>
    <t xml:space="preserve">信息展示、查询及结果呈现页面</t>
  </si>
  <si>
    <t xml:space="preserve">形成、验证并交付“信息展示、查询及结果呈现页面”所必需的本类型工作；以“每页面”为一个 Task 实例。</t>
  </si>
  <si>
    <t xml:space="preserve">超出“每页面”边界且可独立交付验收的其他对象。来源未列出更具体的相邻排除项。</t>
  </si>
  <si>
    <t xml:space="preserve">紧密服务同一用户目标的视图可合并。</t>
  </si>
  <si>
    <t xml:space="preserve">形成“信息展示、查询及结果呈现页面”并通过约定验收。</t>
  </si>
  <si>
    <t xml:space="preserve">完成“信息展示、查询及结果呈现页面”的目标变更和影响核验，并按交付对象性质通过评审、复核、演练或回归验证。</t>
  </si>
  <si>
    <t xml:space="preserve">数据源、主要状态、筛选项、角色差异</t>
  </si>
  <si>
    <t xml:space="preserve">1 个数据源；1～2 个主要状态；≤5 个筛选或展示条件；单角色</t>
  </si>
  <si>
    <t xml:space="preserve">2～3 个相关数据源；3～5 个状态；6～12 个条件；含分页、排序或角色差异</t>
  </si>
  <si>
    <t xml:space="preserve">4～6 个紧密相关数据源、6～10 个状态或 13～24 个筛选/展示条件；涉及跨页面状态恢复，或量化服务目标、受监管证据</t>
  </si>
  <si>
    <t xml:space="preserve">数据源 &gt;6、状态 &gt;10、条件 &gt;24，包含多个可独立路由和验收的页面或查询目标，或数据口径未确定</t>
  </si>
  <si>
    <t xml:space="preserve">新建看完整页面；调整只看变更状态、条件、数据源和必要页面回归</t>
  </si>
  <si>
    <t xml:space="preserve">SIT_EXT_SUPPORT</t>
  </si>
  <si>
    <t xml:space="preserve">外部集成点SIT支持</t>
  </si>
  <si>
    <t xml:space="preserve">FE-EDIT</t>
  </si>
  <si>
    <t xml:space="preserve">编辑、校验、提交及交互反馈页面</t>
  </si>
  <si>
    <t xml:space="preserve">形成、验证并交付“编辑、校验、提交及交互反馈页面”所必需的本类型工作；以“每页面”为一个 Task 实例。</t>
  </si>
  <si>
    <t xml:space="preserve">超出“每页面”边界且可独立交付验收的其他对象。来源明确排除：页面内部控件不重复计量。</t>
  </si>
  <si>
    <t xml:space="preserve">页面内部控件不重复计量。</t>
  </si>
  <si>
    <t xml:space="preserve">形成“编辑、校验、提交及交互反馈页面”并通过约定验收。</t>
  </si>
  <si>
    <t xml:space="preserve">完成“编辑、校验、提交及交互反馈页面”的目标变更和影响核验，并按交付对象性质通过评审、复核、演练或回归验证。</t>
  </si>
  <si>
    <t xml:space="preserve">字段、校验规则、交互状态、行为差异角色</t>
  </si>
  <si>
    <t xml:space="preserve">≤8 个编辑字段；≤3 条校验；1～2 个状态；单角色</t>
  </si>
  <si>
    <t xml:space="preserve">9～25 个字段；4～10 条校验；3～5 个状态；2～3 个具有行为差异的角色或条件联动</t>
  </si>
  <si>
    <t xml:space="preserve">26～50 个字段、11～20 条规则、6～10 个状态或 4～6 个具有行为差异的角色；涉及跨会话草稿恢复、并发编辑冲突处置、运行时规则驱动字段结构，或受监管证据</t>
  </si>
  <si>
    <t xml:space="preserve">字段 &gt;50、规则 &gt;20、状态 &gt;10、角色 &gt;6，包含多个可独立提交的业务结果或页面，或字段和业务规则未明确</t>
  </si>
  <si>
    <t xml:space="preserve">新建看完整编辑结果；调整只看变更字段、规则、状态、角色差异及必要回归</t>
  </si>
  <si>
    <t xml:space="preserve">页面内部控件不重复计量。未形成可独立交付和验收的本类型标准交付物时不建 Task。</t>
  </si>
  <si>
    <t xml:space="preserve">ROUND_STORY</t>
  </si>
  <si>
    <t xml:space="preserve">故事取整粒度</t>
  </si>
  <si>
    <t xml:space="preserve">任务合计后向上取整</t>
  </si>
  <si>
    <t xml:space="preserve">FE-FLOW</t>
  </si>
  <si>
    <t xml:space="preserve">每业务流程</t>
  </si>
  <si>
    <t xml:space="preserve">端到端多步骤业务流程页面</t>
  </si>
  <si>
    <t xml:space="preserve">形成、验证并交付“端到端多步骤业务流程页面”所必需的本类型工作；以“每业务流程”为一个 Task 实例。</t>
  </si>
  <si>
    <t xml:space="preserve">超出“每业务流程”边界且可独立交付验收的其他对象。来源未列出更具体的相邻排除项。</t>
  </si>
  <si>
    <t xml:space="preserve">不按页面步骤数计量。</t>
  </si>
  <si>
    <t xml:space="preserve">形成“端到端多步骤业务流程页面”并通过约定验收。</t>
  </si>
  <si>
    <t xml:space="preserve">完成“端到端多步骤业务流程页面”的目标变更和影响核验，并按交付对象性质通过评审、复核、演练或回归验证。</t>
  </si>
  <si>
    <t xml:space="preserve">步骤、分支、角色、跨步状态</t>
  </si>
  <si>
    <t xml:space="preserve">2～3 个步骤；单一路径；单角色；无跨会话恢复</t>
  </si>
  <si>
    <t xml:space="preserve">4～6 个步骤；2～4 条分支；2～3 个角色；需草稿或跨步校验</t>
  </si>
  <si>
    <t xml:space="preserve">7～12 个紧密连续步骤、5～8 条分支或 4～6 个角色；涉及跨会话恢复、回退重做、并发处理，或多方联合交付</t>
  </si>
  <si>
    <t xml:space="preserve">步骤 &lt;2 时按主验收结果改用 FE-VIEW 或 FE-EDIT；步骤 &gt;12、分支 &gt;8、角色 &gt;6，包含多个可独立启动和完成的业务流程，或流程结果和状态机不明确</t>
  </si>
  <si>
    <t xml:space="preserve">新建看完整流程；调整只看变化步骤、分支、状态迁移和端到端回归</t>
  </si>
  <si>
    <t xml:space="preserve">FE-EDIT,FE-VIEW</t>
  </si>
  <si>
    <t xml:space="preserve">仅在 FE-EDIT, FE-VIEW 的交付物可独立版本化、部署或验收时分别建 Task；否则相关工作包含在 FE-FLOW 的单一交付边界内。</t>
  </si>
  <si>
    <t xml:space="preserve">ROUND_PROJECT</t>
  </si>
  <si>
    <t xml:space="preserve">项目级取整粒度</t>
  </si>
  <si>
    <t xml:space="preserve">SIT、UAT分别向上取整；总计不再次取整</t>
  </si>
  <si>
    <t xml:space="preserve">FE-DASHBOARD</t>
  </si>
  <si>
    <t xml:space="preserve">业务看板与数据可视化页面</t>
  </si>
  <si>
    <t xml:space="preserve">业务看板或数据可视化页面</t>
  </si>
  <si>
    <t xml:space="preserve">形成、验证并交付“业务看板或数据可视化页面”所必需的本类型工作；以“每页面”为一个 Task 实例。</t>
  </si>
  <si>
    <t xml:space="preserve">超出“每页面”边界且可独立交付验收的其他对象。来源明确排除：独立数据集另行计量。</t>
  </si>
  <si>
    <t xml:space="preserve">独立数据集另行计量。</t>
  </si>
  <si>
    <t xml:space="preserve">形成“业务看板或数据可视化页面”并通过约定验收。</t>
  </si>
  <si>
    <t xml:space="preserve">完成“业务看板或数据可视化页面”的目标变更和影响核验，并按交付对象性质通过评审、复核、演练或回归验证。</t>
  </si>
  <si>
    <t xml:space="preserve">数据源、指标、可视化组件、交互</t>
  </si>
  <si>
    <t xml:space="preserve">1 个数据源；≤3 个指标或图表；固定筛选；无钻取</t>
  </si>
  <si>
    <t xml:space="preserve">2～3 个相关数据源；4～8 个指标或图表；联动筛选或一级钻取</t>
  </si>
  <si>
    <t xml:space="preserve">4～6 个紧密相关数据源或 9～16 个指标/图表；涉及多级钻取、服务端推送/流式刷新，或动态策略、量化服务目标</t>
  </si>
  <si>
    <t xml:space="preserve">数据源 &gt;6，指标/图表 &gt;16，包含多张可独立验收的看板或相互独立的指标口径</t>
  </si>
  <si>
    <t xml:space="preserve">新建看整张看板；调整只看变化指标、图表、交互和必要数据回归</t>
  </si>
  <si>
    <t xml:space="preserve">独立数据集另行计量。未形成可独立交付和验收的本类型标准交付物时不建 Task。</t>
  </si>
  <si>
    <t xml:space="preserve">FE-UI-COMPONENT</t>
  </si>
  <si>
    <t xml:space="preserve">可复用界面组件</t>
  </si>
  <si>
    <t xml:space="preserve">每个可独立发布的界面组件</t>
  </si>
  <si>
    <t xml:space="preserve">组件属性、事件、状态、样式、主题、无障碍、示例和组件验证</t>
  </si>
  <si>
    <t xml:space="preserve">形成、验证并交付“组件属性、事件、状态、样式、主题、无障碍、示例和组件验证”所必需的本类型工作；以“每个可独立发布的界面组件”为一个 Task 实例。</t>
  </si>
  <si>
    <t xml:space="preserve">超出“每个可独立发布的界面组件”边界且可独立交付验收的其他对象。来源明确排除：普通组件使用包含在所属页面或应用 Task 中；</t>
  </si>
  <si>
    <t xml:space="preserve">普通组件使用包含在所属页面或应用 Task 中；主题或 Wrapper 只有形成独立配置域或新的公共组件时才单列。</t>
  </si>
  <si>
    <t xml:space="preserve">形成可独立发布的界面组件、示例和验证结果并通过约定验收。</t>
  </si>
  <si>
    <t xml:space="preserve">完成既有界面组件公开契约、状态、样式或兼容目标的变更和影响核验。</t>
  </si>
  <si>
    <t xml:space="preserve">属性/事件、状态变体、消费模块、兼容要求</t>
  </si>
  <si>
    <t xml:space="preserve">1～2 个公开属性/事件；≤3 个状态变体；1 个消费模块；沿用现有设计规范</t>
  </si>
  <si>
    <t xml:space="preserve">3～6 个属性/事件；4～8 个状态；2～3 个消费模块；含主题、响应式或基础兼容</t>
  </si>
  <si>
    <t xml:space="preserve">7～12 个属性/事件、9～16 个状态或 4～6 个消费模块；涉及跨应用消费、非标准交互、无障碍公开契约，或严格向后兼容、高敏感数据或权限控制、量化服务目标</t>
  </si>
  <si>
    <t xml:space="preserve">属性/事件 &gt;12、状态 &gt;16、消费模块 &gt;6，包含多个可独立发布的界面组件，或要建设完整组件体系</t>
  </si>
  <si>
    <t xml:space="preserve">新建看完整独立组件；调整只看公开契约变化和受影响消费方；普通消费不建本类型 Task；非 UI 技术组件使用 CO-TECH-COMPONENT</t>
  </si>
  <si>
    <t xml:space="preserve">CO-TECH-COMPONENT</t>
  </si>
  <si>
    <t xml:space="preserve">仅在 CO-TECH-COMPONENT 的交付物可独立版本化、部署或验收时分别建 Task；否则相关工作包含在 FE-UI-COMPONENT 的单一交付边界内。</t>
  </si>
  <si>
    <t xml:space="preserve">普通组件使用包含在所属页面或应用 Task 中；未形成可独立交付和验收的本类型标准交付物时不建 Task。</t>
  </si>
  <si>
    <t xml:space="preserve">FE-QUERY-API</t>
  </si>
  <si>
    <t xml:space="preserve">每业务事务</t>
  </si>
  <si>
    <t xml:space="preserve">查询契约、行为及正确结果</t>
  </si>
  <si>
    <t xml:space="preserve">形成、验证并交付“查询契约、行为及正确结果”所必需的本类型工作；以“每业务事务”为一个 Task 实例。</t>
  </si>
  <si>
    <t xml:space="preserve">超出“每业务事务”边界且可独立交付验收的其他对象。来源未列出更具体的相邻排除项。</t>
  </si>
  <si>
    <t xml:space="preserve">不按 Controller、Method 或参数数量计量。</t>
  </si>
  <si>
    <t xml:space="preserve">形成“查询契约、行为及正确结果”并通过约定验收。</t>
  </si>
  <si>
    <t xml:space="preserve">完成“查询契约、行为及正确结果”的目标变更和影响核验，并按交付对象性质通过评审、复核、演练或回归验证。</t>
  </si>
  <si>
    <t xml:space="preserve">数据对象、筛选/计算规则、返回状态、结果处理机制</t>
  </si>
  <si>
    <t xml:space="preserve">1 个主要对象；≤3 个筛选/计算规则；≤3 个业务返回状态；简单分页；单一权限规则</t>
  </si>
  <si>
    <t xml:space="preserve">2～3 个相关对象；4～10 个筛选/计算规则；4～8 个业务返回状态；含排序、聚合或角色过滤</t>
  </si>
  <si>
    <t xml:space="preserve">4～6 个紧密相关对象、11～20 条规则或 9～16 个业务返回状态；涉及全文检索、流式/游标结果、多租户隔离，或量化服务目标</t>
  </si>
  <si>
    <t xml:space="preserve">对象 &gt;6、规则 &gt;20、返回状态 &gt;16，包含多个可独立调用并产生不同业务结果的查询事务，或返回口径未明确</t>
  </si>
  <si>
    <t xml:space="preserve">新建看完整查询事务；调整只看契约、规则、返回状态、数据路径变化和必要回归</t>
  </si>
  <si>
    <t xml:space="preserve">FE-COMMAND-API</t>
  </si>
  <si>
    <t xml:space="preserve">操作契约、业务规则及持久化结果</t>
  </si>
  <si>
    <t xml:space="preserve">形成、验证并交付“操作契约、业务规则及持久化结果”所必需的本类型工作；以“每业务事务”为一个 Task 实例。</t>
  </si>
  <si>
    <t xml:space="preserve">每个独立业务结果计一项。</t>
  </si>
  <si>
    <t xml:space="preserve">形成“操作契约、业务规则及持久化结果”并通过约定验收。</t>
  </si>
  <si>
    <t xml:space="preserve">完成“操作契约、业务规则及持久化结果”的目标变更和影响核验，并按交付对象性质通过评审、复核、演练或回归验证。</t>
  </si>
  <si>
    <t xml:space="preserve">业务对象、规则、本次涉及的状态迁移、副作用</t>
  </si>
  <si>
    <t xml:space="preserve">1 个对象；≤3 条规则；1 个事务；≤2 个状态迁移</t>
  </si>
  <si>
    <t xml:space="preserve">2～3 个相关对象；4～8 条规则；3～5 个状态迁移；含异步副作用或多角色权限</t>
  </si>
  <si>
    <t xml:space="preserve">4～6 个紧密相关对象、9～16 条规则或 6～10 个状态迁移；涉及外部重放幂等契约、并发写冲突控制、跨资源原子提交，或非标准恢复或回滚、量化服务目标</t>
  </si>
  <si>
    <t xml:space="preserve">对象 &gt;6、规则 &gt;16、状态迁移 &gt;10，包含多个可独立触发并验收的业务操作，或操作结果和事务边界不明确</t>
  </si>
  <si>
    <t xml:space="preserve">新建看完整业务操作；调整只看本次涉及的规则、状态迁移、副作用及必要回归，不按存量状态总数判档</t>
  </si>
  <si>
    <t xml:space="preserve">FE-FILE-TRANSFER</t>
  </si>
  <si>
    <t xml:space="preserve">文件传输接口</t>
  </si>
  <si>
    <t xml:space="preserve">每文件场景</t>
  </si>
  <si>
    <t xml:space="preserve">文件上传、下载或传输能力</t>
  </si>
  <si>
    <t xml:space="preserve">形成、验证并交付“文件上传、下载或传输能力”所必需的本类型工作；以“每文件场景”为一个 Task 实例。</t>
  </si>
  <si>
    <t xml:space="preserve">超出“每文件场景”边界且可独立交付验收的其他对象。来源明确排除：数据导入输出、解析和文档生成使用对应类型。</t>
  </si>
  <si>
    <t xml:space="preserve">数据导入输出、解析和文档生成使用对应类型。</t>
  </si>
  <si>
    <t xml:space="preserve">形成“文件上传、下载或传输能力”并通过约定验收。</t>
  </si>
  <si>
    <t xml:space="preserve">完成“文件上传、下载或传输能力”的目标变更和影响核验，并按交付对象性质通过评审、复核、演练或回归验证。</t>
  </si>
  <si>
    <t xml:space="preserve">方向、格式、文件大小、传输控制</t>
  </si>
  <si>
    <t xml:space="preserve">单一方向；1 种格式；≤50 MB；基础类型和大小校验</t>
  </si>
  <si>
    <t xml:space="preserve">单一场景含 2～3 种格式；&gt;50 MB 且 ≤2 GB；病毒扫描、断点续传或临时凭证</t>
  </si>
  <si>
    <t xml:space="preserve">单一场景 &gt;2 GB 且 ≤20 GB，或 4～6 种紧密相关格式；涉及流式分片传输、端到端加密、带宽控制，或量化服务目标、受监管证据、高敏感数据或权限控制</t>
  </si>
  <si>
    <t xml:space="preserve">文件 &gt;20 GB、格式 &gt;6，包含多个独立上传/下载业务场景、不同责任边界，或文件规则未明确</t>
  </si>
  <si>
    <t xml:space="preserve">新建看完整文件场景；调整只看格式、控制、存储路径变化和必要回归</t>
  </si>
  <si>
    <t xml:space="preserve">数据导入输出、解析和文档生成使用对应类型。未形成可独立交付和验收的本类型标准交付物时不建 Task。</t>
  </si>
  <si>
    <t xml:space="preserve">FE-MESSAGE-FLOW</t>
  </si>
  <si>
    <t xml:space="preserve">消息驱动业务处理流程</t>
  </si>
  <si>
    <t xml:space="preserve">消息驱动业务流程及处理结果</t>
  </si>
  <si>
    <t xml:space="preserve">形成、验证并交付“消息驱动业务流程及处理结果”所必需的本类型工作；以“每业务事务”为一个 Task 实例。</t>
  </si>
  <si>
    <t xml:space="preserve">超出“每业务事务”边界且可独立交付验收的其他对象。来源明确排除：普通事件发布、Outbox、Retry 和 DLQ 不单列。</t>
  </si>
  <si>
    <t xml:space="preserve">普通事件发布、Outbox、Retry 和 DLQ 不单列。</t>
  </si>
  <si>
    <t xml:space="preserve">形成“消息驱动业务流程及处理结果”并通过约定验收。</t>
  </si>
  <si>
    <t xml:space="preserve">完成“消息驱动业务流程及处理结果”的目标变更和影响核验，并按交付对象性质通过评审、复核、演练或回归验证。</t>
  </si>
  <si>
    <t xml:space="preserve">事件类型、处理步骤、消费者、交付语义</t>
  </si>
  <si>
    <t xml:space="preserve">1 个事件类型；1 个消费者；≤2 个处理步骤；允许至少一次且副作用简单</t>
  </si>
  <si>
    <t xml:space="preserve">1 个业务事务含 2～3 个相关事件类型、2～3 个消费者；3～5 个步骤；需顺序、重试、幂等或 DLQ</t>
  </si>
  <si>
    <t xml:space="preserve">4～6 个紧密相关事件类型、4～6 个消费者或 6～10 个步骤；涉及事务消息/Outbox 一致性、消息回放，或严格向后兼容、量化服务目标、跨区域连续性</t>
  </si>
  <si>
    <t xml:space="preserve">事件 &gt;6、消费者 &gt;6、步骤 &gt;10，包含多个独立消息方向或业务事务，或消息契约和交付语义未明确</t>
  </si>
  <si>
    <t xml:space="preserve">新建看完整消息事务；调整只看变化事件、消费者、语义和必要回放回归</t>
  </si>
  <si>
    <t xml:space="preserve">普通事件发布、Outbox、Retry 和 DLQ 不单列。未形成可独立交付和验收的本类型标准交付物时不建 Task。</t>
  </si>
  <si>
    <t xml:space="preserve">FE-COMPENSATION</t>
  </si>
  <si>
    <t xml:space="preserve">每业务场景</t>
  </si>
  <si>
    <t xml:space="preserve">可执行并验证的补偿或恢复结果</t>
  </si>
  <si>
    <t xml:space="preserve">形成、验证并交付“可执行并验证的补偿或恢复结果”所必需的本类型工作；以“每业务场景”为一个 Task 实例。</t>
  </si>
  <si>
    <t xml:space="preserve">超出“每业务场景”边界且可独立交付验收的其他对象。来源未列出更具体的相邻排除项。</t>
  </si>
  <si>
    <t xml:space="preserve">必须有独立触发方式和验收结果。</t>
  </si>
  <si>
    <t xml:space="preserve">形成“可执行并验证的补偿或恢复结果”并通过约定验收。</t>
  </si>
  <si>
    <t xml:space="preserve">完成“可执行并验证的补偿或恢复结果”的目标变更和影响核验，并按交付对象性质通过评审、复核、演练或回归验证。</t>
  </si>
  <si>
    <t xml:space="preserve">失败点、补偿步骤、恢复目标、人工介入</t>
  </si>
  <si>
    <t xml:space="preserve">1 个失败点；1～2 个补偿步骤；自动恢复；无数据冲突</t>
  </si>
  <si>
    <t xml:space="preserve">2～3 个相关失败点；3～5 个步骤；含重试、幂等或一次人工确认</t>
  </si>
  <si>
    <t xml:space="preserve">4～6 个紧密相关失败点或 6～10 个步骤；涉及跨系统回滚、部分成功处置、数据冲突处置、多级人工处置，或非标准恢复或回滚</t>
  </si>
  <si>
    <t xml:space="preserve">失败点 &gt;6、步骤 &gt;10，包含多个独立恢复目标，或原始事务、失败状态和成功判据不明确</t>
  </si>
  <si>
    <t xml:space="preserve">新建看完整恢复场景；调整只看变化失败路径、补偿规则和恢复验证</t>
  </si>
  <si>
    <t xml:space="preserve">FE-BATCH</t>
  </si>
  <si>
    <t xml:space="preserve">批量处理与定时调度任务</t>
  </si>
  <si>
    <t xml:space="preserve">批量处理或调度流程及执行结果</t>
  </si>
  <si>
    <t xml:space="preserve">形成、验证并交付“批量处理或调度流程及执行结果”所必需的本类型工作；以“每业务流程”为一个 Task 实例。</t>
  </si>
  <si>
    <t xml:space="preserve">触发方式和数据规模是属性或复杂度。</t>
  </si>
  <si>
    <t xml:space="preserve">形成“批量处理或调度流程及执行结果”并通过约定验收。</t>
  </si>
  <si>
    <t xml:space="preserve">完成“批量处理或调度流程及执行结果”的目标变更和影响核验，并按交付对象性质通过评审、复核、演练或回归验证。</t>
  </si>
  <si>
    <t xml:space="preserve">处理步骤、数据量、外部依赖、恢复能力</t>
  </si>
  <si>
    <t xml:space="preserve">1～2 个步骤；单源单目标；≤1 万条/批；除源/目标外无其他依赖；失败可整体重跑</t>
  </si>
  <si>
    <t xml:space="preserve">3～5 个步骤；&gt;1 万且 ≤100 万条/批；1～3 个外部依赖；需重试、监控或断点续跑</t>
  </si>
  <si>
    <t xml:space="preserve">≥6 个紧密连续步骤、&gt;100 万条/批或 ≥4 个外部依赖；涉及分片并行，或量化服务目标、非标准恢复或回滚</t>
  </si>
  <si>
    <t xml:space="preserve">包含多个可独立调度和验收的批处理流程，或数据口径/窗口未明确</t>
  </si>
  <si>
    <t xml:space="preserve">依赖数不包含已单独计量的源和目标端点；调整只看变化步骤、调度、数据路径和必要回归</t>
  </si>
  <si>
    <t xml:space="preserve">系统集成</t>
  </si>
  <si>
    <t xml:space="preserve">IN-INTEGRATION</t>
  </si>
  <si>
    <t xml:space="preserve">每个已批准集成（Integration，单一交互方向）</t>
  </si>
  <si>
    <t xml:space="preserve">一个已批准集成的交互契约、数据映射及业务处理结果</t>
  </si>
  <si>
    <t xml:space="preserve">形成、验证并交付“一个已批准集成的交互契约、数据映射及业务处理结果”所必需的本类型工作；以“每个已批准集成（Integration，单一交互方向）”为一个 Task 实例。</t>
  </si>
  <si>
    <t xml:space="preserve">超出“每个已批准集成（Integration，单一交互方向）”边界且可独立交付验收的其他对象。来源未列出更具体的相邻排除项。</t>
  </si>
  <si>
    <t xml:space="preserve">用于请求、事件或消息驱动的跨系统业务交互；持续数据复制只是该集成的内部实现时不再计 DATA-SYNC，只有同步能力可独立运行和验收时才单列。</t>
  </si>
  <si>
    <t xml:space="preserve">形成一个已批准集成的交互契约、数据映射及业务处理结果并通过约定验收。</t>
  </si>
  <si>
    <t xml:space="preserve">完成既有集成的契约、映射、交互或处理结果变更及必要联调和回归。</t>
  </si>
  <si>
    <t xml:space="preserve">既有系统或集成能力不变，项目侧认证、配置、映射、封装和专项联调完成。</t>
  </si>
  <si>
    <t xml:space="preserve">交互操作、字段映射、方向、责任方</t>
  </si>
  <si>
    <t xml:space="preserve">内部责任方拥有且对端稳定；1 个方向；1～2 个操作；≤10 个字段；标准协议/认证</t>
  </si>
  <si>
    <t xml:space="preserve">内部方向含 3～6 个操作或 11～50 个字段；或外部责任方的稳定方向含 1～3 个操作、≤30 个字段和常规联调</t>
  </si>
  <si>
    <t xml:space="preserve">内部方向 7～12 个操作或 51～100 个字段；或外部方向 4～6 个操作、31～60 个字段；涉及专有协议，或受限外部环境、非标准恢复或回滚、量化服务目标、高敏感数据或权限控制、多方联合交付</t>
  </si>
  <si>
    <t xml:space="preserve">操作或字段超过对应 L 上界，涉及多个对端、源目标组合、Integration 或独立方向，或双方实现都由本项目独立交付</t>
  </si>
  <si>
    <t xml:space="preserve">请求、事件或消息交互使用本行；独立持续数据同步使用 DATA-SYNC；调整只看既有契约变化，接入复用只看项目侧工作</t>
  </si>
  <si>
    <t xml:space="preserve">DATA-SYNC</t>
  </si>
  <si>
    <t xml:space="preserve">仅在 DATA-SYNC 的交付物可独立版本化、部署或验收时分别建 Task；否则相关工作包含在 IN-INTEGRATION 的单一交付边界内。</t>
  </si>
  <si>
    <t xml:space="preserve">PER_INTEGRATION</t>
  </si>
  <si>
    <t xml:space="preserve">IN-IDENTITY</t>
  </si>
  <si>
    <t xml:space="preserve">每个已批准身份与账号集成（Integration，单一方向）</t>
  </si>
  <si>
    <t xml:space="preserve">一个已批准身份与账号集成的认证、账号同步、用户关联或身份交互结果</t>
  </si>
  <si>
    <t xml:space="preserve">形成、验证并交付“一个已批准身份与账号集成的认证、账号同步、用户关联或身份交互结果”所必需的本类型工作；以“每个已批准身份与账号集成（Integration，单一方向）”为一个 Task 实例。</t>
  </si>
  <si>
    <t xml:space="preserve">超出“每个已批准身份与账号集成（Integration，单一方向）”边界且可独立交付验收的其他对象。来源未列出更具体的相邻排除项。</t>
  </si>
  <si>
    <t xml:space="preserve">本类型拥有外部 Claim/属性到本地主体或组的映射；本地角色到操作/资源的授权由 GOV-FUNCTION-ACCESS 拥有。OIDC 登录与 SCIM 同步属于两个独立方向时必须拆分；一个顶级集成恰好对应一个 IN-* Task。</t>
  </si>
  <si>
    <t xml:space="preserve">形成一个已批准身份与账号集成的契约、认证/同步、映射和交互结果并通过约定验收。</t>
  </si>
  <si>
    <t xml:space="preserve">完成既有身份与账号集成的契约、映射、会话、同步或安全目标变更和必要回归。</t>
  </si>
  <si>
    <t xml:space="preserve">既有身份与账号平台不变，项目侧客户端、认证/同步配置、用户/属性映射、会话接入和验证完成。</t>
  </si>
  <si>
    <t xml:space="preserve">集成方向、登录/同步路径、属性映射、会话/安全要求</t>
  </si>
  <si>
    <t xml:space="preserve">1 个身份与账号集成；标准 OIDC/SAML；1 条路径；≤5 个属性映射</t>
  </si>
  <si>
    <t xml:space="preserve">1 个身份与账号集成；2～3 条路径；6～15 个属性；含用户关联、会话续期、MFA 或常规外部联调</t>
  </si>
  <si>
    <t xml:space="preserve">1 个身份与账号集成内 4～6 条路径或 16～30 个属性；涉及身份联邦、遗留协议、抗钓鱼认证、账号合并，或受限外部环境、受监管证据</t>
  </si>
  <si>
    <t xml:space="preserve">路径 &gt;6、属性 &gt;30，包含多个独立集成/交互方向，或身份归属、账号生命周期和信任边界未明确</t>
  </si>
  <si>
    <t xml:space="preserve">OIDC、SCIM 等可独立验收方向分别建集成；调整只看既有身份与账号契约变化；复用只看项目侧客户端、映射、会话/同步和验证</t>
  </si>
  <si>
    <t xml:space="preserve">GOV-FUNCTION-ACCESS</t>
  </si>
  <si>
    <t xml:space="preserve">仅在 GOV-FUNCTION-ACCESS 的交付物可独立版本化、部署或验收时分别建 Task；否则相关工作包含在 IN-IDENTITY 的单一交付边界内。</t>
  </si>
  <si>
    <t xml:space="preserve">应用共性能力</t>
  </si>
  <si>
    <t xml:space="preserve">CO-I18N</t>
  </si>
  <si>
    <t xml:space="preserve">国际化与本地化基础能力</t>
  </si>
  <si>
    <t xml:space="preserve">每个应用的本地化机制</t>
  </si>
  <si>
    <t xml:space="preserve">语言资源、Locale、回退、格式化及翻译发布机制</t>
  </si>
  <si>
    <t xml:space="preserve">形成、验证并交付“语言资源、Locale、回退、格式化及翻译发布机制”所必需的本类型工作；以“每个应用的本地化机制”为一个 Task 实例。</t>
  </si>
  <si>
    <t xml:space="preserve">超出“每个应用的本地化机制”边界且可独立交付验收的其他对象。来源未列出更具体的相邻排除项。</t>
  </si>
  <si>
    <t xml:space="preserve">页面、模板和兼容验证分别计量。</t>
  </si>
  <si>
    <t xml:space="preserve">形成“语言资源、Locale、回退、格式化及翻译发布机制”并通过约定验收。</t>
  </si>
  <si>
    <t xml:space="preserve">完成“语言资源、Locale、回退、格式化及翻译发布机制”的目标变更和影响核验，并按交付对象性质通过评审、复核、演练或回归验证。</t>
  </si>
  <si>
    <t xml:space="preserve">既有国际化机制不变，项目语言资源、Locale 配置、格式化和回退验证完成。</t>
  </si>
  <si>
    <t xml:space="preserve">本次涉及的语言、资源域、格式规则、发布机制、硬编码改造点</t>
  </si>
  <si>
    <t xml:space="preserve">本次涉及 1 个语言；≤2 个资源域；0 个硬编码改造点；标准日期/数字格式；无复数和 RTL</t>
  </si>
  <si>
    <t xml:space="preserve">本次涉及 2～4 个语言；3～5 个资源域；1～20 个硬编码改造点；含复数、日期、货币、回退和翻译发布</t>
  </si>
  <si>
    <t xml:space="preserve">本次涉及 5～8 个语言、6～10 个资源域或 21～40 个硬编码改造点；涉及 RTL、动态内容本地化、翻译发布工作流或受监管证据要求</t>
  </si>
  <si>
    <t xml:space="preserve">本次涉及语言 &gt;8、资源域 &gt;10、硬编码点 &gt;40，包含多个可独立发布的应用/本地化机制，或语言范围和内容责任未明确</t>
  </si>
  <si>
    <t xml:space="preserve">新建看首个完整机制覆盖的语言；调整只计本次资源、格式和回退变化实际影响并需要回归的语言，不能填 0；接入复用只看项目语言资源、Locale、格式化和回退验证</t>
  </si>
  <si>
    <t xml:space="preserve">CO-CONFIG</t>
  </si>
  <si>
    <t xml:space="preserve">每个独立配置控制域</t>
  </si>
  <si>
    <t xml:space="preserve">可发布、可回退并可验证的配置或开关能力</t>
  </si>
  <si>
    <t xml:space="preserve">形成、验证并交付“可发布、可回退并可验证的配置或开关能力”所必需的本类型工作；以“每个独立配置控制域”为一个 Task 实例。</t>
  </si>
  <si>
    <t xml:space="preserve">超出“每个独立配置控制域”边界且可独立交付验收的其他对象。来源明确排除：普通常量和单一环境变量包含在主 Task 中；</t>
  </si>
  <si>
    <t xml:space="preserve">普通常量和单一环境变量包含在主 Task 中；接入复用仍需完整配置、回退和验证，M 档不低于调整。</t>
  </si>
  <si>
    <t xml:space="preserve">形成“可发布、可回退并可验证的配置或开关能力”并通过约定验收。</t>
  </si>
  <si>
    <t xml:space="preserve">完成“可发布、可回退并可验证的配置或开关能力”的目标变更和影响核验，并按交付对象性质通过评审、复核、演练或回归验证。</t>
  </si>
  <si>
    <t xml:space="preserve">既有配置或开关平台不变，项目侧命名、参数、权限、回退和验证完成。</t>
  </si>
  <si>
    <t xml:space="preserve">参数/开关、环境、作用范围、治理要求</t>
  </si>
  <si>
    <t xml:space="preserve">≤5 个相关参数/开关；≤2 个环境；单一作用范围；无需审计</t>
  </si>
  <si>
    <t xml:space="preserve">6～20 个参数/开关；3～4 个环境；按角色或租户；含权限、审计和回退</t>
  </si>
  <si>
    <t xml:space="preserve">21～40 个参数/开关或 5～8 个环境；涉及跨键依赖图、金丝雀配置发布、紧急止损开关，或跨区域连续性、量化服务目标、受监管证据、多方联合交付</t>
  </si>
  <si>
    <t xml:space="preserve">参数/开关 &gt;40、环境 &gt;8，包含多个无关配置域/开关组，或所有者、默认值和回退语义未明确</t>
  </si>
  <si>
    <t xml:space="preserve">调整只看既有配置域变化；复用只看项目侧命名、参数、权限、回退和验证</t>
  </si>
  <si>
    <t xml:space="preserve">普通常量和单一环境变量包含在主 Task 中；未形成可独立交付和验收的本类型标准交付物时不建 Task。</t>
  </si>
  <si>
    <t xml:space="preserve">CO-ACCESSIBILITY</t>
  </si>
  <si>
    <t xml:space="preserve">无障碍与可访问性基础能力</t>
  </si>
  <si>
    <t xml:space="preserve">每个应用的可访问性机制</t>
  </si>
  <si>
    <t xml:space="preserve">焦点、语义、辅助提示和可访问交互基础能力</t>
  </si>
  <si>
    <t xml:space="preserve">形成、验证并交付“焦点、语义、辅助提示和可访问交互基础能力”所必需的本类型工作；以“每个应用的可访问性机制”为一个 Task 实例。</t>
  </si>
  <si>
    <t xml:space="preserve">超出“每个应用的可访问性机制”边界且可独立交付验收的其他对象。来源未列出更具体的相邻排除项。</t>
  </si>
  <si>
    <t xml:space="preserve">具体页面、组件与正式验证分别计量；接入复用 M 档包含绑定和专项验证，不低于调整。</t>
  </si>
  <si>
    <t xml:space="preserve">形成“焦点、语义、辅助提示和可访问交互基础能力”并通过约定验收。</t>
  </si>
  <si>
    <t xml:space="preserve">完成“焦点、语义、辅助提示和可访问交互基础能力”的目标变更和影响核验，并按交付对象性质通过评审、复核、演练或回归验证。</t>
  </si>
  <si>
    <t xml:space="preserve">既有可访问性机制不变，项目侧组件绑定、语义配置和专项验证完成。</t>
  </si>
  <si>
    <t xml:space="preserve">组件/模式、输入方式、辅助技术、符合级别</t>
  </si>
  <si>
    <t xml:space="preserve">≤5 个通用组件/交互模式；键盘和基础语义；单一目标标准</t>
  </si>
  <si>
    <t xml:space="preserve">6～20 个组件/模式；含焦点管理、读屏、对比度和错误提示；按 WCAG 2.x AA 自查</t>
  </si>
  <si>
    <t xml:space="preserve">21～40 个组件/模式；涉及复合控件键盘/焦点状态机、动态更新播报、多输入方式、读屏/键盘验证矩阵、遗留辅助技术兼容，或受监管证据</t>
  </si>
  <si>
    <t xml:space="preserve">组件/模式 &gt;40，包含多个独立应用/标准范围，或目标符合级别和验证矩阵未明确</t>
  </si>
  <si>
    <t xml:space="preserve">调整只看基础机制变化；复用只看项目组件绑定、语义配置和专项验证</t>
  </si>
  <si>
    <t xml:space="preserve">CO-PERF-RELIABILITY</t>
  </si>
  <si>
    <t xml:space="preserve">每个独立瓶颈域（单一调用链或共同目标组件组）</t>
  </si>
  <si>
    <t xml:space="preserve">一个瓶颈域或调用链达成一组相关量化目标的技术改进结果</t>
  </si>
  <si>
    <t xml:space="preserve">形成、验证并交付“一个瓶颈域或调用链达成一组相关量化目标的技术改进结果”所必需的本类型工作；以“每个独立瓶颈域（单一调用链或共同目标组件组）”为一个 Task 实例。</t>
  </si>
  <si>
    <t xml:space="preserve">超出“每个独立瓶颈域（单一调用链或共同目标组件组）”边界且可独立交付验收的其他对象。来源明确排除：普通 SQL、缓存、重试等实现细节包含在所属主 Task 中。</t>
  </si>
  <si>
    <t xml:space="preserve">延迟、吞吐、错误率等相关目标可归入同一瓶颈域；独立调用链必须拆分。普通 SQL、缓存、重试等实现细节包含在所属主 Task 中。</t>
  </si>
  <si>
    <t xml:space="preserve">形成一个瓶颈域或调用链达成一组相关量化目标的技术改进结果并通过约定验收。</t>
  </si>
  <si>
    <t xml:space="preserve">完成既有瓶颈域或调用链的策略、实现、目标或验证范围变更及必要回归。</t>
  </si>
  <si>
    <t xml:space="preserve">既有可靠性能力不变，项目侧策略、参数、接入和目标验证完成。</t>
  </si>
  <si>
    <t xml:space="preserve">量化目标数、瓶颈组件、负载模型、恢复机制</t>
  </si>
  <si>
    <t xml:space="preserve">1 个量化目标；1 个组件；1 个负载模型；无专项服务目标门禁</t>
  </si>
  <si>
    <t xml:space="preserve">2～3 个相关目标；2～3 个组件；2 个负载模型；需限流、缓存、重试或调优复测</t>
  </si>
  <si>
    <t xml:space="preserve">≥4 个紧密相关目标、≥4 个组件或 ≥3 个负载模型；涉及分布式瓶颈、容量边界验证，或量化服务目标、非标准恢复或回滚</t>
  </si>
  <si>
    <t xml:space="preserve">包含多个独立瓶颈域/调用链，或目标没有基线、目标值、测量窗口和验收方法</t>
  </si>
  <si>
    <t xml:space="preserve">调整只看已有能力变化；接入复用只看项目侧策略、参数、接入和目标验证</t>
  </si>
  <si>
    <t xml:space="preserve">普通 SQL、缓存、重试等实现细节包含在所属主 Task 中。未形成可独立交付和验收的本类型标准交付物时不建 Task。</t>
  </si>
  <si>
    <t xml:space="preserve">CO-BCDR</t>
  </si>
  <si>
    <t xml:space="preserve">业务连续性与灾备能力建设</t>
  </si>
  <si>
    <t xml:space="preserve">每个应用的独立恢复能力</t>
  </si>
  <si>
    <t xml:space="preserve">可切换、可降级并可恢复的应用连续性能力</t>
  </si>
  <si>
    <t xml:space="preserve">形成、验证并交付“可切换、可降级并可恢复的应用连续性能力”所必需的本类型工作；以“每个应用的独立恢复能力”为一个 Task 实例。</t>
  </si>
  <si>
    <t xml:space="preserve">超出“每个应用的独立恢复能力”边界且可独立交付验收的其他对象。来源未列出更具体的相邻排除项。</t>
  </si>
  <si>
    <t xml:space="preserve">资源栈、正式验证和运行手册分别计量。</t>
  </si>
  <si>
    <t xml:space="preserve">形成“可切换、可降级并可恢复的应用连续性能力”并通过约定验收。</t>
  </si>
  <si>
    <t xml:space="preserve">完成“可切换、可降级并可恢复的应用连续性能力”的目标变更和影响核验，并按交付对象性质通过评审、复核、演练或回归验证。</t>
  </si>
  <si>
    <t xml:space="preserve">既有灾备平台或模式不变，项目侧切换、降级、恢复配置和验证完成。</t>
  </si>
  <si>
    <t xml:space="preserve">组件、恢复路径、RTO、RPO</t>
  </si>
  <si>
    <t xml:space="preserve">1 个应用且 ≤2 个组件；标准备份恢复；RTO ≥4 小时且 RPO ≥24 小时；单一路径</t>
  </si>
  <si>
    <t xml:space="preserve">3～6 个紧密相关组件；1 条切换/恢复路径；RTO 为 1～&lt;4 小时或 RPO 为 1～&lt;24 小时；含降级机制和内部开发自测</t>
  </si>
  <si>
    <t xml:space="preserve">≥7 个紧密相关组件；RTO 为 15 分钟～&lt;1 小时或 RPO 为 5 分钟～&lt;1 小时；涉及多级切换、主动—主动，或跨区域连续性</t>
  </si>
  <si>
    <t xml:space="preserve">RTO &lt;15 分钟或 RPO &lt;5 分钟，包含多个独立应用/恢复能力，或基础设施栈、迁移和正式验证可独立交付却未拆分</t>
  </si>
  <si>
    <t xml:space="preserve">调整只看恢复能力变化；接入复用只看项目侧切换、降级、恢复配置和内部验证；正式 TEST-DR 的路径、执行和证据全部排除</t>
  </si>
  <si>
    <t xml:space="preserve">TEST-DR</t>
  </si>
  <si>
    <t xml:space="preserve">仅在 TEST-DR 的交付物可独立版本化、部署或验收时分别建 Task；否则相关工作包含在 CO-BCDR 的单一交付边界内。</t>
  </si>
  <si>
    <t xml:space="preserve">CO-SECURITY-PRIVACY</t>
  </si>
  <si>
    <t xml:space="preserve">应用横切信息安全与隐私控制</t>
  </si>
  <si>
    <t xml:space="preserve">每信息安全控制域</t>
  </si>
  <si>
    <t xml:space="preserve">专用类型未覆盖的应用横切信息安全或隐私控制能力</t>
  </si>
  <si>
    <t xml:space="preserve">形成、验证并交付“专用类型未覆盖的应用横切信息安全或隐私控制能力”所必需的本类型工作；以“每信息安全控制域”为一个 Task 实例。</t>
  </si>
  <si>
    <t xml:space="preserve">超出“每信息安全控制域”边界且可独立交付验收的其他对象。来源未列出更具体的相邻排除项。</t>
  </si>
  <si>
    <t xml:space="preserve">专用类型优先：身份集成、功能/数据权限、字段加密脱敏和独立安全验证分别使用 IN-IDENTITY、GOV-*、TEST-SECURITY；本行不是安全兜底包。</t>
  </si>
  <si>
    <t xml:space="preserve">形成可验证的应用横切信息安全或隐私控制能力。</t>
  </si>
  <si>
    <t xml:space="preserve">完成既有横切控制的目标变更、影响核验和必要回归。</t>
  </si>
  <si>
    <t xml:space="preserve">既有信息安全能力不变，项目侧策略、配置、接入和控制验证完成。</t>
  </si>
  <si>
    <t xml:space="preserve">控制措施、数据等级、数据流、合规约束</t>
  </si>
  <si>
    <t xml:space="preserve">1 个控制措施；1 类普通数据；≤2 条数据流；标准配置</t>
  </si>
  <si>
    <t xml:space="preserve">2～4 个相关控制；2～3 类数据；3～5 条数据流；含同意、审计或密钥使用</t>
  </si>
  <si>
    <t xml:space="preserve">5～8 个紧密相关控制、4～6 类数据或 6～10 条数据流；涉及跨境数据流控制、数据主体权利流程，或高敏感数据或权限控制、受监管证据</t>
  </si>
  <si>
    <t xml:space="preserve">控制 &gt;8、数据类别 &gt;6、数据流 &gt;10，包含多个独立信息安全控制域/数据流，或威胁、数据分类和责任边界未明确</t>
  </si>
  <si>
    <t xml:space="preserve">专用身份、权限、数据安全或安全测试类型优先；本行只看剩余横切控制的新增、变化或项目侧接入工作</t>
  </si>
  <si>
    <t xml:space="preserve">IN-IDENTITY,TEST-SECURITY</t>
  </si>
  <si>
    <t xml:space="preserve">仅在 IN-IDENTITY, TEST-SECURITY 的交付物可独立版本化、部署或验收时分别建 Task；否则相关工作包含在 CO-SECURITY-PRIVACY 的单一交付边界内。</t>
  </si>
  <si>
    <t xml:space="preserve">CO-MULTITENANCY</t>
  </si>
  <si>
    <t xml:space="preserve">多租户基础能力</t>
  </si>
  <si>
    <t xml:space="preserve">每个应用的租户隔离机制</t>
  </si>
  <si>
    <t xml:space="preserve">租户识别、上下文传播和资源隔离基础能力</t>
  </si>
  <si>
    <t xml:space="preserve">形成、验证并交付“租户识别、上下文传播和资源隔离基础能力”所必需的本类型工作；以“每个应用的租户隔离机制”为一个 Task 实例。</t>
  </si>
  <si>
    <t xml:space="preserve">超出“每个应用的租户隔离机制”边界且可独立交付验收的其他对象。来源未列出更具体的相邻排除项。</t>
  </si>
  <si>
    <t xml:space="preserve">数据权限、租户级配置和正式安全验证分别计量。</t>
  </si>
  <si>
    <t xml:space="preserve">形成“租户识别、上下文传播和资源隔离基础能力”并通过约定验收。</t>
  </si>
  <si>
    <t xml:space="preserve">完成“租户识别、上下文传播和资源隔离基础能力”的目标变更和影响核验，并按交付对象性质通过评审、复核、演练或回归验证。</t>
  </si>
  <si>
    <t xml:space="preserve">既有多租户框架不变，项目侧租户上下文、隔离配置和验证完成。</t>
  </si>
  <si>
    <t xml:space="preserve">租户识别、上下文传播层级、资源种类、隔离强度</t>
  </si>
  <si>
    <t xml:space="preserve">1 种租户识别；上下文仅在单一应用层传播；≤2 类共享资源；无租户级密钥</t>
  </si>
  <si>
    <t xml:space="preserve">上下文跨 2～3 个技术层级传播；3～5 类资源；含数据隔离、租户配置和配额</t>
  </si>
  <si>
    <t xml:space="preserve">上下文跨 4～6 个层级或 6～10 类资源；涉及租户分片路由、混合隔离、租户迁移、跨租户拒绝矩阵，或高敏感数据或权限控制、动态策略</t>
  </si>
  <si>
    <t xml:space="preserve">层级 &gt;6、资源类别 &gt;10，包含多个独立应用/租户模型，或租户边界、数据归属和隔离策略未明确</t>
  </si>
  <si>
    <t xml:space="preserve">调整只看跨租户隔离机制变化；复用只看项目侧租户上下文、隔离配置和验证；租户内角色/组织数据范围使用 GOV-DATA-ACCESS</t>
  </si>
  <si>
    <t xml:space="preserve">GOV-DATA-ACCESS</t>
  </si>
  <si>
    <t xml:space="preserve">仅在 GOV-DATA-ACCESS 的交付物可独立版本化、部署或验收时分别建 Task；否则相关工作包含在 CO-MULTITENANCY 的单一交付边界内。</t>
  </si>
  <si>
    <t xml:space="preserve">数据交付</t>
  </si>
  <si>
    <t xml:space="preserve">DATA-IMPORT</t>
  </si>
  <si>
    <t xml:space="preserve">业务数据导入</t>
  </si>
  <si>
    <t xml:space="preserve">每个数据域的导入契约</t>
  </si>
  <si>
    <t xml:space="preserve">通过校验并可追踪的数据导入结果</t>
  </si>
  <si>
    <t xml:space="preserve">形成、验证并交付“通过校验并可追踪的数据导入结果”所必需的本类型工作；以“每个数据域的导入契约”为一个 Task 实例。</t>
  </si>
  <si>
    <t xml:space="preserve">超出“每个数据域的导入契约”边界且可独立交付验收的其他对象。来源未列出更具体的相邻排除项。</t>
  </si>
  <si>
    <t xml:space="preserve">按共同语义和验收结果确定数据域。</t>
  </si>
  <si>
    <t xml:space="preserve">形成“通过校验并可追踪的数据导入结果”并通过约定验收。</t>
  </si>
  <si>
    <t xml:space="preserve">完成“通过校验并可追踪的数据导入结果”的目标变更和影响核验，并按交付对象性质通过评审、复核、演练或回归验证。</t>
  </si>
  <si>
    <t xml:space="preserve">格式、字段、校验规则、数据量</t>
  </si>
  <si>
    <t xml:space="preserve">1 种格式；≤20 个字段；≤5 条校验；≤1 万条/批；全量失败</t>
  </si>
  <si>
    <t xml:space="preserve">2～3 种相关格式或 21～80 个字段；6～20 条规则；&gt;1 万且 ≤100 万条/批；含错误明细和重跑</t>
  </si>
  <si>
    <t xml:space="preserve">4～6 种相关格式、81～160 个字段、21～40 条规则或 &gt;100 万且 ≤1000 万条/批；涉及多版式模板识别、检查点续传，或非标准恢复或回滚、受监管证据</t>
  </si>
  <si>
    <t xml:space="preserve">格式 &gt;6、字段 &gt;160、规则 &gt;40、数据量 &gt;1000 万条/批，包含多个独立数据域/来源系统，或字段口径、失败处置和验收结果未明确</t>
  </si>
  <si>
    <t xml:space="preserve">新建看完整导入结果；调整只看变化格式、字段、规则、处理路径和必要回归</t>
  </si>
  <si>
    <t xml:space="preserve">DATA-EXPORT</t>
  </si>
  <si>
    <t xml:space="preserve">每个数据域的消费契约</t>
  </si>
  <si>
    <t xml:space="preserve">面向机器消费的批量数据集或数据馈送</t>
  </si>
  <si>
    <t xml:space="preserve">形成、验证并交付“面向机器消费的批量数据集或数据馈送”所必需的本类型工作；以“每个数据域的消费契约”为一个 Task 实例。</t>
  </si>
  <si>
    <t xml:space="preserve">超出“每个数据域的消费契约”边界且可独立交付验收的其他对象。来源明确排除：不用于请求—响应查询 API、人工阅读报表或业务文档；</t>
  </si>
  <si>
    <t xml:space="preserve">不用于请求—响应查询 API、人工阅读报表或业务文档；这些分别使用 FE-QUERY-API、DATA-REPORT、DATA-DOCUMENT。</t>
  </si>
  <si>
    <t xml:space="preserve">形成可追踪、可验证的批量数据集或数据馈送。</t>
  </si>
  <si>
    <t xml:space="preserve">完成既有输出契约、字段、格式或生成逻辑的变更及必要回归。</t>
  </si>
  <si>
    <t xml:space="preserve">输出格式、字段、规则、数据量</t>
  </si>
  <si>
    <t xml:space="preserve">1 种格式；≤20 个字段；≤3 条派生规则；≤1 万条/次</t>
  </si>
  <si>
    <t xml:space="preserve">2～3 种相关格式或 21～80 个字段；4～15 条规则；&gt;1 万且 ≤100 万条/次；含过滤和分页</t>
  </si>
  <si>
    <t xml:space="preserve">≥4 种相关格式、&gt;80 个字段、&gt;15 条规则或 &gt;100 万条/次；涉及流式输出、加密签名、多消费方兼容，或量化服务目标</t>
  </si>
  <si>
    <t xml:space="preserve">包含多个独立数据域/消费契约，或输出口径和消费责任未明确</t>
  </si>
  <si>
    <t xml:space="preserve">只用于批量数据集或数据馈送；查询 API、人工报表和业务文档使用各自专用类型</t>
  </si>
  <si>
    <t xml:space="preserve">DATA-DOCUMENT,DATA-REPORT,FE-QUERY-API</t>
  </si>
  <si>
    <t xml:space="preserve">仅在 DATA-DOCUMENT, DATA-REPORT, FE-QUERY-API 的交付物可独立版本化、部署或验收时分别建 Task；否则相关工作包含在 DATA-EXPORT 的单一交付边界内。</t>
  </si>
  <si>
    <t xml:space="preserve">不用于请求—响应查询 API、人工阅读报表或业务文档；未形成可独立交付和验收的本类型标准交付物时不建 Task。</t>
  </si>
  <si>
    <t xml:space="preserve">持续数据同步与复制</t>
  </si>
  <si>
    <t xml:space="preserve">每个数据域的源目标同步契约</t>
  </si>
  <si>
    <t xml:space="preserve">一个源目标组合下可独立运行的数据同步、复制及一致性结果</t>
  </si>
  <si>
    <t xml:space="preserve">形成、验证并交付“一个源目标组合下可独立运行的数据同步、复制及一致性结果”所必需的本类型工作；以“每个数据域的源目标同步契约”为一个 Task 实例。</t>
  </si>
  <si>
    <t xml:space="preserve">超出“每个数据域的源目标同步契约”边界且可独立交付验收的其他对象。来源明确排除：若只是 IN-INTEGRATION 内部的数据交换实现，不重复计量。</t>
  </si>
  <si>
    <t xml:space="preserve">只有同步能力可独立运行和验收时单列；若只是 IN-INTEGRATION 内部的数据交换实现，不重复计量。</t>
  </si>
  <si>
    <t xml:space="preserve">形成可独立运行的数据同步或复制能力及一致性结果。</t>
  </si>
  <si>
    <t xml:space="preserve">完成既有同步契约的对象、映射、方向、时效或一致性变更及必要回归。</t>
  </si>
  <si>
    <t xml:space="preserve">数据对象、字段映射、方向、同步间隔/一致性</t>
  </si>
  <si>
    <t xml:space="preserve">1 个对象；≤20 个字段；单向；同步间隔 ≥24 小时；允许人工补偿</t>
  </si>
  <si>
    <t xml:space="preserve">2～4 个相关对象；21～80 个字段；单向且同步间隔 ≥5 分钟并 &lt;24 小时，或同一同步契约内共同交付的双向低频；需增量、重试和核对</t>
  </si>
  <si>
    <t xml:space="preserve">≥5 个紧密相关对象或 &gt;80 个字段；同步间隔 ≥5 秒并 &lt;5 分钟；涉及双向近实时、CDC、回放补数，或非标准恢复或回滚、量化服务目标</t>
  </si>
  <si>
    <t xml:space="preserve">同步间隔目标 &lt;5 秒，包含多个数据域、多个源目标组合、可独立部署/验收的方向，或来源/目标/主数据责任未明确</t>
  </si>
  <si>
    <t xml:space="preserve">仅独立运行和验收的同步能力使用本行；集成内部的数据交换不重复计量</t>
  </si>
  <si>
    <t xml:space="preserve">仅在 IN-INTEGRATION 的交付物可独立版本化、部署或验收时分别建 Task；否则相关工作包含在 DATA-SYNC 的单一交付边界内。</t>
  </si>
  <si>
    <t xml:space="preserve">若只是 IN-INTEGRATION 内部的数据交换实现，不重复计量。未形成可独立交付和验收的本类型标准交付物时不建 Task。</t>
  </si>
  <si>
    <t xml:space="preserve">DATA-TRANSFORM</t>
  </si>
  <si>
    <t xml:space="preserve">独立数据处理与质量规则</t>
  </si>
  <si>
    <t xml:space="preserve">每条可独立运行的数据处理流程</t>
  </si>
  <si>
    <t xml:space="preserve">可独立运行并验收的转换、质量校验、隔离或评分结果</t>
  </si>
  <si>
    <t xml:space="preserve">形成、验证并交付“可独立运行并验收的转换、质量校验、隔离或评分结果”所必需的本类型工作；以“每条可独立运行的数据处理流程”为一个 Task 实例。</t>
  </si>
  <si>
    <t xml:space="preserve">超出“每条可独立运行的数据处理流程”边界且可独立交付验收的其他对象。来源明确排除：导入、同步或迁移内部步骤不重复计量；</t>
  </si>
  <si>
    <t xml:space="preserve">导入、同步或迁移内部步骤不重复计量；只有可独立调度、持续运行或独立验收的数据质量成果才单列。</t>
  </si>
  <si>
    <t xml:space="preserve">形成可独立运行的数据处理或质量规则、异常处置和结果证据并通过约定验收。</t>
  </si>
  <si>
    <t xml:space="preserve">完成既有处理步骤、质量规则、隔离/评分逻辑或处置结果的变更和影响核验。</t>
  </si>
  <si>
    <t xml:space="preserve">来源、处理步骤、转换/质量规则、异常处置、数据量</t>
  </si>
  <si>
    <t xml:space="preserve">单源单结果；1～2 个步骤；≤10 条转换或质量规则；≤10 万条/批；异常整体失败</t>
  </si>
  <si>
    <t xml:space="preserve">2～3 个相关来源；3～5 个步骤；11～30 条规则；&gt;10 万且 ≤1000 万条/批；含隔离、评分或整改流</t>
  </si>
  <si>
    <t xml:space="preserve">4～6 个紧密相关来源、6～10 个步骤、31～60 条规则或 &gt;1000 万且 ≤1 亿条/批；涉及流批统一处理、处理结果回放、字段级多跳血缘，或受监管证据</t>
  </si>
  <si>
    <t xml:space="preserve">来源 &gt;6、步骤 &gt;10、规则 &gt;60、数据量 &gt;1 亿条/批，包含多个可独立调度的处理流程/数据域，或输入、输出、质量口径和异常责任未明确</t>
  </si>
  <si>
    <t xml:space="preserve">新建看完整处理与质量结果；调整只看变化步骤、规则、数据路径、异常处置和必要回归</t>
  </si>
  <si>
    <t xml:space="preserve">导入、同步或迁移内部步骤不重复计量；未形成可独立交付和验收的本类型标准交付物时不建 Task。</t>
  </si>
  <si>
    <t xml:space="preserve">DATA-CONTRACT</t>
  </si>
  <si>
    <t xml:space="preserve">跨能力共享数据契约</t>
  </si>
  <si>
    <t xml:space="preserve">每个可独立版本化的数据契约</t>
  </si>
  <si>
    <t xml:space="preserve">被多个接口、事件或数据能力共同消费的版本化数据契约</t>
  </si>
  <si>
    <t xml:space="preserve">形成、验证并交付“被多个接口、事件或数据能力共同消费的版本化数据契约”所必需的本类型工作；以“每个可独立版本化的数据契约”为一个 Task 实例。</t>
  </si>
  <si>
    <t xml:space="preserve">超出“每个可独立版本化的数据契约”边界且可独立交付验收的其他对象。来源明确排除：单个 API 或集成 Schema 包含在主 Task 中；</t>
  </si>
  <si>
    <t xml:space="preserve">单个 API 或集成 Schema 包含在主 Task 中；数据库 Schema、关系、索引和结构迁移使用 DATA-MODEL-STORAGE。</t>
  </si>
  <si>
    <t xml:space="preserve">形成可独立版本化并被多个能力消费的数据契约。</t>
  </si>
  <si>
    <t xml:space="preserve">完成既有契约字段、语义、兼容策略或版本的变更及必要回归。</t>
  </si>
  <si>
    <t xml:space="preserve">对象、字段、消费者、版本兼容</t>
  </si>
  <si>
    <t xml:space="preserve">1 个对象；≤20 个字段；1 个消费者；无历史版本兼容</t>
  </si>
  <si>
    <t xml:space="preserve">2～4 个紧密相关对象或 21～80 个字段；2～3 个消费者；含版本和兼容规则</t>
  </si>
  <si>
    <t xml:space="preserve">5～8 个紧密相关对象、81～160 个字段或 4～6 个消费者；涉及双写契约迁移，或严格向后兼容、非标准恢复或回滚</t>
  </si>
  <si>
    <t xml:space="preserve">对象 &gt;8、字段 &gt;160、消费者 &gt;6，包含多个可独立版本化的契约，或所有者、语义和兼容策略未明确</t>
  </si>
  <si>
    <t xml:space="preserve">以跨接口、事件或数据能力共享的消费者契约为主；存储结构使用 DATA-MODEL-STORAGE</t>
  </si>
  <si>
    <t xml:space="preserve">DATA-MODEL-STORAGE</t>
  </si>
  <si>
    <t xml:space="preserve">仅在 DATA-MODEL-STORAGE 的交付物可独立版本化、部署或验收时分别建 Task；否则相关工作包含在 DATA-CONTRACT 的单一交付边界内。</t>
  </si>
  <si>
    <t xml:space="preserve">单个 API 或集成 Schema 包含在主 Task 中；未形成可独立交付和验收的本类型标准交付物时不建 Task。</t>
  </si>
  <si>
    <t xml:space="preserve">DATA-LIFECYCLE</t>
  </si>
  <si>
    <t xml:space="preserve">数据生命周期治理</t>
  </si>
  <si>
    <t xml:space="preserve">每个数据域的治理策略</t>
  </si>
  <si>
    <t xml:space="preserve">可执行并审计的保留、归档、冻结、恢复和销毁策略</t>
  </si>
  <si>
    <t xml:space="preserve">形成、验证并交付“可执行并审计的保留、归档、冻结、恢复和销毁策略”所必需的本类型工作；以“每个数据域的治理策略”为一个 Task 实例。</t>
  </si>
  <si>
    <t xml:space="preserve">超出“每个数据域的治理策略”边界且可独立交付验收的其他对象。来源明确排除：一次性迁移和普通清理不属于本类型。</t>
  </si>
  <si>
    <t xml:space="preserve">一次性迁移和普通清理不属于本类型。</t>
  </si>
  <si>
    <t xml:space="preserve">形成“可执行并审计的保留、归档、冻结、恢复和销毁策略”并通过约定验收。</t>
  </si>
  <si>
    <t xml:space="preserve">完成“可执行并审计的保留、归档、冻结、恢复和销毁策略”的目标变更和影响核验，并按交付对象性质通过评审、复核、演练或回归验证。</t>
  </si>
  <si>
    <t xml:space="preserve">生命周期阶段、数据对象、执行系统、审计要求</t>
  </si>
  <si>
    <t xml:space="preserve">1 个对象组；≤2 个阶段；1 个执行系统；标准保留/删除</t>
  </si>
  <si>
    <t xml:space="preserve">2～4 个相关对象组；3～4 个阶段；2～3 个系统；含归档、恢复和审计</t>
  </si>
  <si>
    <t xml:space="preserve">5～8 个紧密相关对象组、5～8 个阶段或 4～6 个执行系统；涉及跨系统一致冻结、分阶段可恢复销毁，或受监管证据</t>
  </si>
  <si>
    <t xml:space="preserve">对象组 &gt;8、阶段 &gt;8、系统 &gt;6，包含多个独立数据域/治理策略，或数据分类、保留期限和责任人未明确</t>
  </si>
  <si>
    <t xml:space="preserve">新建看完整治理策略；调整只看变化阶段、对象、执行和验证范围</t>
  </si>
  <si>
    <t xml:space="preserve">一次性迁移和普通清理不属于本类型。未形成可独立交付和验收的本类型标准交付物时不建 Task。</t>
  </si>
  <si>
    <t xml:space="preserve">DATA-MIGRATION</t>
  </si>
  <si>
    <t xml:space="preserve">每个数据域的单一源目标组合</t>
  </si>
  <si>
    <t xml:space="preserve">数据映射、转换、装载和校验能力</t>
  </si>
  <si>
    <t xml:space="preserve">形成、验证并交付“数据映射、转换、装载和校验能力”所必需的本类型工作；以“每个数据域的单一源目标组合”为一个 Task 实例。</t>
  </si>
  <si>
    <t xml:space="preserve">超出“每个数据域的单一源目标组合”边界且可独立交付验收的其他对象。来源未列出更具体的相邻排除项。</t>
  </si>
  <si>
    <t xml:space="preserve">独立演练与生产执行另计。</t>
  </si>
  <si>
    <t xml:space="preserve">形成“数据映射、转换、装载和校验能力”并通过约定验收。</t>
  </si>
  <si>
    <t xml:space="preserve">完成“数据映射、转换、装载和校验能力”的目标变更和影响核验，并按交付对象性质通过评审、复核、演练或回归验证。</t>
  </si>
  <si>
    <t xml:space="preserve">对象、字段映射、数据量、停机/回滚</t>
  </si>
  <si>
    <t xml:space="preserve">1 个对象组；≤20 个字段；≤10 万条；一对一映射；无零停机或独立停机时长门禁，且允许整体回滚</t>
  </si>
  <si>
    <t xml:space="preserve">2～4 个相关对象或 21～80 个字段；&gt;10 万且 ≤1000 万条；需清洗、可重复脚本、源目标核验和标准回滚点</t>
  </si>
  <si>
    <t xml:space="preserve">5～8 个紧密相关对象、81～160 个字段或 &gt;1000 万且 ≤1 亿条；涉及双写、多阶段非一对一转换，或零停机、量化服务目标、非标准恢复或回滚</t>
  </si>
  <si>
    <t xml:space="preserve">对象 &gt;8、字段 &gt;160、数据量 &gt;1 亿条，包含多个独立数据域/源目标组合、持续同步，或质量基线和切换策略未明确</t>
  </si>
  <si>
    <t xml:space="preserve">新建/调整均必须引用数据起点；调整只看既有迁移资产的变化和重演范围</t>
  </si>
  <si>
    <t xml:space="preserve">DATA-RECON</t>
  </si>
  <si>
    <t xml:space="preserve">每对账场景</t>
  </si>
  <si>
    <t xml:space="preserve">对账结果、差异明细及处理结论</t>
  </si>
  <si>
    <t xml:space="preserve">形成、验证并交付“对账结果、差异明细及处理结论”所必需的本类型工作；以“每对账场景”为一个 Task 实例。</t>
  </si>
  <si>
    <t xml:space="preserve">超出“每对账场景”边界且可独立交付验收的其他对象。来源未列出更具体的相邻排除项。</t>
  </si>
  <si>
    <t xml:space="preserve">每套独立规则计一项。</t>
  </si>
  <si>
    <t xml:space="preserve">形成“对账结果、差异明细及处理结论”并通过约定验收。</t>
  </si>
  <si>
    <t xml:space="preserve">完成“对账结果、差异明细及处理结论”的目标变更和影响核验，并按交付对象性质通过评审、复核、演练或回归验证。</t>
  </si>
  <si>
    <t xml:space="preserve">对账对象、规则、数据量、差异处置</t>
  </si>
  <si>
    <t xml:space="preserve">1 对对象；≤5 条规则；≤10 万条；差异人工查看</t>
  </si>
  <si>
    <t xml:space="preserve">2～3 对相关对象；6～15 条规则；&gt;10 万且 ≤1000 万条；含自动分类和重跑</t>
  </si>
  <si>
    <t xml:space="preserve">4～6 对紧密相关对象、16～30 条规则或 &gt;1000 万且 ≤1 亿条；涉及异步快照对齐、字段容差模型、差异自动闭环，或受监管证据</t>
  </si>
  <si>
    <t xml:space="preserve">对象对 &gt;6、规则 &gt;30、数据量 &gt;1 亿条，包含多套独立对账口径/场景，或权威来源、时点和差异责任未明确</t>
  </si>
  <si>
    <t xml:space="preserve">新建看完整对账场景；调整只看变化规则、对象、差异处置和必要回归；差异自动闭环 只有不形成独立修复对象时属于本行</t>
  </si>
  <si>
    <t xml:space="preserve">DATA-REPAIR</t>
  </si>
  <si>
    <t xml:space="preserve">数据修复工具</t>
  </si>
  <si>
    <t xml:space="preserve">每修复场景</t>
  </si>
  <si>
    <t xml:space="preserve">可控、可验证的数据修复工具及结果</t>
  </si>
  <si>
    <t xml:space="preserve">形成、验证并交付“可控、可验证的数据修复工具及结果”所必需的本类型工作；以“每修复场景”为一个 Task 实例。</t>
  </si>
  <si>
    <t xml:space="preserve">超出“每修复场景”边界且可独立交付验收的其他对象。来源明确排除：一次性普通 SQL 或手工修复不计。</t>
  </si>
  <si>
    <t xml:space="preserve">一次性普通 SQL 或手工修复不计。</t>
  </si>
  <si>
    <t xml:space="preserve">形成“可控、可验证的数据修复工具及结果”并通过约定验收。</t>
  </si>
  <si>
    <t xml:space="preserve">完成“可控、可验证的数据修复工具及结果”的目标变更和影响核验，并按交付对象性质通过评审、复核、演练或回归验证。</t>
  </si>
  <si>
    <t xml:space="preserve">修复对象、规则、数据量、安全护栏</t>
  </si>
  <si>
    <t xml:space="preserve">1 个对象；≤3 条修复规则；≤1 万条；有预览和回滚</t>
  </si>
  <si>
    <t xml:space="preserve">2～3 个相关对象；4～10 条规则；&gt;1 万且 ≤100 万条；含幂等、审批和结果核对</t>
  </si>
  <si>
    <t xml:space="preserve">4～6 个紧密相关对象、11～20 条规则或 &gt;100 万且 ≤1000 万条；涉及在线修复、依赖拓扑顺序修复、分批回滚，或零停机、非标准恢复或回滚、高敏感数据或权限控制</t>
  </si>
  <si>
    <t xml:space="preserve">对象 &gt;6、规则 &gt;20、数据量 &gt;1000 万条，包含多个独立修复目标/根因，或选择条件、备份和验收结果未明确</t>
  </si>
  <si>
    <t xml:space="preserve">新建看完整工具和结果；调整只看既有工具变化、受影响数据和再验证</t>
  </si>
  <si>
    <t xml:space="preserve">一次性普通 SQL 或手工修复不计。未形成可独立交付和验收的本类型标准交付物时不建 Task。</t>
  </si>
  <si>
    <t xml:space="preserve">DATA-REPORT</t>
  </si>
  <si>
    <t xml:space="preserve">业务报表</t>
  </si>
  <si>
    <t xml:space="preserve">每报表</t>
  </si>
  <si>
    <t xml:space="preserve">面向人工阅读的正式业务报表</t>
  </si>
  <si>
    <t xml:space="preserve">形成、验证并交付“面向人工阅读的正式业务报表”所必需的本类型工作；以“每报表”为一个 Task 实例。</t>
  </si>
  <si>
    <t xml:space="preserve">超出“每报表”边界且可独立交付验收的其他对象。来源未列出更具体的相邻排除项。</t>
  </si>
  <si>
    <t xml:space="preserve">复杂聚合通过复杂度体现。</t>
  </si>
  <si>
    <t xml:space="preserve">形成“面向人工阅读的正式业务报表”并通过约定验收。</t>
  </si>
  <si>
    <t xml:space="preserve">完成“面向人工阅读的正式业务报表”的目标变更和影响核验，并按交付对象性质通过评审、复核、演练或回归验证。</t>
  </si>
  <si>
    <t xml:space="preserve">数据源、字段/指标、计算规则、交互/版式</t>
  </si>
  <si>
    <t xml:space="preserve">1 个数据源；≤10 个字段/指标；≤3 条计算；固定版式</t>
  </si>
  <si>
    <t xml:space="preserve">2～3 个相关数据源；11～30 个字段/指标；4～10 条计算；含筛选、分组或导出</t>
  </si>
  <si>
    <t xml:space="preserve">4～6 个紧密相关数据源、31～60 个字段/指标或 11～20 条计算；涉及多层分组/交叉汇总、跨页汇总/受控分页、签署分发归档、监管固定格式，或受监管证据</t>
  </si>
  <si>
    <t xml:space="preserve">数据源 &gt;6、字段/指标 &gt;60、计算 &gt;20，包含多张可独立验收的报表/独立口径，或业务口径和签署人未明确</t>
  </si>
  <si>
    <t xml:space="preserve">新建看完整报表；调整只看变化口径、字段、版式和必要数据回归</t>
  </si>
  <si>
    <t xml:space="preserve">DATA-DOCUMENT</t>
  </si>
  <si>
    <t xml:space="preserve">业务文档与模板生成</t>
  </si>
  <si>
    <t xml:space="preserve">每模板</t>
  </si>
  <si>
    <t xml:space="preserve">满足内容和版式要求的业务文档</t>
  </si>
  <si>
    <t xml:space="preserve">形成、验证并交付“满足内容和版式要求的业务文档”所必需的本类型工作；以“每模板”为一个 Task 实例。</t>
  </si>
  <si>
    <t xml:space="preserve">超出“每模板”边界且可独立交付验收的其他对象。来源未列出更具体的相邻排除项。</t>
  </si>
  <si>
    <t xml:space="preserve">每个独立业务用途和版式计一项。</t>
  </si>
  <si>
    <t xml:space="preserve">形成“满足内容和版式要求的业务文档”并通过约定验收。</t>
  </si>
  <si>
    <t xml:space="preserve">完成“满足内容和版式要求的业务文档”的目标变更和影响核验，并按交付对象性质通过评审、复核、演练或回归验证。</t>
  </si>
  <si>
    <t xml:space="preserve">模板、动态区块、条件规则、输出格式</t>
  </si>
  <si>
    <t xml:space="preserve">1 个模板；≤10 个动态字段；≤2 个条件区块；≤2 条条件规则；1 种输出格式</t>
  </si>
  <si>
    <t xml:space="preserve">1 个模板含 11～40 个字段；3～8 个区块；3～8 条条件；2 种相关格式</t>
  </si>
  <si>
    <t xml:space="preserve">1 个模板含 41～80 个字段、9～16 个区块、9～16 条条件或 3～4 种输出格式；涉及条件分页/重复页块、数字签章、Locale 版式分支，或受监管证据</t>
  </si>
  <si>
    <t xml:space="preserve">字段 &gt;80、区块 &gt;16、条件 &gt;16、格式 &gt;4，包含多个可独立发布的模板，或版式、数据来源和法律文本责任未明确</t>
  </si>
  <si>
    <t xml:space="preserve">新建看完整模板结果；调整只看变化字段、区块、规则、版式和回归</t>
  </si>
  <si>
    <t xml:space="preserve">DATA-METRIC</t>
  </si>
  <si>
    <t xml:space="preserve">业务指标与看板数据集</t>
  </si>
  <si>
    <t xml:space="preserve">每指标组</t>
  </si>
  <si>
    <t xml:space="preserve">共同口径、聚合、校验和发布的指标数据集</t>
  </si>
  <si>
    <t xml:space="preserve">形成、验证并交付“共同口径、聚合、校验和发布的指标数据集”所必需的本类型工作；以“每指标组”为一个 Task 实例。</t>
  </si>
  <si>
    <t xml:space="preserve">超出“每指标组”边界且可独立交付验收的其他对象。来源明确排除：页面内部查询不单列。</t>
  </si>
  <si>
    <t xml:space="preserve">页面内部查询不单列。</t>
  </si>
  <si>
    <t xml:space="preserve">形成“共同口径、聚合、校验和发布的指标数据集”并通过约定验收。</t>
  </si>
  <si>
    <t xml:space="preserve">完成“共同口径、聚合、校验和发布的指标数据集”的目标变更和影响核验，并按交付对象性质通过评审、复核、演练或回归验证。</t>
  </si>
  <si>
    <t xml:space="preserve">指标、来源、维度、刷新间隔</t>
  </si>
  <si>
    <t xml:space="preserve">≤3 个同口径指标；1 个来源；≤2 个维度；刷新间隔 ≥24 小时</t>
  </si>
  <si>
    <t xml:space="preserve">4～10 个相关指标；2～3 个来源；3～6 个维度；刷新间隔 ≥1 小时并 &lt;24 小时</t>
  </si>
  <si>
    <t xml:space="preserve">11～20 个紧密相关指标、4～6 个来源或 7～12 个维度；刷新间隔 ≥1 分钟并 &lt;1 小时；涉及归因模型、回溯重算，或受监管证据</t>
  </si>
  <si>
    <t xml:space="preserve">刷新间隔 &lt;1 分钟，指标 &gt;20、来源 &gt;6、维度 &gt;12，包含多组独立指标口径/数据集，或指标所有者、公式和时点未明确</t>
  </si>
  <si>
    <t xml:space="preserve">新建看完整指标组；调整只看变化指标、来源、维度、刷新和必要回算</t>
  </si>
  <si>
    <t xml:space="preserve">页面内部查询不单列。未形成可独立交付和验收的本类型标准交付物时不建 Task。</t>
  </si>
  <si>
    <t xml:space="preserve">DATA-CATALOG</t>
  </si>
  <si>
    <t xml:space="preserve">数据目录、元数据与血缘治理</t>
  </si>
  <si>
    <t xml:space="preserve">每个数据域的治理范围</t>
  </si>
  <si>
    <t xml:space="preserve">可查询、可追踪并有明确责任方的数据目录、业务术语、技术元数据、分级和血缘关系</t>
  </si>
  <si>
    <t xml:space="preserve">形成、验证并交付“可查询、可追踪并有明确责任方的数据目录、业务术语、技术元数据、分级和血缘关系”所必需的本类型工作；以“每个数据域的治理范围”为一个 Task 实例。</t>
  </si>
  <si>
    <t xml:space="preserve">超出“每个数据域的治理范围”边界且可独立交付验收的其他对象。来源明确排除：数据处理流程内部的临时字段映射或血缘记录包含在所属数据处理 Task 中。</t>
  </si>
  <si>
    <t xml:space="preserve">只在这些治理成果可独立发布和验收时单列；数据处理流程内部的临时字段映射或血缘记录包含在所属数据处理 Task 中。</t>
  </si>
  <si>
    <t xml:space="preserve">形成一个数据域的目录、术语、元数据、分级、责任方和血缘关系并通过验收。</t>
  </si>
  <si>
    <t xml:space="preserve">完成既有目录条目、元数据、分级、责任方或血缘关系的变更和核验。</t>
  </si>
  <si>
    <t xml:space="preserve">既有数据治理平台不变，项目完成数据源注册、元数据映射、分级、责任方绑定、血缘采集和验证。</t>
  </si>
  <si>
    <t xml:space="preserve">数据资产、术语/字段、来源系统、血缘关系</t>
  </si>
  <si>
    <t xml:space="preserve">≤10 个数据资产；≤30 个术语或字段；1 个来源系统；≤10 条血缘关系</t>
  </si>
  <si>
    <t xml:space="preserve">11～30 个数据资产，或 31～100 个术语/字段，或 2～3 个来源系统，或 11～30 条血缘关系；含责任方和分级</t>
  </si>
  <si>
    <t xml:space="preserve">31～60 个数据资产、101～200 个术语/字段、4～6 个来源系统或 31～60 条血缘关系；涉及跨系统字段级血缘、受控数据分级</t>
  </si>
  <si>
    <t xml:space="preserve">数据资产 &gt;60、术语/字段 &gt;200、来源系统 &gt;6、血缘关系 &gt;60，包含多个独立数据域，或责任方、分级规则和血缘来源未明确</t>
  </si>
  <si>
    <t xml:space="preserve">新建和调整按治理成果实际范围判档；接入复用只看项目侧注册、映射、分级、责任方绑定、血缘采集和验证</t>
  </si>
  <si>
    <t xml:space="preserve">数据处理流程内部的临时字段映射或血缘记录包含在所属数据处理 Task 中。未形成可独立交付和验收的本类型标准交付物时不建 Task。</t>
  </si>
  <si>
    <t xml:space="preserve">身份安全与治理</t>
  </si>
  <si>
    <t xml:space="preserve">每权限域</t>
  </si>
  <si>
    <t xml:space="preserve">角色、操作及资源访问控制结果</t>
  </si>
  <si>
    <t xml:space="preserve">形成、验证并交付“角色、操作及资源访问控制结果”所必需的本类型工作；以“每权限域”为一个 Task 实例。</t>
  </si>
  <si>
    <t xml:space="preserve">超出“每权限域”边界且可独立交付验收的其他对象。来源未列出更具体的相邻排除项。</t>
  </si>
  <si>
    <t xml:space="preserve">本类型负责本地角色或主体到操作、资源的允许/拒绝规则；外部 Claim 或属性到本地主体、用户组的映射由 IN-IDENTITY 负责。直接用 Claim 决定权限时，只按最终访问控制结果计量，不在身份集成中重复计算。</t>
  </si>
  <si>
    <t xml:space="preserve">形成“角色、操作及资源访问控制结果”并通过约定验收。</t>
  </si>
  <si>
    <t xml:space="preserve">完成“角色、操作及资源访问控制结果”的目标变更和影响核验，并按交付对象性质通过评审、复核、演练或回归验证。</t>
  </si>
  <si>
    <t xml:space="preserve">既有权限平台不变，项目角色、资源和操作规则配置及验证完成。</t>
  </si>
  <si>
    <t xml:space="preserve">角色、资源、操作、策略规则</t>
  </si>
  <si>
    <t xml:space="preserve">≤2 个角色；≤3 个资源；≤5 条允许/拒绝规则；标准 RBAC</t>
  </si>
  <si>
    <t xml:space="preserve">3～6 个角色；4～10 个资源；6～20 条规则；含角色继承或租户范围</t>
  </si>
  <si>
    <t xml:space="preserve">7～12 个角色、11～20 个资源或 21～40 条规则；涉及属性策略、授权委托、职责分离、跨系统授权一致性、紧急授权，或动态策略、受监管证据</t>
  </si>
  <si>
    <t xml:space="preserve">角色 &gt;12、资源 &gt;20、规则 &gt;40，包含多个独立权限域，或角色、资源、默认拒绝和审批责任未明确</t>
  </si>
  <si>
    <t xml:space="preserve">调整只看既有策略变化；复用只看项目角色/资源映射、权限配置和验证</t>
  </si>
  <si>
    <t xml:space="preserve">仅在 IN-IDENTITY 的交付物可独立版本化、部署或验收时分别建 Task；否则相关工作包含在 GOV-FUNCTION-ACCESS 的单一交付边界内。</t>
  </si>
  <si>
    <t xml:space="preserve">数据访问权限控制</t>
  </si>
  <si>
    <t xml:space="preserve">用户、角色或组织的数据范围控制结果</t>
  </si>
  <si>
    <t xml:space="preserve">形成、验证并交付“用户、角色或组织的数据范围控制结果”所必需的本类型工作；以“每权限域”为一个 Task 实例。</t>
  </si>
  <si>
    <t xml:space="preserve">控制能看到或操作哪些数据。</t>
  </si>
  <si>
    <t xml:space="preserve">形成“用户、角色或组织的数据范围控制结果”并通过约定验收。</t>
  </si>
  <si>
    <t xml:space="preserve">完成“用户、角色或组织的数据范围控制结果”的目标变更和影响核验，并按交付对象性质通过评审、复核、演练或回归验证。</t>
  </si>
  <si>
    <t xml:space="preserve">既有数据权限机制不变，项目数据范围规则、映射和验证完成。</t>
  </si>
  <si>
    <t xml:space="preserve">角色/主体、数据维度、策略、过滤层级</t>
  </si>
  <si>
    <t xml:space="preserve">≤2 个主体；1 个数据维度；≤5 条策略；单层行级过滤</t>
  </si>
  <si>
    <t xml:space="preserve">3～6 个主体；2～3 个维度；6～20 条策略；含行列组合、租户或组织层级</t>
  </si>
  <si>
    <t xml:space="preserve">7～12 个主体、4～6 个维度或 21～40 条策略；涉及按授权条件控制字段可见性、跨源授权一致性、越权拒绝证明矩阵，或动态策略、受监管证据</t>
  </si>
  <si>
    <t xml:space="preserve">主体 &gt;12、维度 &gt;6、策略 &gt;40，包含多个独立数据权限域，或数据所有者、继承和冲突优先级未明确</t>
  </si>
  <si>
    <t xml:space="preserve">调整只看既有策略变化；复用只看项目侧主体、数据映射、策略和验证；加密或脱敏处理实现使用 GOV-DATA-SECURITY</t>
  </si>
  <si>
    <t xml:space="preserve">GOV-DATA-SECURITY</t>
  </si>
  <si>
    <t xml:space="preserve">仅在 GOV-DATA-SECURITY 的交付物可独立版本化、部署或验收时分别建 Task；否则相关工作包含在 GOV-DATA-ACCESS 的单一交付边界内。</t>
  </si>
  <si>
    <t xml:space="preserve">数据安全处理</t>
  </si>
  <si>
    <t xml:space="preserve">每安全场景</t>
  </si>
  <si>
    <t xml:space="preserve">脱敏、加密、签名或其他数据安全结果</t>
  </si>
  <si>
    <t xml:space="preserve">形成、验证并交付“脱敏、加密、签名或其他数据安全结果”所必需的本类型工作；以“每安全场景”为一个 Task 实例。</t>
  </si>
  <si>
    <t xml:space="preserve">超出“每安全场景”边界且可独立交付验收的其他对象。来源未列出更具体的相邻排除项。</t>
  </si>
  <si>
    <t xml:space="preserve">通用框架不按业务场景重复计量。</t>
  </si>
  <si>
    <t xml:space="preserve">形成“脱敏、加密、签名或其他数据安全结果”并通过约定验收。</t>
  </si>
  <si>
    <t xml:space="preserve">完成“脱敏、加密、签名或其他数据安全结果”的目标变更和影响核验，并按交付对象性质通过评审、复核、演练或回归验证。</t>
  </si>
  <si>
    <t xml:space="preserve">既有安全服务不变，项目字段或场景策略、密钥引用和验证完成。</t>
  </si>
  <si>
    <t xml:space="preserve">数据字段/类别、处理动作、密钥、数据流</t>
  </si>
  <si>
    <t xml:space="preserve">≤5 个字段；1 类数据；1 个处理动作；标准静态配置</t>
  </si>
  <si>
    <t xml:space="preserve">6～20 个字段；2～3 类数据；2～4 个处理动作；含密钥、轮换或审计</t>
  </si>
  <si>
    <t xml:space="preserve">21～40 个字段、4～6 类数据或 5～8 个动作；涉及硬件保护密钥、格式保留加密/脱敏、多跳数据流控制，或高敏感数据或权限控制、受监管证据</t>
  </si>
  <si>
    <t xml:space="preserve">字段 &gt;40、数据类别 &gt;6、动作 &gt;8，包含多个独立安全场景/数据流，或分类、密钥责任和可逆性未明确</t>
  </si>
  <si>
    <t xml:space="preserve">调整只看处理规则变化；复用只看项目侧密钥/策略绑定、配置和验证</t>
  </si>
  <si>
    <t xml:space="preserve">GOV-AUDIT</t>
  </si>
  <si>
    <t xml:space="preserve">每业务域</t>
  </si>
  <si>
    <t xml:space="preserve">完整、可查询且可追溯的业务审计记录</t>
  </si>
  <si>
    <t xml:space="preserve">形成、验证并交付“完整、可查询且可追溯的业务审计记录”所必需的本类型工作；以“每业务域”为一个 Task 实例。</t>
  </si>
  <si>
    <t xml:space="preserve">超出“每业务域”边界且可独立交付验收的其他对象。来源明确排除：普通技术日志不属于业务审计。</t>
  </si>
  <si>
    <t xml:space="preserve">普通技术日志不属于业务审计。</t>
  </si>
  <si>
    <t xml:space="preserve">形成“完整、可查询且可追溯的业务审计记录”并通过约定验收。</t>
  </si>
  <si>
    <t xml:space="preserve">完成“完整、可查询且可追溯的业务审计记录”的目标变更和影响核验，并按交付对象性质通过评审、复核、演练或回归验证。</t>
  </si>
  <si>
    <t xml:space="preserve">既有审计框架不变，项目事件映射、字段配置、查询和追溯验证完成。</t>
  </si>
  <si>
    <t xml:space="preserve">事件、字段、关联对象、留存/防篡改</t>
  </si>
  <si>
    <t xml:space="preserve">≤5 类事件；≤10 个字段；单一业务对象；常规留存</t>
  </si>
  <si>
    <t xml:space="preserve">6～15 类事件；11～30 个字段；2～3 个关联对象；含检索、留存和访问控制</t>
  </si>
  <si>
    <t xml:space="preserve">16～30 类事件、31～60 个字段或 4～6 个关联对象；涉及跨系统事件关联、防篡改存储，或受监管证据、量化服务目标</t>
  </si>
  <si>
    <t xml:space="preserve">事件 &gt;30、字段 &gt;60、关联对象 &gt;6，包含多个独立业务域/审计目标，或事件口径、留存和访问责任未明确</t>
  </si>
  <si>
    <t xml:space="preserve">调整只看审计契约变化；复用只看项目事件映射、采集配置、查询和专项验证</t>
  </si>
  <si>
    <t xml:space="preserve">普通技术日志不属于业务审计。未形成可独立交付和验收的本类型标准交付物时不建 Task。</t>
  </si>
  <si>
    <t xml:space="preserve">测试与验证</t>
  </si>
  <si>
    <t xml:space="preserve">TEST-API</t>
  </si>
  <si>
    <t xml:space="preserve">每个业务场景</t>
  </si>
  <si>
    <t xml:space="preserve">可版本化的 API 自动化测试资产及验证结果</t>
  </si>
  <si>
    <t xml:space="preserve">形成、验证并交付“可版本化的 API 自动化测试资产及验证结果”所必需的本类型工作；以“每个业务场景”为一个 Task 实例。</t>
  </si>
  <si>
    <t xml:space="preserve">超出“每个业务场景”边界且可独立交付验收的其他对象。来源明确排除：普通 Unit Test、资产未变化的例行执行和缺陷复测不单列。</t>
  </si>
  <si>
    <t xml:space="preserve">普通 Unit Test、资产未变化的例行执行和缺陷复测不单列。M 档覆盖 6～15 个用例和 11～30 个断言。</t>
  </si>
  <si>
    <t xml:space="preserve">形成新的脚本、数据、断言和模拟依赖资产，执行约定范围并通过验收。</t>
  </si>
  <si>
    <t xml:space="preserve">改变既有测试资产，执行受影响范围并通过回归验证。</t>
  </si>
  <si>
    <t xml:space="preserve">用例路径、断言、数据组合、角色、依赖</t>
  </si>
  <si>
    <t xml:space="preserve">1 条主路径；≤5 个用例；≤10 个断言；1 个角色；固定数据；无外部模拟</t>
  </si>
  <si>
    <t xml:space="preserve">2～4 条相关路径；6～15 个用例；11～30 个断言；2～3 个角色；动态数据或 1～2 个模拟依赖</t>
  </si>
  <si>
    <t xml:space="preserve">5～8 条紧密相关路径、16～30 个用例、31～60 个断言、4～6 个角色或 3～4 个模拟依赖；涉及异步结果轮询/回调、故障注入，或动态策略、受限外部环境</t>
  </si>
  <si>
    <t xml:space="preserve">路径 &gt;8、用例 &gt;30、断言 &gt;60、角色 &gt;6、模拟依赖 &gt;4，包含多个独立业务场景/接口组，或预期结果和测试数据未明确</t>
  </si>
  <si>
    <t xml:space="preserve">新建看完整新测试资产；调整只看资产变化、受影响执行和必要回归；资产未变化的重复执行不计</t>
  </si>
  <si>
    <t xml:space="preserve">普通 Unit Test、资产未变化的例行执行和缺陷复测不单列。未形成可独立交付和验收的本类型标准交付物时不建 Task。</t>
  </si>
  <si>
    <t xml:space="preserve">TEST-UI-E2E</t>
  </si>
  <si>
    <t xml:space="preserve">每个业务流程</t>
  </si>
  <si>
    <t xml:space="preserve">可版本化的端到端界面自动化测试资产及验证结果</t>
  </si>
  <si>
    <t xml:space="preserve">形成、验证并交付“可版本化的端到端界面自动化测试资产及验证结果”所必需的本类型工作；以“每个业务流程”为一个 Task 实例。</t>
  </si>
  <si>
    <t xml:space="preserve">超出“每个业务流程”边界且可独立交付验收的其他对象。来源明确排除：参数化数据不重复形成工作项；资产未变化的例行执行和缺陷复测不单列。</t>
  </si>
  <si>
    <t xml:space="preserve">参数化数据不重复形成工作项；资产未变化的例行执行和缺陷复测不单列。</t>
  </si>
  <si>
    <t xml:space="preserve">形成新的流程脚本、数据、断言和运行配置，执行并通过验收。</t>
  </si>
  <si>
    <t xml:space="preserve">改变既有自动化资产，执行受影响范围并通过回归验证。</t>
  </si>
  <si>
    <t xml:space="preserve">步骤、分支、角色、浏览器、数据组合</t>
  </si>
  <si>
    <t xml:space="preserve">≤5 个步骤；单一路径；1 个角色；1 个浏览器；固定数据</t>
  </si>
  <si>
    <t xml:space="preserve">6～15 个步骤，或 2～4 条分支，或 2～3 个角色，或 2～3 个浏览器；动态数据和常规等待</t>
  </si>
  <si>
    <t xml:space="preserve">16～30 个步骤、5～8 条分支、4～6 个角色或 4～6 个浏览器；涉及跨系统异步等待、多窗口/设备、视觉基线核对，或动态策略 / 受限外部环境</t>
  </si>
  <si>
    <t xml:space="preserve">步骤 &gt;30、分支 &gt;8、角色 &gt;6、浏览器 &gt;6，包含多个可独立启动和验收的业务流程，或稳定定位、角色、浏览器、数据或预期未明确</t>
  </si>
  <si>
    <t xml:space="preserve">参数化数据不重复形成工作项；资产未变化的例行执行和缺陷复测不单列。未形成可独立交付和验收的本类型标准交付物时不建 Task。</t>
  </si>
  <si>
    <t xml:space="preserve">TEST-CONTRACT</t>
  </si>
  <si>
    <t xml:space="preserve">每个接口组</t>
  </si>
  <si>
    <t xml:space="preserve">可版本化的接口契约测试资产及验证结果</t>
  </si>
  <si>
    <t xml:space="preserve">形成、验证并交付“可版本化的接口契约测试资产及验证结果”所必需的本类型工作；以“每个接口组”为一个 Task 实例。</t>
  </si>
  <si>
    <t xml:space="preserve">超出“每个接口组”边界且可独立交付验收的其他对象。来源明确排除：资产未变化的重复执行不单列。</t>
  </si>
  <si>
    <t xml:space="preserve">按统一管理和发布的一组接口计量；资产未变化的重复执行不单列。</t>
  </si>
  <si>
    <t xml:space="preserve">形成新的契约样本、匹配规则和执行资产，执行并通过验收。</t>
  </si>
  <si>
    <t xml:space="preserve">改变既有契约测试资产，执行受影响范围并通过回归验证。</t>
  </si>
  <si>
    <t xml:space="preserve">接口、消息/数据结构、版本、消费者</t>
  </si>
  <si>
    <t xml:space="preserve">1～2 个接口；1 个版本；1 个消费者；≤10 条契约断言</t>
  </si>
  <si>
    <t xml:space="preserve">3～6 个相关接口；2～3 个版本；2～3 个消费者；11～30 条断言；含兼容和模拟</t>
  </si>
  <si>
    <t xml:space="preserve">7～12 个接口、4～6 个版本、4～6 个消费者或 31～60 条断言；涉及异步消息契约、自定义结构/语义匹配器，或严格向后兼容、多方联合交付</t>
  </si>
  <si>
    <t xml:space="preserve">接口 &gt;12、版本 &gt;6、消费者 &gt;6、断言 &gt;60，包含多个独立接口组/契约域，或提供方、消费者和兼容策略未明确</t>
  </si>
  <si>
    <t xml:space="preserve">资产未变化的重复执行不单列。未形成可独立交付和验收的本类型标准交付物时不建 Task。</t>
  </si>
  <si>
    <t xml:space="preserve">TEST-SUPPORT-ASSET</t>
  </si>
  <si>
    <t xml:space="preserve">每个可独立发布的共享资产或项目适配包</t>
  </si>
  <si>
    <t xml:space="preserve">可复用、可独立维护的 Mock、Harness、数据生成器、脱敏/合成数据包、报告能力或项目适配包</t>
  </si>
  <si>
    <t xml:space="preserve">形成、验证并交付“可复用、可独立维护的 Mock、Harness、数据生成器、脱敏/合成数据包、报告能力或项目适配包”所必需的本类型工作；以“每个可独立发布的共享资产或项目适配包”为一个 Task 实例。</t>
  </si>
  <si>
    <t xml:space="preserve">超出“每个可独立发布的共享资产或项目适配包”边界且可独立交付验收的其他对象。来源明确排除：单场景临时数据或测试 Task 内的普通工具配置不单列；Runner、流水线和运行环境使用对应 ENG-* 类型。</t>
  </si>
  <si>
    <t xml:space="preserve">单场景临时数据或测试 Task 内的普通工具配置不单列；Runner、流水线和运行环境使用对应 ENG-* 类型。</t>
  </si>
  <si>
    <t xml:space="preserve">形成可独立发布、维护和验证的测试支撑资产。</t>
  </si>
  <si>
    <t xml:space="preserve">完成既有支撑资产能力、适配器、数据或环境范围的变更和回归。</t>
  </si>
  <si>
    <t xml:space="preserve">既有支撑资产不变，形成可独立版本化和验收的项目适配包。</t>
  </si>
  <si>
    <t xml:space="preserve">支撑能力、适配器/数据变体、数据域、环境</t>
  </si>
  <si>
    <t xml:space="preserve">1 个能力；≤2 个适配器或数据变体；单数据域/环境；标准技术栈</t>
  </si>
  <si>
    <t xml:space="preserve">2～4 个相关能力；3～5 个适配器/数据变体；2～3 个环境；含数据准备、报告或并行执行</t>
  </si>
  <si>
    <t xml:space="preserve">5～8 个紧密相关能力、6～10 个适配器/数据变体或 4～6 个环境；涉及服务虚拟化、约束保持合成数据、隔离执行、并行执行、插件扩展，或受限外部环境</t>
  </si>
  <si>
    <t xml:space="preserve">能力 &gt;8、适配器/数据变体 &gt;10、环境 &gt;6，包含多个可独立发布的支撑资产/数据域，或要建设完整测试平台</t>
  </si>
  <si>
    <t xml:space="preserve">调整只看资产能力、适配器、数据和环境变化；接入复用只看可独立验收的项目适配包；仅在测试 Task 内配置既有工具不单列</t>
  </si>
  <si>
    <t xml:space="preserve">单场景临时数据或测试 Task 内的普通工具配置不单列；Runner、流水线和运行环境使用对应 ENG-* 类型。未形成可独立交付和验收的本类型标准交付物时不建 Task。</t>
  </si>
  <si>
    <t xml:space="preserve">TEST-PERF</t>
  </si>
  <si>
    <t xml:space="preserve">每个验证目标的独立负载模型</t>
  </si>
  <si>
    <t xml:space="preserve">可版本化的负载模型、执行资产及验证结论</t>
  </si>
  <si>
    <t xml:space="preserve">形成、验证并交付“可版本化的负载模型、执行资产及验证结论”所必需的本类型工作；以“每个验证目标的独立负载模型”为一个 Task 实例。</t>
  </si>
  <si>
    <t xml:space="preserve">超出“每个验证目标的独立负载模型”边界且可独立交付验收的其他对象。来源明确排除：资产未变化的重复压测和调优复测不单列。</t>
  </si>
  <si>
    <t xml:space="preserve">同一负载模型内的多个指标不拆行；资产未变化的重复压测和调优复测不单列。</t>
  </si>
  <si>
    <t xml:space="preserve">形成新的负载模型、数据、脚本和判据，执行并通过验收。</t>
  </si>
  <si>
    <t xml:space="preserve">改变既有负载模型或执行资产，执行受影响范围并完成验证。</t>
  </si>
  <si>
    <t xml:space="preserve">负载场景、指标、持续时间、系统范围、调优复测轮数</t>
  </si>
  <si>
    <t xml:space="preserve">1 个负载场景；≤3 个指标；≤30 分钟；单组件；0 轮调优复测</t>
  </si>
  <si>
    <t xml:space="preserve">2～3 个相关场景；4～8 个指标；含峰值或 &gt;30 分钟且 ≤4 小时长稳；2～3 个组件；1～2 轮调优复测</t>
  </si>
  <si>
    <t xml:space="preserve">4～6 个紧密相关场景、9～16 个指标、&gt;4 小时且 ≤24 小时、4～6 个组件或 3～4 轮调优复测；涉及分布式负载路径、容量边界建模、生产分布复现，或高敏感数据或权限控制</t>
  </si>
  <si>
    <t xml:space="preserve">场景 &gt;6、指标 &gt;16、时长 &gt;24 小时、组件 &gt;6、调优复测 &gt;4 轮，包含多个独立负载模型/系统目标，或阈值、基线、数据和环境未明确</t>
  </si>
  <si>
    <t xml:space="preserve">新建看完整新负载模型和验证资产；调整只看资产变化、受影响执行和必要回归；资产未变化的重复压测不计</t>
  </si>
  <si>
    <t xml:space="preserve">资产未变化的重复压测和调优复测不单列。未形成可独立交付和验收的本类型标准交付物时不建 Task。</t>
  </si>
  <si>
    <t xml:space="preserve">系统韧性与灾难恢复验证</t>
  </si>
  <si>
    <t xml:space="preserve">每个恢复能力</t>
  </si>
  <si>
    <t xml:space="preserve">可版本化的故障注入、切换与恢复验证资产及结果</t>
  </si>
  <si>
    <t xml:space="preserve">形成、验证并交付“可版本化的故障注入、切换与恢复验证资产及结果”所必需的本类型工作；以“每个恢复能力”为一个 Task 实例。</t>
  </si>
  <si>
    <t xml:space="preserve">超出“每个恢复能力”边界且可独立交付验收的其他对象。来源明确排除：建设能力不包含在验证中；资产未变化的重复演练不单列。</t>
  </si>
  <si>
    <t xml:space="preserve">建设能力不包含在验证中；资产未变化的重复演练不单列。</t>
  </si>
  <si>
    <t xml:space="preserve">形成新的方案、步骤和判据，完成故障注入、切换、恢复、数据核对和退出门禁并通过验收。</t>
  </si>
  <si>
    <t xml:space="preserve">改变既有验证资产，执行受影响范围并完成验证。</t>
  </si>
  <si>
    <t xml:space="preserve">故障场景、组件、恢复步骤、RTO、RPO 证据</t>
  </si>
  <si>
    <t xml:space="preserve">1 个故障场景；≤2 个组件；≤5 个步骤；RTO ≥4 小时且 RPO ≥24 小时</t>
  </si>
  <si>
    <t xml:space="preserve">2～3 个相关场景；3～6 个组件；6～15 个步骤；RTO 为 1～&lt;4 小时或 RPO 为 1～&lt;24 小时；含切换、降级和数据核对</t>
  </si>
  <si>
    <t xml:space="preserve">4～6 个紧密相关场景、7～12 个组件或 16～30 个步骤；RTO 为 15 分钟～&lt;1 小时或 RPO 为 5 分钟～&lt;1 小时，或跨区域连续性、多方联合交付</t>
  </si>
  <si>
    <t xml:space="preserve">场景 &gt;6、组件 &gt;12、步骤 &gt;30、RTO &lt;15 分钟或 RPO &lt;5 分钟，包含多个独立系统/恢复能力，或成功阈值、演练权限和回退方案未明确</t>
  </si>
  <si>
    <t xml:space="preserve">新建看完整新验证资产；调整只看资产变化、受影响执行和必要回归；资产未变化的重复演练不计</t>
  </si>
  <si>
    <t xml:space="preserve">建设能力不包含在验证中；资产未变化的重复演练不单列。未形成可独立交付和验收的本类型标准交付物时不建 Task。</t>
  </si>
  <si>
    <t xml:space="preserve">TEST-SECURITY</t>
  </si>
  <si>
    <t xml:space="preserve">每个信息安全专题</t>
  </si>
  <si>
    <t xml:space="preserve">可版本化的信息安全验证资产、风险记录及结论</t>
  </si>
  <si>
    <t xml:space="preserve">形成、验证并交付“可版本化的信息安全验证资产、风险记录及结论”所必需的本类型工作；以“每个信息安全专题”为一个 Task 实例。</t>
  </si>
  <si>
    <t xml:space="preserve">超出“每个信息安全专题”边界且可独立交付验收的其他对象。来源明确排除：资产未变化的重复执行和整改复测不单列；</t>
  </si>
  <si>
    <t xml:space="preserve">身份、授权、数据保护和攻击面等主题共用；资产未变化的重复执行和整改复测不单列；独立专业渗透/认证按目录外服务处理。</t>
  </si>
  <si>
    <t xml:space="preserve">形成新的范围、测试方法、数据和判据，执行并通过验收。</t>
  </si>
  <si>
    <t xml:space="preserve">改变既有信息安全验证资产，执行受影响范围并完成验证。</t>
  </si>
  <si>
    <t xml:space="preserve">攻击面、控制族、身份角色、证据深度</t>
  </si>
  <si>
    <t xml:space="preserve">1 个攻击面；≤2 个控制族；1 个角色；标准自动扫描和配置检查</t>
  </si>
  <si>
    <t xml:space="preserve">2～3 个相关攻击面；3～5 个控制族；2～3 个角色；含人工 API/权限/数据流验证</t>
  </si>
  <si>
    <t xml:space="preserve">≥4 个紧密相关攻击面、≥6 个控制族或 ≥4 个角色；涉及授权绕过验证、威胁建模，或高敏感数据或权限控制、受监管证据</t>
  </si>
  <si>
    <t xml:space="preserve">需要独立专业团队正式渗透测试/认证时转目录外专业服务；涉及多个独立应用/信息安全专题，或目标、范围和处置责任未明确</t>
  </si>
  <si>
    <t xml:space="preserve">新建指项目团队负责的新验证专题；调整只看既有测试方案、工具配置、脚本和判据变化；目录内准备/整改成果按真实类型另计</t>
  </si>
  <si>
    <t xml:space="preserve">资产未变化的重复执行和整改复测不单列；未形成可独立交付和验收的本类型标准交付物时不建 Task。</t>
  </si>
  <si>
    <t xml:space="preserve">TEST-COMPAT-A11Y</t>
  </si>
  <si>
    <t xml:space="preserve">兼容性与无障碍验证</t>
  </si>
  <si>
    <t xml:space="preserve">每个目标标准下的环境组合</t>
  </si>
  <si>
    <t xml:space="preserve">可版本化的验证矩阵、执行资产及差异结论</t>
  </si>
  <si>
    <t xml:space="preserve">形成、验证并交付“可版本化的验证矩阵、执行资产及差异结论”所必需的本类型工作；以“每个目标标准下的环境组合”为一个 Task 实例。</t>
  </si>
  <si>
    <t xml:space="preserve">超出“每个目标标准下的环境组合”边界且可独立交付验收的其他对象。来源明确排除：资产未变化的重复执行不单列；必须登记实际执行矩阵单元和抽样覆盖，不能用隐含笛卡尔积放大范围。</t>
  </si>
  <si>
    <t xml:space="preserve">资产未变化的重复执行不单列；必须登记实际执行矩阵单元和抽样覆盖，不能用隐含笛卡尔积放大范围。</t>
  </si>
  <si>
    <t xml:space="preserve">形成新的环境/辅助技术矩阵、步骤和判据，执行并通过验收。</t>
  </si>
  <si>
    <t xml:space="preserve">实际执行矩阵单元、环境组合、Locale/书写方向、页面/流程、辅助技术</t>
  </si>
  <si>
    <t xml:space="preserve">≤12 个实际执行矩阵单元；≤4 个浏览器×OS×设备组合；≤3 个页面/模式；单一 Locale/书写方向；基础键盘/语义检查</t>
  </si>
  <si>
    <t xml:space="preserve">13～40 个实际执行矩阵单元；5～12 个环境组合；4～10 个页面/模式；2～4 个 Locale；含读屏、响应式、焦点和 WCAG 2.x AA 检查</t>
  </si>
  <si>
    <t xml:space="preserve">41～80 个实际执行矩阵单元、13～24 个环境组合、11～20 个页面/模式或 5～8 个 Locale；涉及RTL 验证、复合控件焦点状态机验证，或受监管证据</t>
  </si>
  <si>
    <t xml:space="preserve">实际执行矩阵单元 &gt;80、环境组合 &gt;24、页面/模式 &gt;20、Locale &gt;8，包含多个独立产品/平台矩阵或不同符合标准，或未给出唯一矩阵单元清单、抽样规则和目标覆盖</t>
  </si>
  <si>
    <t xml:space="preserve">“实际执行矩阵单元”是一次被执行并保存结果的唯一 (环境组合, 页面/模式, Locale/书写方向, 辅助技术/规则集)；并非各维度上限的隐含笛卡尔积。新建看完整新验证资产；调整只看矩阵和判据变化及必要回归；资产未变化的重复执行不计</t>
  </si>
  <si>
    <t xml:space="preserve">资产未变化的重复执行不单列；必须登记实际执行矩阵单元和抽样覆盖，不能用隐含笛卡尔积放大范围。未形成可独立交付和验收的本类型标准交付物时不建 Task。</t>
  </si>
  <si>
    <t xml:space="preserve">TEST-INTEGRATION</t>
  </si>
  <si>
    <t xml:space="preserve">集成联调与端到端技术验证</t>
  </si>
  <si>
    <t xml:space="preserve">可版本化的联调方案、数据、步骤、证据及结论</t>
  </si>
  <si>
    <t xml:space="preserve">形成、验证并交付“可版本化的联调方案、数据、步骤、证据及结论”所必需的本类型工作；以“每个业务场景”为一个 Task 实例。</t>
  </si>
  <si>
    <t xml:space="preserve">超出“每个业务场景”边界且可独立交付验收的其他对象。来源明确排除：普通基本联调包含在开发 Task 中；资产未变化的重复联调不单列。</t>
  </si>
  <si>
    <t xml:space="preserve">普通基本联调包含在开发 Task 中；资产未变化的重复联调不单列。</t>
  </si>
  <si>
    <t xml:space="preserve">形成新的联调方案、数据、步骤和判据，执行并通过验收。</t>
  </si>
  <si>
    <t xml:space="preserve">改变既有联调资产，执行受影响范围并完成验证。</t>
  </si>
  <si>
    <t xml:space="preserve">系统、步骤、路径、环境/数据依赖</t>
  </si>
  <si>
    <t xml:space="preserve">2 个系统；≤5 个步骤；单一路径；稳定环境和固定数据</t>
  </si>
  <si>
    <t xml:space="preserve">3 个系统或 6～12 个步骤；2～4 条路径；需动态数据、异步等待和跨团队排期</t>
  </si>
  <si>
    <t xml:space="preserve">4～6 个紧密协同系统、13～24 个步骤或 5～8 条路径；涉及跨系统关联结果核对，或受限外部环境、非标准恢复或回滚、受监管证据、多方联合交付</t>
  </si>
  <si>
    <t xml:space="preserve">系统 &gt;6、步骤 &gt;24、路径 &gt;8，或少于 2 个系统，包含多个独立 Integration/业务场景，或环境、责任方、数据和预期未明确</t>
  </si>
  <si>
    <t xml:space="preserve">新建看完整新联调资产；调整只看资产变化、受影响执行和必要回归；资产未变化的重复联调不计</t>
  </si>
  <si>
    <t xml:space="preserve">普通基本联调包含在开发 Task 中；资产未变化的重复联调不单列。未形成可独立交付和验收的本类型标准交付物时不建 Task。</t>
  </si>
  <si>
    <t xml:space="preserve">工程化</t>
  </si>
  <si>
    <t xml:space="preserve">ENG-BOOTSTRAP</t>
  </si>
  <si>
    <t xml:space="preserve">应用工程初始化与开发规范接入</t>
  </si>
  <si>
    <t xml:space="preserve">每个可独立构建的代码库</t>
  </si>
  <si>
    <t xml:space="preserve">可开发、可构建并通过基础质量门禁的工程</t>
  </si>
  <si>
    <t xml:space="preserve">形成、验证并交付“可开发、可构建并通过基础质量门禁的工程”所必需的本类型工作；以“每个可独立构建的代码库”为一个 Task 实例。</t>
  </si>
  <si>
    <t xml:space="preserve">超出“每个可独立构建的代码库”边界且可独立交付验收的其他对象。来源未列出更具体的相邻排除项。</t>
  </si>
  <si>
    <t xml:space="preserve">不包含 CI/CD。</t>
  </si>
  <si>
    <t xml:space="preserve">形成“可开发、可构建并通过基础质量门禁的工程”并通过约定验收。</t>
  </si>
  <si>
    <t xml:space="preserve">完成“可开发、可构建并通过基础质量门禁的工程”的目标变更和影响核验，并按交付对象性质通过评审、复核、演练或回归验证。</t>
  </si>
  <si>
    <t xml:space="preserve">既有工程模板不变，项目代码库实例化、参数配置和质量门禁验证完成。</t>
  </si>
  <si>
    <t xml:space="preserve">模块、技术语言、工程规则、质量门禁</t>
  </si>
  <si>
    <t xml:space="preserve">单仓库单模块；1 种语言；≤3 类基础门禁；使用标准模板</t>
  </si>
  <si>
    <t xml:space="preserve">单仓库 2～5 个模块；1 种语言但模块或门禁超过 S，或 2 种语言；4～8 类门禁；含自定义目录和多环境配置</t>
  </si>
  <si>
    <t xml:space="preserve">单仓库 6～10 个紧密相关模块、3～4 种语言或 9～16 类门禁；涉及项目专用代码生成器、项目专用质量门禁执行器，或高敏感数据或权限控制、受监管证据、严格向后兼容</t>
  </si>
  <si>
    <t xml:space="preserve">模块 &gt;10、语言 &gt;4、门禁 &gt;16，包含多个独立应用/代码库，或要建设组织级工程模板能力</t>
  </si>
  <si>
    <t xml:space="preserve">调整只看现有工程结构/规范变化；接入复用只看模板实例化、项目参数和门禁验证</t>
  </si>
  <si>
    <t xml:space="preserve">ENG-STACK-UPGRADE</t>
  </si>
  <si>
    <t xml:space="preserve">应用技术栈与依赖升级</t>
  </si>
  <si>
    <t xml:space="preserve">每个应用的独立技术栈升级范围</t>
  </si>
  <si>
    <t xml:space="preserve">既有应用的运行时、框架与依赖版本基线</t>
  </si>
  <si>
    <t xml:space="preserve">形成、验证并交付“既有应用的运行时、框架与依赖版本基线”所必需的本类型工作；以“每个应用的独立技术栈升级范围”为一个 Task 实例。</t>
  </si>
  <si>
    <t xml:space="preserve">超出“每个应用的独立技术栈升级范围”边界且可独立交付验收的其他对象。来源未列出更具体的相邻排除项。</t>
  </si>
  <si>
    <t xml:space="preserve">本类型只修改既有技术栈基线；从无到有使用工程初始化。普通补丁升级可用简单复杂度。</t>
  </si>
  <si>
    <t xml:space="preserve">将既有版本基线升级到批准目标，完成必要的代码/配置迁移、兼容修正、构建运行验证和受影响回归。</t>
  </si>
  <si>
    <t xml:space="preserve">依赖/框架、版本跨度、模块、破坏性变化</t>
  </si>
  <si>
    <t xml:space="preserve">≤3 个依赖的补丁/次版本；单模块；无破坏性 API 变化</t>
  </si>
  <si>
    <t xml:space="preserve">4～10 个相关依赖或 1 个主要框架大版本；2～5 个模块；有限迁移和回归</t>
  </si>
  <si>
    <t xml:space="preserve">11～20 个相关依赖、跨越 ≥2 个主要版本边界或 6～10 个紧密相关模块；涉及持久数据/配置格式迁移，或严格向后兼容</t>
  </si>
  <si>
    <t xml:space="preserve">依赖 &gt;20、跨越的主要版本边界无法确定、模块 &gt;10，包含多个独立应用/技术栈，或目标版本、兼容矩阵和回退路径未明确</t>
  </si>
  <si>
    <t xml:space="preserve">仅调整；复杂度只看升级范围、破坏性变化和必要回归，不看整个应用规模</t>
  </si>
  <si>
    <t xml:space="preserve">ENG-REFACTOR</t>
  </si>
  <si>
    <t xml:space="preserve">技术债治理与结构性重构</t>
  </si>
  <si>
    <t xml:space="preserve">每个独立结构性重构范围</t>
  </si>
  <si>
    <t xml:space="preserve">既有应用的内部结构、依赖关系与兼容契约</t>
  </si>
  <si>
    <t xml:space="preserve">形成、验证并交付“既有应用的内部结构、依赖关系与兼容契约”所必需的本类型工作；以“每个独立结构性重构范围”为一个 Task 实例。</t>
  </si>
  <si>
    <t xml:space="preserve">超出“每个独立结构性重构范围”边界且可独立交付验收的其他对象。来源明确排除：普通代码整理和顺手重构包含在主 Task 中。</t>
  </si>
  <si>
    <t xml:space="preserve">本类型只修改既有结构对象；普通代码整理和顺手重构包含在主 Task 中。</t>
  </si>
  <si>
    <t xml:space="preserve">按批准的结构或质量目标改变既有模块与依赖，并以契约检查和受影响回归证明应保持的业务行为兼容。</t>
  </si>
  <si>
    <t xml:space="preserve">模块、依赖边、公开契约、行为兼容范围</t>
  </si>
  <si>
    <t xml:space="preserve">1 个模块；≤3 个内部依赖；不改公开契约；局部回归</t>
  </si>
  <si>
    <t xml:space="preserve">2～5 个紧密相关模块；4～10 个依赖；有限公开契约/数据结构调整；模块级回归</t>
  </si>
  <si>
    <t xml:space="preserve">6～10 个紧密相关模块或 11～20 个依赖；涉及并发模型变更，或严格向后兼容</t>
  </si>
  <si>
    <t xml:space="preserve">模块 &gt;10、依赖 &gt;20，包含多个无关技术债主题，或目标质量指标、保持不变的行为和边界未明确</t>
  </si>
  <si>
    <t xml:space="preserve">仅调整；复杂度只看重构变化、影响面和兼容证明；独立数据迁移按对应类型另计</t>
  </si>
  <si>
    <t xml:space="preserve">普通代码整理和顺手重构包含在主 Task 中。未形成可独立交付和验收的本类型标准交付物时不建 Task。</t>
  </si>
  <si>
    <t xml:space="preserve">ENG-PIPELINE</t>
  </si>
  <si>
    <t xml:space="preserve">每条可独立执行的应用流水线</t>
  </si>
  <si>
    <t xml:space="preserve">构建、测试、制品、部署及发布流水线</t>
  </si>
  <si>
    <t xml:space="preserve">形成、验证并交付“构建、测试、制品、部署及发布流水线”所必需的本类型工作；以“每条可独立执行的应用流水线”为一个 Task 实例。</t>
  </si>
  <si>
    <t xml:space="preserve">超出“每条可独立执行的应用流水线”边界且可独立交付验收的其他对象。来源未列出更具体的相邻排除项。</t>
  </si>
  <si>
    <t xml:space="preserve">共享流水线平台或模板建设使用 ENG-PLATFORM；模板实例化到一个应用是该应用流水线的接入复用。</t>
  </si>
  <si>
    <t xml:space="preserve">形成可独立执行、部署和回滚的应用流水线并通过约定验收。</t>
  </si>
  <si>
    <t xml:space="preserve">完成既有流水线阶段、制品、环境、门禁或发布策略的目标变更和回归验证。</t>
  </si>
  <si>
    <t xml:space="preserve">既有流水线模板不变，项目参数、制品、环境、审批和执行验证完成。</t>
  </si>
  <si>
    <t xml:space="preserve">阶段、环境、制品、发布策略/门禁、构建矩阵</t>
  </si>
  <si>
    <t xml:space="preserve">≤4 个阶段；1～2 个环境；1 类制品；1 个构建矩阵项；标准构建部署</t>
  </si>
  <si>
    <t xml:space="preserve">5～8 个阶段；3～4 个环境；2～3 类制品；2～6 个构建矩阵项；含审批、密钥、缓存和质量门禁</t>
  </si>
  <si>
    <t xml:space="preserve">9～16 个阶段、5～8 个环境、4～6 类制品或 7～12 个构建矩阵项；涉及蓝绿/金丝雀发布、自动回滚，或受监管证据</t>
  </si>
  <si>
    <t xml:space="preserve">阶段 &gt;16、环境 &gt;8、制品 &gt;6、构建矩阵项 &gt;12，包含多条独立流水线/应用，或要建设共享流水线平台</t>
  </si>
  <si>
    <t xml:space="preserve">调整只看流水线变化；接入复用只看项目参数、制品、环境、审批和执行验证</t>
  </si>
  <si>
    <t xml:space="preserve">ENG-PLATFORM</t>
  </si>
  <si>
    <t xml:space="preserve">仅在 ENG-PLATFORM 的交付物可独立版本化、部署或验收时分别建 Task；否则相关工作包含在 ENG-PIPELINE 的单一交付边界内。</t>
  </si>
  <si>
    <t xml:space="preserve">ENG-IAC</t>
  </si>
  <si>
    <t xml:space="preserve">基础设施自动化模块</t>
  </si>
  <si>
    <t xml:space="preserve">每个可独立版本化的 IaC 模块或项目 Root Module</t>
  </si>
  <si>
    <t xml:space="preserve">可复用、可版本管理的基础设施自动化模块或项目 Root Module</t>
  </si>
  <si>
    <t xml:space="preserve">形成、验证并交付“可复用、可版本管理的基础设施自动化模块或项目 Root Module”所必需的本类型工作；以“每个可独立版本化的 IaC 模块或项目 Root Module”为一个 Task 实例。</t>
  </si>
  <si>
    <t xml:space="preserve">超出“每个可独立版本化的 IaC 模块或项目 Root Module”边界且可独立交付验收的其他对象。来源明确排除：仅在资源栈内部填写变量或调用模块时不单列；</t>
  </si>
  <si>
    <t xml:space="preserve">仅在资源栈内部填写变量或调用模块时不单列；该工作包含输入输出、状态、版本、验证和使用说明。</t>
  </si>
  <si>
    <t xml:space="preserve">形成可复用、可版本管理的基础设施自动化模块。</t>
  </si>
  <si>
    <t xml:space="preserve">完成既有模块契约、资源或状态结构的变更及验证。</t>
  </si>
  <si>
    <t xml:space="preserve">既有 IaC 模块不变，形成可独立版本化和验收的项目 Root Module。</t>
  </si>
  <si>
    <t xml:space="preserve">资源类型、输入输出、依赖、状态/版本</t>
  </si>
  <si>
    <t xml:space="preserve">1～2 类资源；≤5 个输入；≤2 个输出；无跨模块依赖</t>
  </si>
  <si>
    <t xml:space="preserve">3～6 类相关资源；6～15 个输入；3～6 个输出；含状态、版本和 1～3 个依赖</t>
  </si>
  <si>
    <t xml:space="preserve">7～12 类紧密相关资源、16～30 个输入、7～12 个输出或 4～6 个依赖；涉及条件资源图、既有资源导入/状态迁移，或跨区域连续性、高敏感数据或权限控制、严格向后兼容</t>
  </si>
  <si>
    <t xml:space="preserve">资源类别 &gt;12、输入 &gt;30、输出 &gt;12、依赖 &gt;6，包含多个可独立发布的 IaC 模块，或资源所有权、状态和版本边界未明确</t>
  </si>
  <si>
    <t xml:space="preserve">调整只看模块契约/资源变化；接入复用只看可独立版本化和验收的项目 Root Module；资源栈内部变量配置不单列</t>
  </si>
  <si>
    <t xml:space="preserve">仅在资源栈内部填写变量或调用模块时不单列；未形成可独立交付和验收的本类型标准交付物时不建 Task。</t>
  </si>
  <si>
    <t xml:space="preserve">ENG-INFRA-STACK</t>
  </si>
  <si>
    <t xml:space="preserve">基础设施资源栈建设</t>
  </si>
  <si>
    <t xml:space="preserve">每资源栈</t>
  </si>
  <si>
    <t xml:space="preserve">可部署并独立验收的资源栈</t>
  </si>
  <si>
    <t xml:space="preserve">形成、验证并交付“可部署并独立验收的资源栈”所必需的本类型工作；以“每资源栈”为一个 Task 实例。</t>
  </si>
  <si>
    <t xml:space="preserve">超出“每资源栈”边界且可独立交付验收的其他对象。来源未列出更具体的相邻排除项。</t>
  </si>
  <si>
    <t xml:space="preserve">多个独立资源栈必须拆分。</t>
  </si>
  <si>
    <t xml:space="preserve">形成“可部署并独立验收的资源栈”并通过约定验收。</t>
  </si>
  <si>
    <t xml:space="preserve">完成“可部署并独立验收的资源栈”的目标变更和影响核验，并按交付对象性质通过评审、复核、演练或回归验证。</t>
  </si>
  <si>
    <t xml:space="preserve">既有资源栈模式不变，项目参数、账号或订阅、网络绑定和部署验证完成。</t>
  </si>
  <si>
    <t xml:space="preserve">资源、网络区、可用区/地域、安全约束</t>
  </si>
  <si>
    <t xml:space="preserve">≤3 个相关资源；1 个网络区；单可用区；标准托管配置</t>
  </si>
  <si>
    <t xml:space="preserve">4～8 个紧密相关资源；2～3 个网络区或云服务标准多可用区配置；含不可独立交付的资源部署自动化、基础备份/健康监测和私网连接</t>
  </si>
  <si>
    <t xml:space="preserve">9～16 个紧密相关资源；涉及定制跨可用区容错、主动—主动、跨账号、容量模型/边界验证，或跨区域连续性、高敏感数据或权限控制、受监管证据、量化服务目标</t>
  </si>
  <si>
    <t xml:space="preserve">资源 &gt;16，包含多个独立资源栈/地域，或容灾方案和独立平台能力未拆分</t>
  </si>
  <si>
    <t xml:space="preserve">调整只看资源栈变化；接入复用只看项目参数、账号/订阅、网络绑定和部署验证；RTO/RPO 与恢复能力由 CO-BCDR 计量</t>
  </si>
  <si>
    <t xml:space="preserve">仅在 CO-BCDR 的交付物可独立版本化、部署或验收时分别建 Task；否则相关工作包含在 ENG-INFRA-STACK 的单一交付边界内。</t>
  </si>
  <si>
    <t xml:space="preserve">共享工程平台能力</t>
  </si>
  <si>
    <t xml:space="preserve">每个可独立运行的平台能力单元</t>
  </si>
  <si>
    <t xml:space="preserve">可复用、可独立运行并由多项目消费的共享工程平台能力</t>
  </si>
  <si>
    <t xml:space="preserve">形成、验证并交付“可复用、可独立运行并由多项目消费的共享工程平台能力”所必需的本类型工作；以“每个可独立运行的平台能力单元”为一个 Task 实例。</t>
  </si>
  <si>
    <t xml:space="preserve">超出“每个可独立运行的平台能力单元”边界且可独立交付验收的其他对象。来源明确排除：消费侧接入必须优先使用 ENG-PIPELINE、ENG-RUNTIME、ENG-OBSERVABILITY、ENG-ALERT、ENG-IAC、ENG-INFRA-STACK 或安全专用类型，不能再用本类型接入复用。</t>
  </si>
  <si>
    <t xml:space="preserve">仅建设或修改共享平台能力时使用；消费侧接入必须优先使用 ENG-PIPELINE、ENG-RUNTIME、ENG-OBSERVABILITY、ENG-ALERT、ENG-IAC、ENG-INFRA-STACK 或安全专用类型，不能再用本类型接入复用。</t>
  </si>
  <si>
    <t xml:space="preserve">形成可独立运行、治理和验收的共享工程平台能力。</t>
  </si>
  <si>
    <t xml:space="preserve">完成既有共享平台的功能、接口、配额、权限、版本或可用性目标变更。</t>
  </si>
  <si>
    <t xml:space="preserve">平台功能、接口、消费方、治理/可用性</t>
  </si>
  <si>
    <t xml:space="preserve">1 个平台能力；≤2 个接口；1 个消费团队；标准运行要求</t>
  </si>
  <si>
    <t xml:space="preserve">1 个能力含 3～6 个接口；2～4 个消费团队；含配额、权限、版本和监控</t>
  </si>
  <si>
    <t xml:space="preserve">1 个能力含 7～12 个接口或 5～8 个消费团队；涉及多租户平台、插件扩展、灰度发布，或量化服务目标、跨区域连续性</t>
  </si>
  <si>
    <t xml:space="preserve">接口 &gt;12、消费团队 &gt;8，包含多个可独立运行的平台能力单元，或 Runner、网关、密钥、日志等完整平台未拆分</t>
  </si>
  <si>
    <t xml:space="preserve">仅新建或调整共享平台能力；消费侧按实际交付结果使用工程或安全专用类型，不提供接入复用</t>
  </si>
  <si>
    <t xml:space="preserve">ENG-ALERT,ENG-IAC,ENG-INFRA-STACK,ENG-OBSERVABILITY,ENG-PIPELINE,ENG-RUNTIME</t>
  </si>
  <si>
    <t xml:space="preserve">仅在 ENG-ALERT, ENG-IAC, ENG-INFRA-STACK, ENG-OBSERVABILITY, ENG-PIPELINE, ENG-RUNTIME 的交付物可独立版本化、部署或验收时分别建 Task；否则相关工作包含在 ENG-PLATFORM 的单一交付边界内。</t>
  </si>
  <si>
    <t xml:space="preserve">消费侧接入必须优先使用 ENG-PIPELINE、ENG-RUNTIME、ENG-OBSERVABILITY、ENG-ALERT、ENG-IAC、ENG-INFRA-STACK 或安全专用类型，不能再用本类型接入复用。未形成可独立交付和验收的本类型标准交付物时不建 Task。</t>
  </si>
  <si>
    <t xml:space="preserve">ENG-RUNTIME</t>
  </si>
  <si>
    <t xml:space="preserve">每个应用 × 单一环境</t>
  </si>
  <si>
    <t xml:space="preserve">应用可部署、可运行结果</t>
  </si>
  <si>
    <t xml:space="preserve">形成、验证并交付“应用可部署、可运行结果”所必需的本类型工作；以“每个应用 × 单一环境”为一个 Task 实例。</t>
  </si>
  <si>
    <t xml:space="preserve">超出“每个应用 × 单一环境”边界且可独立交付验收的其他对象。来源未列出更具体的相邻排除项。</t>
  </si>
  <si>
    <t xml:space="preserve">不包含运行环境本身建设。</t>
  </si>
  <si>
    <t xml:space="preserve">形成“应用可部署、可运行结果”并通过约定验收。</t>
  </si>
  <si>
    <t xml:space="preserve">完成“应用可部署、可运行结果”的目标变更和影响核验，并按交付对象性质通过评审、复核、演练或回归验证。</t>
  </si>
  <si>
    <t xml:space="preserve">既有运行平台不变，项目容器、配置、密钥、证书和部署验证完成。</t>
  </si>
  <si>
    <t xml:space="preserve">服务/进程、配置/密钥、网络依赖、环境</t>
  </si>
  <si>
    <t xml:space="preserve">1 个服务；≤5 个配置/密钥；≤2 个网络依赖；单一非生产环境</t>
  </si>
  <si>
    <t xml:space="preserve">同一环境内 2～4 个紧密相关服务；6～15 个配置/密钥；3～5 个依赖；含证书、探针和环境特定配置</t>
  </si>
  <si>
    <t xml:space="preserve">同一环境内 5～8 个紧密相关服务、16～30 个配置/密钥或 6～10 个依赖；涉及服务网格接入、多子网路由、私有端点/受控出口，或高敏感数据或权限控制、受监管证据、量化服务目标、跨区域连续性</t>
  </si>
  <si>
    <t xml:space="preserve">服务 &gt;8、配置/密钥 &gt;30、依赖 &gt;10，包含多个独立应用/环境，或运行平台本身建设未拆分</t>
  </si>
  <si>
    <t xml:space="preserve">调整只看该环境的部署定义变化；接入复用只看该环境的项目容器、配置、密钥、证书和部署验证</t>
  </si>
  <si>
    <t xml:space="preserve">ENG-OBSERVABILITY</t>
  </si>
  <si>
    <t xml:space="preserve">每应用</t>
  </si>
  <si>
    <t xml:space="preserve">日志、指标、追踪及健康检查接入结果</t>
  </si>
  <si>
    <t xml:space="preserve">形成、验证并交付“日志、指标、追踪及健康检查接入结果”所必需的本类型工作；以“每应用”为一个 Task 实例。</t>
  </si>
  <si>
    <t xml:space="preserve">超出“每应用”边界且可独立交付验收的其他对象。来源未列出更具体的相邻排除项。</t>
  </si>
  <si>
    <t xml:space="preserve">不包含公共平台建设。</t>
  </si>
  <si>
    <t xml:space="preserve">形成“日志、指标、追踪及健康检查接入结果”并通过约定验收。</t>
  </si>
  <si>
    <t xml:space="preserve">完成“日志、指标、追踪及健康检查接入结果”的目标变更和影响核验，并按交付对象性质通过评审、复核、演练或回归验证。</t>
  </si>
  <si>
    <t xml:space="preserve">既有可观测平台不变，项目日志、指标、追踪和健康检查接入验证完成。</t>
  </si>
  <si>
    <t xml:space="preserve">遥测类型、服务、关键路径、字段/标签</t>
  </si>
  <si>
    <t xml:space="preserve">1 个服务；≤2 条关键路径；1～2 类遥测；≤10 个关键字段/指标；标准健康检查</t>
  </si>
  <si>
    <t xml:space="preserve">2～4 个紧密相关服务；3～8 条关键路径；日志/指标/追踪三类；11～30 个字段/指标；含关联视图</t>
  </si>
  <si>
    <t xml:space="preserve">5～8 个紧密相关服务、9～16 条关键路径或 31～60 个字段/指标；涉及跨系统追踪、防篡改存储、高敏感数据或权限控制、受监管证据或量化服务目标</t>
  </si>
  <si>
    <t xml:space="preserve">服务 &gt;8、路径 &gt;16、字段/指标 &gt;60，包含多个独立应用/调用链，或公共可观测平台建设未拆分</t>
  </si>
  <si>
    <t xml:space="preserve">调整只看遥测契约变化；接入复用只看项目采集、标签、追踪和健康检查验证；高基数或长时间留存只有形成明确量化目标时才作为复杂度依据</t>
  </si>
  <si>
    <t xml:space="preserve">ENG-ALERT</t>
  </si>
  <si>
    <t xml:space="preserve">每共同管理的监控与告警组</t>
  </si>
  <si>
    <t xml:space="preserve">运营看板、告警规则、阈值、通知路由及触发验证</t>
  </si>
  <si>
    <t xml:space="preserve">形成、验证并交付“运营看板、告警规则、阈值、通知路由及触发验证”所必需的本类型工作；以“每共同管理的监控与告警组”为一个 Task 实例。</t>
  </si>
  <si>
    <t xml:space="preserve">超出“每共同管理的监控与告警组”边界且可独立交付验收的其他对象。来源未列出更具体的相邻排除项。</t>
  </si>
  <si>
    <t xml:space="preserve">一组共同管理的指标与告警计一项。</t>
  </si>
  <si>
    <t xml:space="preserve">形成“监控、看板、告警规则及触发验证”并通过约定验收。</t>
  </si>
  <si>
    <t xml:space="preserve">完成“监控、看板、告警规则及触发验证”的目标变更和影响核验，并按交付对象性质通过评审、复核、演练或回归验证。</t>
  </si>
  <si>
    <t xml:space="preserve">既有监控模板不变，项目指标绑定、阈值、通知路由和触发验证完成。</t>
  </si>
  <si>
    <t xml:space="preserve">信号、规则、通知路由、抑制/升级</t>
  </si>
  <si>
    <t xml:space="preserve">≤3 个相关信号；≤3 条规则；1 条通知路由；固定阈值</t>
  </si>
  <si>
    <t xml:space="preserve">4～10 个信号；4～10 条规则；2～3 条路由；含分级、抑制和恢复通知</t>
  </si>
  <si>
    <t xml:space="preserve">11～20 个信号，或 11～20 条规则，或 4～6 条通知路由；涉及动态基线、复合条件、多级升级、跨时区值守路由，或量化服务目标、多方联合交付</t>
  </si>
  <si>
    <t xml:space="preserve">信号 &gt;20、规则 &gt;20、路由 &gt;6，包含多个无关指标/告警组，或阈值、责任人和处置动作未明确</t>
  </si>
  <si>
    <t xml:space="preserve">调整只看规则变化；接入复用只看项目指标绑定、阈值、通知路由和触发验证</t>
  </si>
  <si>
    <t xml:space="preserve">发布与生产</t>
  </si>
  <si>
    <t xml:space="preserve">REL-PLAN</t>
  </si>
  <si>
    <t xml:space="preserve">每个发布批次（Release）</t>
  </si>
  <si>
    <t xml:space="preserve">就绪、部署、提交、切换、回滚、验证和风险方案</t>
  </si>
  <si>
    <t xml:space="preserve">形成、验证并交付“就绪、部署、提交、切换、回滚、验证和风险方案”所必需的本类型工作；以“每个发布批次（Release）”为一个 Task 实例。</t>
  </si>
  <si>
    <t xml:space="preserve">超出“每个发布批次（Release）”边界且可独立交付验收的其他对象。来源明确排除：同一 Release 不重复拆技术准备与实施方案。</t>
  </si>
  <si>
    <t xml:space="preserve">同一 Release 不重复拆技术准备与实施方案。</t>
  </si>
  <si>
    <t xml:space="preserve">形成“就绪、部署、提交、切换、回滚、验证和风险方案”并通过约定验收。</t>
  </si>
  <si>
    <t xml:space="preserve">完成“就绪、部署、提交、切换、回滚、验证和风险方案”的目标变更和影响核验，并按交付对象性质通过评审、复核、演练或回归验证。</t>
  </si>
  <si>
    <t xml:space="preserve">组件、团队、步骤、窗口/回滚</t>
  </si>
  <si>
    <t xml:space="preserve">1 个组件；1 个团队；≤8 个步骤；无零停机或独立停机时长门禁；标准回滚</t>
  </si>
  <si>
    <t xml:space="preserve">2～4 个紧密相关组件；2～3 个团队；9～20 个步骤；明确 Go/No-Go、演练和回滚</t>
  </si>
  <si>
    <t xml:space="preserve">≥5 个紧密相关组件、≥4 个团队或 &gt;20 个步骤；涉及双跑切流，或零停机、量化服务目标、多方联合交付、跨区域连续性</t>
  </si>
  <si>
    <t xml:space="preserve">包含多个可独立切换的 Release/系统，或版本范围、窗口、RACI、回滚任一未明确</t>
  </si>
  <si>
    <t xml:space="preserve">新建看本次新方案；调整只看既有方案/清单变化和受影响重审范围</t>
  </si>
  <si>
    <t xml:space="preserve">同一 Release 不重复拆技术准备与实施方案。未形成可独立交付和验收的本类型标准交付物时不建 Task。</t>
  </si>
  <si>
    <t xml:space="preserve">REL-REHEARSAL</t>
  </si>
  <si>
    <t xml:space="preserve">可版本化的发布演练方案、步骤、判据及结果</t>
  </si>
  <si>
    <t xml:space="preserve">形成、验证并交付“可版本化的发布演练方案、步骤、判据及结果”所必需的本类型工作；以“每个发布批次（Release）”为一个 Task 实例。</t>
  </si>
  <si>
    <t xml:space="preserve">超出“每个发布批次（Release）”边界且可独立交付验收的其他对象。来源明确排除：日常环境部署以及方案未变化的重复演练不单列。</t>
  </si>
  <si>
    <t xml:space="preserve">日常环境部署以及方案未变化的重复演练不单列。</t>
  </si>
  <si>
    <t xml:space="preserve">形成新的演练方案、步骤和成功判据，完成演练并通过验收。</t>
  </si>
  <si>
    <t xml:space="preserve">改变既有演练资产，重演受影响范围并完成验证。</t>
  </si>
  <si>
    <t xml:space="preserve">演练场景、组件、团队、异常注入</t>
  </si>
  <si>
    <t xml:space="preserve">1 个场景；1 个组件；1 个团队；标准检查表</t>
  </si>
  <si>
    <t xml:space="preserve">2～3 个相关场景；2～4 个组件；2～3 个团队；含切换、回滚和问题整改复演</t>
  </si>
  <si>
    <t xml:space="preserve">4～6 个紧密相关场景、5～8 个组件或 4～6 个团队；涉及故障注入、跨系统恢复，或零停机、量化服务目标、多方联合交付</t>
  </si>
  <si>
    <t xml:space="preserve">场景 &gt;6、组件 &gt;8、团队 &gt;6，包含多个独立 Release、切换范围或演练轮次，或演练目标、环境和成功判据未明确</t>
  </si>
  <si>
    <t xml:space="preserve">新建看完整新演练资产；调整只看方案、步骤和判据变化及必要重演；资产未变化的重复演练不计</t>
  </si>
  <si>
    <t xml:space="preserve">日常环境部署以及方案未变化的重复演练不单列。未形成可独立交付和验收的本类型标准交付物时不建 Task。</t>
  </si>
  <si>
    <t xml:space="preserve">REL-MIGRATION-DRYRUN</t>
  </si>
  <si>
    <t xml:space="preserve">每个迁移批次</t>
  </si>
  <si>
    <t xml:space="preserve">可版本化的迁移演练脚本、方案、判据及结果</t>
  </si>
  <si>
    <t xml:space="preserve">形成、验证并交付“可版本化的迁移演练脚本、方案、判据及结果”所必需的本类型工作；以“每个迁移批次”为一个 Task 实例。</t>
  </si>
  <si>
    <t xml:space="preserve">超出“每个迁移批次”边界且可独立交付验收的其他对象。来源明确排除：方案未变化的重复演练和问题整改复演不单列。</t>
  </si>
  <si>
    <t xml:space="preserve">方案未变化的重复演练和问题整改复演不单列。</t>
  </si>
  <si>
    <t xml:space="preserve">形成新的迁移演练脚本、方案和成功判据，完成耗时、校验、对账及回滚演练并通过验收。</t>
  </si>
  <si>
    <t xml:space="preserve">迁移对象、数据量、验证项、批次窗口</t>
  </si>
  <si>
    <t xml:space="preserve">1 个对象组；≤10 万条；≤5 个验证项；允许完整重跑；无零停机或独立停机时长门禁</t>
  </si>
  <si>
    <t xml:space="preserve">2～4 个相关对象；&gt;10 万且 ≤1000 万条；6～15 个验证项；含耗时、对账和回滚演练</t>
  </si>
  <si>
    <t xml:space="preserve">5～8 个紧密相关对象、&gt;1000 万且 ≤1 亿条或 16～30 个验证项；涉及分批、双写，或零停机、量化服务目标、非标准恢复或回滚</t>
  </si>
  <si>
    <t xml:space="preserve">对象 &gt;8、数据量 &gt;1 亿条、验证项 &gt;30，包含多个独立迁移批次、数据域或演练轮次，或源数据快照、窗口和成功阈值未明确</t>
  </si>
  <si>
    <t xml:space="preserve">新建看完整新演练资产；调整只看脚本、方案和判据变化及必要重演；资产未变化的重复演练不计</t>
  </si>
  <si>
    <t xml:space="preserve">方案未变化的重复演练和问题整改复演不单列。未形成可独立交付和验收的本类型标准交付物时不建 Task。</t>
  </si>
  <si>
    <t xml:space="preserve">REL-EXECUTION</t>
  </si>
  <si>
    <t xml:space="preserve">每个应用 × 单一发布批次（Release）</t>
  </si>
  <si>
    <t xml:space="preserve">正式部署或商店提交、冒烟及健康检查结果</t>
  </si>
  <si>
    <t xml:space="preserve">形成、验证并交付“正式部署或商店提交、冒烟及健康检查结果”所必需的本类型工作；以“每个应用 × 单一发布批次（Release）”为一个 Task 实例。</t>
  </si>
  <si>
    <t xml:space="preserve">超出“每个应用 × 单一发布批次（Release）”边界且可独立交付验收的其他对象。来源明确排除：仅待命不计固定 PD。</t>
  </si>
  <si>
    <t xml:space="preserve">基准覆盖批准窗口内的执行、冒烟、健康检查、标准回滚准备和结果留证；仅待命不计固定 PD。</t>
  </si>
  <si>
    <t xml:space="preserve">形成“正式部署或商店提交、冒烟及健康检查结果”并通过约定验收。</t>
  </si>
  <si>
    <t xml:space="preserve">部署组件、执行步骤、参与方、停机约束</t>
  </si>
  <si>
    <t xml:space="preserve">1 个组件；≤5 个步骤；1 个执行团队；无零停机或独立停机时长门禁</t>
  </si>
  <si>
    <t xml:space="preserve">2～4 个紧密相关组件；6～12 个步骤；2～3 个团队；含冒烟、健康检查和标准回滚</t>
  </si>
  <si>
    <t xml:space="preserve">≥5 个紧密相关组件、&gt;12 个步骤或 ≥4 个团队；涉及商店多渠道、联合切流，或零停机、量化服务目标、多方联合交付</t>
  </si>
  <si>
    <t xml:space="preserve">包含多个可独立发布的应用/Release，或批准版本、窗口、执行人与回滚条件未明确</t>
  </si>
  <si>
    <t xml:space="preserve">仅新建一次执行结果；使用既有流水线不改变模式，复杂度只看本次执行</t>
  </si>
  <si>
    <t xml:space="preserve">仅待命不计固定 PD。未形成可独立交付和验收的本类型标准交付物时不建 Task。</t>
  </si>
  <si>
    <t xml:space="preserve">REL-MIGRATION-EXECUTION</t>
  </si>
  <si>
    <t xml:space="preserve">每迁移批次</t>
  </si>
  <si>
    <t xml:space="preserve">正式迁移、校验及对账结果</t>
  </si>
  <si>
    <t xml:space="preserve">形成、验证并交付“正式迁移、校验及对账结果”所必需的本类型工作；以“每迁移批次”为一个 Task 实例。</t>
  </si>
  <si>
    <t xml:space="preserve">超出“每迁移批次”边界且可独立交付验收的其他对象。来源未列出更具体的相邻排除项。</t>
  </si>
  <si>
    <t xml:space="preserve">每个独立切换批次计一项；基准覆盖执行控制、核对、回滚点和结果留证，不包含迁移能力开发。</t>
  </si>
  <si>
    <t xml:space="preserve">形成“正式迁移、校验及对账结果”并通过约定验收。</t>
  </si>
  <si>
    <t xml:space="preserve">迁移对象、数据量、执行步骤、窗口/回滚</t>
  </si>
  <si>
    <t xml:space="preserve">1 个对象组；≤10 万条；≤5 个步骤；无零停机或独立停机时长门禁，且允许整体回滚</t>
  </si>
  <si>
    <t xml:space="preserve">2～4 个相关对象；&gt;10 万且 ≤1000 万条；6～12 个步骤；含分批、核对和回滚点</t>
  </si>
  <si>
    <t xml:space="preserve">≥5 个紧密相关对象、&gt;1000 万条或 &gt;12 个步骤；涉及双写，或零停机、量化服务目标、多方联合交付、非标准恢复或回滚</t>
  </si>
  <si>
    <t xml:space="preserve">包含多个独立迁移批次/数据域，或生产授权、快照、窗口和停止条件未明确</t>
  </si>
  <si>
    <t xml:space="preserve">仅新建一次生产执行结果；必须引用被迁移数据起点，不按脚本是否复用改变模式</t>
  </si>
  <si>
    <t xml:space="preserve">REL-REVIEW</t>
  </si>
  <si>
    <t xml:space="preserve">发布后技术复盘</t>
  </si>
  <si>
    <t xml:space="preserve">发布复盘结论、问题及改进项</t>
  </si>
  <si>
    <t xml:space="preserve">形成、验证并交付“发布复盘结论、问题及改进项”所必需的本类型工作；以“每个发布批次（Release）”为一个 Task 实例。</t>
  </si>
  <si>
    <t xml:space="preserve">超出“每个发布批次（Release）”边界且可独立交付验收的其他对象。来源未列出更具体的相邻排除项。</t>
  </si>
  <si>
    <t xml:space="preserve">一次 Release 一个复盘结果；M 档包含多证据源和跨团队行动项，原 0.5 PD 上调待实绩复核。</t>
  </si>
  <si>
    <t xml:space="preserve">形成“发布复盘结论、问题及改进项”并通过约定验收。</t>
  </si>
  <si>
    <t xml:space="preserve">证据源、参与方、问题/改进项、时间线</t>
  </si>
  <si>
    <t xml:space="preserve">≤3 个证据源；1 个团队；≤3 个问题/改进项；时间线明确</t>
  </si>
  <si>
    <t xml:space="preserve">4～8 个证据源；2～3 个团队；4～10 个问题；需关联指标和行动责任</t>
  </si>
  <si>
    <t xml:space="preserve">9～16 个证据源、4～6 个团队或 11～20 个问题；涉及跨系统因果链，或关键业务影响、受监管证据</t>
  </si>
  <si>
    <t xml:space="preserve">证据源 &gt;16、团队 &gt;6、问题 &gt;20，包含多个独立 Release/事件，或复盘范围、事实时间线和责任人未明确</t>
  </si>
  <si>
    <t xml:space="preserve">仅新建一次复盘结果；既有模板只是工具使用，不单列 Task</t>
  </si>
  <si>
    <t xml:space="preserve">OPS-INCIDENT-RECOVERY</t>
  </si>
  <si>
    <t xml:space="preserve">生产故障诊断与恢复</t>
  </si>
  <si>
    <t xml:space="preserve">每个统一事件范围</t>
  </si>
  <si>
    <t xml:space="preserve">生产恢复结果及诊断证据</t>
  </si>
  <si>
    <t xml:space="preserve">形成、验证并交付“生产恢复结果及诊断证据”所必需的本类型工作；以“每个统一事件范围”为一个 Task 实例。</t>
  </si>
  <si>
    <t xml:space="preserve">超出“每个统一事件范围”边界且可独立交付验收的其他对象。来源明确排除：与 RCA 并存时不重复计算诊断。</t>
  </si>
  <si>
    <t xml:space="preserve">与 RCA 并存时不重复计算诊断。</t>
  </si>
  <si>
    <t xml:space="preserve">形成“生产恢复结果及诊断证据”并通过约定验收。</t>
  </si>
  <si>
    <t xml:space="preserve">组件、证据源、假设、恢复动作</t>
  </si>
  <si>
    <t xml:space="preserve">1 个组件；≤2 个证据源；1～2 个假设；标准恢复动作</t>
  </si>
  <si>
    <t xml:space="preserve">2～4 个紧密相关组件；3～6 个证据源；3～5 个假设；需跨团队协同和临时缓解</t>
  </si>
  <si>
    <t xml:space="preserve">5～8 个紧密相关组件、7～12 个证据源或 6～10 个假设，或关键业务影响、非标准恢复或回滚、多方联合交付、高敏感数据或权限控制、受监管证据</t>
  </si>
  <si>
    <t xml:space="preserve">组件 &gt;8、证据源 &gt;12、假设 &gt;10，包含多个独立故障/根因，或影响范围、事件所有者和恢复目标未明确</t>
  </si>
  <si>
    <t xml:space="preserve">仅新建一次故障处理结果；与 RCA 并存时不重复计算相同诊断</t>
  </si>
  <si>
    <t xml:space="preserve">与 RCA 并存时不重复计算诊断。未形成可独立交付和验收的本类型标准交付物时不建 Task。</t>
  </si>
  <si>
    <t xml:space="preserve">OPS-RCA</t>
  </si>
  <si>
    <t xml:space="preserve">生产问题根因分析（RCA）</t>
  </si>
  <si>
    <t xml:space="preserve">每个独立根因问题</t>
  </si>
  <si>
    <t xml:space="preserve">根因、时间线、影响、验证及改进结论</t>
  </si>
  <si>
    <t xml:space="preserve">形成、验证并交付“根因、时间线、影响、验证及改进结论”所必需的本类型工作；以“每个独立根因问题”为一个 Task 实例。</t>
  </si>
  <si>
    <t xml:space="preserve">超出“每个独立根因问题”边界且可独立交付验收的其他对象。来源未列出更具体的相邻排除项。</t>
  </si>
  <si>
    <t xml:space="preserve">具体修复按原工作类型修改模式计量。</t>
  </si>
  <si>
    <t xml:space="preserve">形成“根因、时间线、影响、验证及改进结论”并通过约定验收。</t>
  </si>
  <si>
    <t xml:space="preserve">因果层级、新增证据源、系统范围、改进责任方</t>
  </si>
  <si>
    <t xml:space="preserve">1 个组件；≤3 个本次新增或重新因果分析的证据源；单层直接原因；1 个责任方</t>
  </si>
  <si>
    <t xml:space="preserve">2～4 个紧密相关组件；4～8 个新增/重分析证据源；2～3 层因果链；2～3 个责任方</t>
  </si>
  <si>
    <t xml:space="preserve">5～8 个紧密相关组件、9～16 个新增/重分析证据源或 4～6 层因果链；涉及跨系统因果链、跨责任流程因果链，或高敏感数据或权限控制、受监管证据</t>
  </si>
  <si>
    <t xml:space="preserve">组件 &gt;8、证据源 &gt;16、因果层级 &gt;6，包含多个独立问题/根因，或事实时间线、复现证据和问题边界未明确</t>
  </si>
  <si>
    <t xml:space="preserve">仅新建一次 RCA 结论；必须把恢复 Task 已复用证据与 RCA 新增/重分析证据分别标识，重复证据不增加复杂度；具体修复按原工作类型的调整模式另计</t>
  </si>
  <si>
    <t xml:space="preserve">OPS-RETIREMENT</t>
  </si>
  <si>
    <t xml:space="preserve">系统功能或应用退役</t>
  </si>
  <si>
    <t xml:space="preserve">每个独立退役对象</t>
  </si>
  <si>
    <t xml:space="preserve">退役编排、入口关闭、依赖解除、数据归档、权限撤销、资源释放及整体验证</t>
  </si>
  <si>
    <t xml:space="preserve">形成、验证并交付“退役编排、入口关闭、依赖解除、数据归档、权限撤销、资源释放及整体验证”所必需的本类型工作；以“每个独立退役对象”为一个 Task 实例。</t>
  </si>
  <si>
    <t xml:space="preserve">超出“每个独立退役对象”边界且可独立交付验收的其他对象。来源明确排除：独立版本化和验收的数据生命周期、权限或资源栈变更应使用各自专用类型，并从本行复杂度中排除，不能重复计量。</t>
  </si>
  <si>
    <t xml:space="preserve">只计退役整体编排与结果；独立版本化和验收的数据生命周期、权限或资源栈变更应使用各自专用类型，并从本行复杂度中排除，不能重复计量。</t>
  </si>
  <si>
    <t xml:space="preserve">形成一个退役对象的批准方案、执行编排和整体验证结果。</t>
  </si>
  <si>
    <t xml:space="preserve">退役对象、使用方、编排步骤、整体验证</t>
  </si>
  <si>
    <t xml:space="preserve">1 个独立对象；≤2 个使用方；≤5 个编排步骤；无重要数据；可直接恢复</t>
  </si>
  <si>
    <t xml:space="preserve">1 个对象含 3～5 个使用方；6～12 个编排步骤；需协调归档、权限/配置清理、依赖解除和恢复窗口</t>
  </si>
  <si>
    <t xml:space="preserve">1 个对象含 6～10 个使用方或 13～24 个编排步骤；涉及跨系统依赖移除、分阶段退出，或受监管证据、非标准恢复或回滚</t>
  </si>
  <si>
    <t xml:space="preserve">使用方 &gt;10、步骤 &gt;24，包含多个可独立退役对象，或使用方、数据留存、依赖和批准人未明确</t>
  </si>
  <si>
    <t xml:space="preserve">仅新建一次退役整体结果并引用有效起点；独立数据生命周期、权限或资源栈变更使用专用类型且不计入本行规模</t>
  </si>
  <si>
    <t xml:space="preserve">独立版本化和验收的数据生命周期、权限或资源栈变更应使用各自专用类型，并从本行复杂度中排除，不能重复计量。未形成可独立交付和验收的本类型标准交付物时不建 Task。</t>
  </si>
  <si>
    <t xml:space="preserve">交付与移交</t>
  </si>
  <si>
    <t xml:space="preserve">HAND-RUNBOOK</t>
  </si>
  <si>
    <t xml:space="preserve">每个独立运维对象</t>
  </si>
  <si>
    <t xml:space="preserve">可执行的运行、排障、恢复及操作手册</t>
  </si>
  <si>
    <t xml:space="preserve">形成、验证并交付“可执行的运行、排障、恢复及操作手册”所必需的本类型工作；以“每个独立运维对象”为一个 Task 实例。</t>
  </si>
  <si>
    <t xml:space="preserve">超出“每个独立运维对象”边界且可独立交付验收的其他对象。来源未列出更具体的相邻排除项。</t>
  </si>
  <si>
    <t xml:space="preserve">已包含的重复内容不另计；原低基准上调待实绩复核。</t>
  </si>
  <si>
    <t xml:space="preserve">形成可执行的运行、排障、恢复及操作手册并通过验证。</t>
  </si>
  <si>
    <t xml:space="preserve">完成既有手册场景、步骤或责任边界的变更和必要演练验证。</t>
  </si>
  <si>
    <t xml:space="preserve">操作场景、组件、角色、恢复/合规要求</t>
  </si>
  <si>
    <t xml:space="preserve">1 个应用且 ≤3 个场景；单角色；标准部署、监控和回滚说明</t>
  </si>
  <si>
    <t xml:space="preserve">4～8 个相关场景；2～4 个组件；2～3 个角色；含排障、恢复、升级和升级联系</t>
  </si>
  <si>
    <t xml:space="preserve">9～16 个场景、5～8 个紧密相关组件或 4～6 个角色；涉及灾备切换/恢复程序、分支故障树处置，或受监管证据、多方联合交付</t>
  </si>
  <si>
    <t xml:space="preserve">场景 &gt;16、组件 &gt;8、角色 &gt;6，包含多个独立应用/运维对象，或读者、责任边界和可执行验证未明确</t>
  </si>
  <si>
    <t xml:space="preserve">新建看完整手册；调整只看变化章节、场景和必要演练验证</t>
  </si>
  <si>
    <t xml:space="preserve">HAND-KT</t>
  </si>
  <si>
    <t xml:space="preserve">每个独立技术专题 × 一组稳定受众</t>
  </si>
  <si>
    <t xml:space="preserve">受众适配、讲解、演示、实操、问答及确认结果</t>
  </si>
  <si>
    <t xml:space="preserve">形成、验证并交付“受众适配、讲解、演示、实操、问答及确认结果”所必需的本类型工作；以“每个独立技术专题 × 一组稳定受众”为一个 Task 实例。</t>
  </si>
  <si>
    <t xml:space="preserve">超出“每个独立技术专题 × 一组稳定受众”边界且可独立交付验收的其他对象。来源明确排除：可引用已验收的技术参考或 Runbook，本行只计受众适配、会次、演示、实操和确认，不重复计算共享材料。</t>
  </si>
  <si>
    <t xml:space="preserve">新增或替换受众组按新的交接对象计量。可引用已验收的技术参考或 Runbook，本行只计受众适配、会次、演示、实操和确认，不重复计算共享材料。产品操作能力使用 HAND-USER-ENABLEMENT；原低基准上调待实绩复核。</t>
  </si>
  <si>
    <t xml:space="preserve">形成面向一组维护或扩展人员的技术交接实施与确认结果。</t>
  </si>
  <si>
    <t xml:space="preserve">在同一技术专题和同一稳定受众组内，完成既有交接活动的会次、演示、实操或确认范围变更和重新确认。</t>
  </si>
  <si>
    <t xml:space="preserve">主题、受众角色、会次、实操/考核</t>
  </si>
  <si>
    <t xml:space="preserve">1 个主题；1 类受众；1 次讲解；无专门实操</t>
  </si>
  <si>
    <t xml:space="preserve">1 个主题含 2～3 类受众；2～3 次会话；含演示、问答和一次实操</t>
  </si>
  <si>
    <t xml:space="preserve">1 个主题含 4～6 类受众或 4～6 次会话；涉及 Train-the-Trainer、专用实操环境，或正式能力确认</t>
  </si>
  <si>
    <t xml:space="preserve">&gt;6 类受众、&gt;6 次会话，包含多个独立技术主题/受众群体，或交接结果、参加人和确认方式未明确</t>
  </si>
  <si>
    <t xml:space="preserve">新建看本组受众的适配、会次、实操和确认；调整只看这些范围变化；复用技术参考/Runbook 不增加材料复杂度</t>
  </si>
  <si>
    <t xml:space="preserve">HAND-USER-ENABLEMENT</t>
  </si>
  <si>
    <t xml:space="preserve">仅在 HAND-USER-ENABLEMENT 的交付物可独立版本化、部署或验收时分别建 Task；否则相关工作包含在 HAND-KT 的单一交付边界内。</t>
  </si>
  <si>
    <t xml:space="preserve">可引用已验收的技术参考或 Runbook，本行只计受众适配、会次、演示、实操和确认，不重复计算共享材料。未形成可独立交付和验收的本类型标准交付物时不建 Task。</t>
  </si>
  <si>
    <t xml:space="preserve">每个可独立演进的业务对象组</t>
  </si>
  <si>
    <t xml:space="preserve">可独立评审和演进的数据库 Schema、关系、约束、索引、访问层及结构迁移结果</t>
  </si>
  <si>
    <t xml:space="preserve">形成、验证并交付“可独立评审和演进的数据库 Schema、关系、约束、索引、访问层及结构迁移结果”所必需的本类型工作；以“每个可独立演进的业务对象组”为一个 Task 实例。</t>
  </si>
  <si>
    <t xml:space="preserve">超出“每个可独立演进的业务对象组”边界且可独立交付验收的其他对象。来源明确排除：普通函数内部的持久化工作包含在所属功能 Task 中；</t>
  </si>
  <si>
    <t xml:space="preserve">普通函数内部的持久化工作包含在所属功能 Task 中；跨接口或事件共享的业务契约使用 DATA-CONTRACT。</t>
  </si>
  <si>
    <t xml:space="preserve">形成可独立评审、部署和验证的应用存储模型与结构。</t>
  </si>
  <si>
    <t xml:space="preserve">完成既有 Schema、关系、约束、索引或访问层的变更、结构迁移及必要回归。</t>
  </si>
  <si>
    <t xml:space="preserve">业务对象、关系、约束/索引、存储类型、结构演进</t>
  </si>
  <si>
    <t xml:space="preserve">1～2 个对象；≤2 条关系；约束与索引合计 ≤5；单一存储；无需结构迁移</t>
  </si>
  <si>
    <t xml:space="preserve">3～6 个紧密相关对象，或 3～8 条关系，或 6～20 个约束/索引；含访问层及常规结构迁移</t>
  </si>
  <si>
    <t xml:space="preserve">7～12 个紧密相关对象、9～16 条关系或 21～40 个约束/索引；涉及递归层级/图关系、分区/分片路由、时态/双时态模型、异构存储一致写入，或零停机</t>
  </si>
  <si>
    <t xml:space="preserve">对象 &gt;12、关系 &gt;16、约束/索引 &gt;40，包含多个可独立演进的对象组，或目标模型、迁移和兼容边界未明确</t>
  </si>
  <si>
    <t xml:space="preserve">以数据库 Schema、关系、索引和结构迁移为主；跨能力共享数据契约使用 DATA-CONTRACT</t>
  </si>
  <si>
    <t xml:space="preserve">仅在 DATA-CONTRACT 的交付物可独立版本化、部署或验收时分别建 Task；否则相关工作包含在 DATA-MODEL-STORAGE 的单一交付边界内。</t>
  </si>
  <si>
    <t xml:space="preserve">普通函数内部的持久化工作包含在所属功能 Task 中；未形成可独立交付和验收的本类型标准交付物时不建 Task。</t>
  </si>
  <si>
    <t xml:space="preserve">TEST-MANUAL</t>
  </si>
  <si>
    <t xml:space="preserve">人工功能与系统测试</t>
  </si>
  <si>
    <t xml:space="preserve">每个正式测试范围</t>
  </si>
  <si>
    <t xml:space="preserve">可版本化的测试范围、场景、数据、判据及验证结果</t>
  </si>
  <si>
    <t xml:space="preserve">形成、验证并交付“可版本化的测试范围、场景、数据、判据及验证结果”所必需的本类型工作；以“每个正式测试范围”为一个 Task 实例。</t>
  </si>
  <si>
    <t xml:space="preserve">超出“每个正式测试范围”边界且可独立交付验收的其他对象。来源明确排除：场景数只判复杂度，不能人为切行；资产未变化的例行回归、缺陷复测和 UAT 不单列；专项目标优先使用专项 TEST-*。</t>
  </si>
  <si>
    <t xml:space="preserve">场景数只判复杂度，不能人为切行；资产未变化的例行回归、缺陷复测和 UAT 不单列；专项目标优先使用专项 TEST-*。</t>
  </si>
  <si>
    <t xml:space="preserve">形成新的测试范围、场景、数据和判据，执行约定范围并通过验收。</t>
  </si>
  <si>
    <t xml:space="preserve">改变既有测试资产，执行受影响范围并完成验证。</t>
  </si>
  <si>
    <t xml:space="preserve">场景、独立路径/预期、角色、权限/数据维度、环境证据</t>
  </si>
  <si>
    <t xml:space="preserve">≤4 条紧密相关线性场景；≤2 条独立路径/预期；1 个角色；环境和数据稳定</t>
  </si>
  <si>
    <t xml:space="preserve">5～8 条紧密场景，或 3～4 条独立路径/预期，或 2 个角色；含跨模块或专门数据准备</t>
  </si>
  <si>
    <t xml:space="preserve">9～16 条紧密场景、5～8 条路径/预期或 3～4 个角色；涉及权限/数据矩阵，或受限外部环境、受监管证据</t>
  </si>
  <si>
    <t xml:space="preserve">&gt;16 条场景、&gt;8 条独立路径/预期、&gt;4 个角色、多个独立责任方/验收结论，或预期、环境和数据责任未明确</t>
  </si>
  <si>
    <t xml:space="preserve">专项目标优先使用专项 TEST-*；共享路径、夹具和证据从本行剔除。新建看完整新测试资产；调整只看范围、场景、数据和判据变化及必要回归；资产未变化的重复执行不计</t>
  </si>
  <si>
    <t xml:space="preserve">场景数只判复杂度，不能人为切行；资产未变化的例行回归、缺陷复测和 UAT 不单列；专项目标优先使用专项 TEST-*。未形成可独立交付和验收的本类型标准交付物时不建 Task。</t>
  </si>
  <si>
    <t xml:space="preserve">用户培训与能力确认</t>
  </si>
  <si>
    <t xml:space="preserve">每个稳定用户群体 × 一项连贯产品能力</t>
  </si>
  <si>
    <t xml:space="preserve">面向一个用户群体的群体适配、讲解、演示、练习、问答、出席与能力确认结果</t>
  </si>
  <si>
    <t xml:space="preserve">形成、验证并交付“面向一个用户群体的群体适配、讲解、演示、练习、问答、出席与能力确认结果”所必需的本类型工作；以“每个稳定用户群体 × 一项连贯产品能力”为一个 Task 实例。</t>
  </si>
  <si>
    <t xml:space="preserve">超出“每个稳定用户群体 × 一项连贯产品能力”边界且可独立交付验收的其他对象。来源未列出更具体的相邻排除项。</t>
  </si>
  <si>
    <t xml:space="preserve">新增或替换用户群体必须新建实例。可直接引用已验收的 HAND-USER-REFERENCE；本行只计群体适配、会次、演示、练习、问答和确认。无独立培训结果时不建行。不含技术 KT、运维交接、翻译和长期培训运营。</t>
  </si>
  <si>
    <t xml:space="preserve">形成面向明确用户群体和连贯产品能力的培训实施与能力确认结果。</t>
  </si>
  <si>
    <t xml:space="preserve">在同一稳定用户群体和同一产品能力内，完成既有培训活动的会次、演示、练习或确认范围变更、实施和重新确认。</t>
  </si>
  <si>
    <t xml:space="preserve">用户群体、角色、连贯工作流、会次、练习/考核</t>
  </si>
  <si>
    <t xml:space="preserve">1 个用户群体；1 类角色；1 项工作流；1 次讲解；无专门练习环境</t>
  </si>
  <si>
    <t xml:space="preserve">1 个用户群体；2～3 类角色；2～4 项紧密工作流；2 次会话；含演示、练习和群体适配</t>
  </si>
  <si>
    <t xml:space="preserve">1 个用户群体；4～6 类角色、5～8 项紧密工作流或 3～4 次会话；涉及专用练习环境，或正式能力确认</t>
  </si>
  <si>
    <t xml:space="preserve">&gt;6 类角色、&gt;8 项工作流、&gt;4 次会话、多个独立用户群体/产品能力，或参加人、客观合格线/确认结果和责任人未明确</t>
  </si>
  <si>
    <t xml:space="preserve">新建看一个群体的独立能力确认结果；可直接引用 HAND-USER-REFERENCE，本行只计群体适配、会次、练习和确认；普通出席或完成确认不触发 L，调整只看实际变化范围</t>
  </si>
  <si>
    <t xml:space="preserve">HAND-USER-REFERENCE</t>
  </si>
  <si>
    <t xml:space="preserve">仅在 HAND-USER-REFERENCE 的交付物可独立版本化、部署或验收时分别建 Task；否则相关工作包含在 HAND-USER-ENABLEMENT 的单一交付边界内。</t>
  </si>
  <si>
    <t xml:space="preserve">应用级公共技术组件</t>
  </si>
  <si>
    <t xml:space="preserve">每个可独立发布的技术组件或程序库</t>
  </si>
  <si>
    <t xml:space="preserve">稳定接口、可复用实现、版本、说明、示例及独立验证</t>
  </si>
  <si>
    <t xml:space="preserve">形成、验证并交付“稳定接口、可复用实现、版本、说明、示例及独立验证”所必需的本类型工作；以“每个可独立发布的技术组件或程序库”为一个 Task 实例。</t>
  </si>
  <si>
    <t xml:space="preserve">超出“每个可独立发布的技术组件或程序库”边界且可独立交付验收的其他对象。来源明确排除：普通依赖或 SDK 使用包含在所属功能 Task 中；</t>
  </si>
  <si>
    <t xml:space="preserve">普通依赖或 SDK 使用包含在所属功能 Task 中；项目 Wrapper 只有形成新的独立公共技术组件时才按新建计量。界面组件使用 FE-UI-COMPONENT。</t>
  </si>
  <si>
    <t xml:space="preserve">形成可独立发布和版本管理的公共技术组件或程序库。</t>
  </si>
  <si>
    <t xml:space="preserve">完成既有组件公开契约、实现、版本或兼容目标的变更和影响核验。</t>
  </si>
  <si>
    <t xml:space="preserve">公开接口、消费模块、版本/兼容、扩展机制</t>
  </si>
  <si>
    <t xml:space="preserve">1～2 个公开接口；1 个消费模块；无历史版本兼容；标准实现</t>
  </si>
  <si>
    <t xml:space="preserve">3～6 个接口；2～3 个消费模块；含版本管理、示例和基础向后兼容</t>
  </si>
  <si>
    <t xml:space="preserve">7～12 个接口或 4～6 个消费模块；涉及插件扩展、跨应用治理，或严格向后兼容、高敏感数据或权限控制、量化服务目标</t>
  </si>
  <si>
    <t xml:space="preserve">接口 &gt;12、消费模块 &gt;6，包含多个可独立发布的技术组件/程序库，或公共技术平台能力未拆分</t>
  </si>
  <si>
    <t xml:space="preserve">新建看完整独立组件；调整只看公开契约、实现、版本和受影响消费方；普通依赖/SDK 消费不建本类型 Task</t>
  </si>
  <si>
    <t xml:space="preserve">仅在 FE-UI-COMPONENT 的交付物可独立版本化、部署或验收时分别建 Task；否则相关工作包含在 CO-TECH-COMPONENT 的单一交付边界内。</t>
  </si>
  <si>
    <t xml:space="preserve">普通依赖或 SDK 使用包含在所属功能 Task 中；未形成可独立交付和验收的本类型标准交付物时不建 Task。</t>
  </si>
  <si>
    <t xml:space="preserve">FE-RULE-WORKFLOW</t>
  </si>
  <si>
    <t xml:space="preserve">业务规则与流程配置</t>
  </si>
  <si>
    <t xml:space="preserve">每个可独立版本化的业务规则集或工作流</t>
  </si>
  <si>
    <t xml:space="preserve">在既有规则/流程引擎中可发布、回退并验收的决策表、规则优先级/冲突处置，或步骤、状态和角色配置</t>
  </si>
  <si>
    <t xml:space="preserve">形成、验证并交付“在既有规则/流程引擎中可发布、回退并验收的决策表、规则优先级/冲突处置，或步骤、状态和角色配置”所必需的本类型工作；以“每个可独立版本化的业务规则集或工作流”为一个 Task 实例。</t>
  </si>
  <si>
    <t xml:space="preserve">超出“每个可独立版本化的业务规则集或工作流”边界且可独立交付验收的其他对象。来源未列出更具体的相邻排除项。</t>
  </si>
  <si>
    <t xml:space="preserve">适用于无状态决策表以及低代码/SaaS/规则引擎流程；自定义用户交互页面使用 FE-FLOW，内部常量或技术开关使用 CO-CONFIG。底层引擎既有不改变本对象的新建模式。</t>
  </si>
  <si>
    <t xml:space="preserve">形成一套可独立发布、回退和验收的业务规则集或工作流配置。</t>
  </si>
  <si>
    <t xml:space="preserve">完成既有规则集或工作流的输入输出、规则、优先级、步骤、状态、角色或回退配置变更和回归。</t>
  </si>
  <si>
    <t xml:space="preserve">配置形态、规则、输入输出、优先级/冲突、步骤、状态、角色</t>
  </si>
  <si>
    <t xml:space="preserve">1 个规则集或工作流；≤5 条规则；无状态规则集时 ≤5 个输入且 1 个输出；工作流时 1～3 个步骤且 ≤3 个状态；1 个角色</t>
  </si>
  <si>
    <t xml:space="preserve">6～20 条规则；无状态规则集时 6～20 个输入或 2～3 个输出；工作流时 4～8 个步骤或 4～8 个状态；2～3 个角色；含规则优先级/冲突处置或标准回退</t>
  </si>
  <si>
    <t xml:space="preserve">21～40 条规则、21～40 个输入、4～6 个输出、9～16 个步骤、9～16 个状态或 4～6 个角色；涉及动态路由、职责分离、并行会签，或非标准恢复或回滚</t>
  </si>
  <si>
    <t xml:space="preserve">超过任一 L 上界，包含多个可独立决策的规则集或可独立启动/完成的工作流，或业务结果、输入输出、责任方和回退条件未明确</t>
  </si>
  <si>
    <t xml:space="preserve">新建看完整可发布规则集/流程配置；调整只看变化输入输出、规则、步骤、状态、角色及必要回归；底层引擎既有不改变本对象的新建模式</t>
  </si>
  <si>
    <t xml:space="preserve">CO-CONFIG,FE-FLOW</t>
  </si>
  <si>
    <t xml:space="preserve">仅在 CO-CONFIG, FE-FLOW 的交付物可独立版本化、部署或验收时分别建 Task；否则相关工作包含在 FE-RULE-WORKFLOW 的单一交付边界内。</t>
  </si>
  <si>
    <t xml:space="preserve">HAND-TECH-REFERENCE</t>
  </si>
  <si>
    <t xml:space="preserve">技术参考与开发者文档</t>
  </si>
  <si>
    <t xml:space="preserve">每套可独立版本化的技术参考</t>
  </si>
  <si>
    <t xml:space="preserve">API/集成指南、开发者参考、现状架构说明、示例和版本记录</t>
  </si>
  <si>
    <t xml:space="preserve">形成、验证并交付“API/集成指南、开发者参考、现状架构说明、示例和版本记录”所必需的本类型工作；以“每套可独立版本化的技术参考”为一个 Task 实例。</t>
  </si>
  <si>
    <t xml:space="preserve">超出“每套可独立版本化的技术参考”边界且可独立交付验收的其他对象。来源明确排除：其他 Task 内部必要说明不单列；</t>
  </si>
  <si>
    <t xml:space="preserve">其他 Task 内部必要说明不单列；只有合同明确购买且可独立验收的技术参考成果使用本类型。培训活动用 HAND-KT，运维程序用 HAND-RUNBOOK。</t>
  </si>
  <si>
    <t xml:space="preserve">形成可独立查阅、版本化并通过技术审查的参考资料。</t>
  </si>
  <si>
    <t xml:space="preserve">完成既有参考资料的接口、架构、示例或版本范围变更和准确性复核。</t>
  </si>
  <si>
    <t xml:space="preserve">技术主题、接口/组件、架构视图、读者角色</t>
  </si>
  <si>
    <t xml:space="preserve">1 个主题；≤5 个接口/组件；≤2 个视图；1 类读者</t>
  </si>
  <si>
    <t xml:space="preserve">2～4 个紧密主题，或 6～20 个接口/组件，或 3～6 个视图；2～3 类读者；含示例和版本说明</t>
  </si>
  <si>
    <t xml:space="preserve">5～8 个主题、21～40 个接口/组件、7～12 个视图或 4～6 类读者；涉及跨组织发布，或严格向后兼容、受监管证据</t>
  </si>
  <si>
    <t xml:space="preserve">主题 &gt;8、接口/组件 &gt;40、视图 &gt;12、读者 &gt;6，包含多个可独立发布的产品/参考集，或读者、版本、事实来源和批准人未明确</t>
  </si>
  <si>
    <t xml:space="preserve">新建看完整独立参考；调整只看变化接口、架构、示例、版本和受影响章节；普通内嵌说明不单列</t>
  </si>
  <si>
    <t xml:space="preserve">HAND-KT,HAND-RUNBOOK</t>
  </si>
  <si>
    <t xml:space="preserve">仅在 HAND-KT, HAND-RUNBOOK 的交付物可独立版本化、部署或验收时分别建 Task；否则相关工作包含在 HAND-TECH-REFERENCE 的单一交付边界内。</t>
  </si>
  <si>
    <t xml:space="preserve">其他 Task 内部必要说明不单列；未形成可独立交付和验收的本类型标准交付物时不建 Task。</t>
  </si>
  <si>
    <t xml:space="preserve">用户使用参考与帮助文档</t>
  </si>
  <si>
    <t xml:space="preserve">每套面向明确用户群体、覆盖一项连贯产品能力且可独立版本化的用户参考</t>
  </si>
  <si>
    <t xml:space="preserve">可独立发布、版本化和验收的用户指南、管理员操作指南、在线帮助或快速参考，包含适用版本、角色边界、操作步骤、异常提示、示例及批准记录</t>
  </si>
  <si>
    <t xml:space="preserve">形成、验证并交付“可独立发布、版本化和验收的用户指南、管理员操作指南、在线帮助或快速参考，包含适用版本、角色边界、操作步骤、异常提示、示例及批准记录”所必需的本类型工作；以“每套面向明确用户群体、覆盖一项连贯产品能力且可独立版本化的用户参考”为一个 Task 实例。</t>
  </si>
  <si>
    <t xml:space="preserve">超出“每套面向明确用户群体、覆盖一项连贯产品能力且可独立版本化的用户参考”边界且可独立交付验收的其他对象。来源明确排除：功能 Task 内的少量内嵌帮助不单列；</t>
  </si>
  <si>
    <t xml:space="preserve">直接引用或分发既有资料不建 Task；基于共享资料形成新的独立版本时使用新建。功能 Task 内的少量内嵌帮助不单列；翻译/语审和长期内容运营不在本表。培训活动使用 HAND-USER-ENABLEMENT。</t>
  </si>
  <si>
    <t xml:space="preserve">形成一套可独立发布的用户参考，明确目标用户、适用产品版本和能力范围，完成内容准确性、操作可执行性、链接/截图有效性和发布载体验证。</t>
  </si>
  <si>
    <t xml:space="preserve">点名既有用户参考及版本，更新受功能、角色、步骤、界面或异常路径变化影响的内容，并复核受影响章节、链接、截图和操作结果。</t>
  </si>
  <si>
    <t xml:space="preserve">连贯工作流、读者角色、主题、发布载体</t>
  </si>
  <si>
    <t xml:space="preserve">1 项工作流；1 类角色；≤5 个主题；1 种发布载体</t>
  </si>
  <si>
    <t xml:space="preserve">2～3 项紧密工作流，或 2 类角色，或 6～12 个主题，或 2 种相关发布载体；含步骤、异常和示例</t>
  </si>
  <si>
    <t xml:space="preserve">4～6 项紧密工作流、3～4 类角色、13～24 个主题或 3 种发布载体；涉及多版本分支、按角色条件呈现、离线/在线内容同步，或严格向后兼容、受监管证据</t>
  </si>
  <si>
    <t xml:space="preserve">工作流 &gt;6、角色 &gt;4、主题 &gt;24、载体 &gt;3，包含多套可独立发布的参考，或目标用户、适用版本、事实来源和批准人未明确</t>
  </si>
  <si>
    <t xml:space="preserve">新建看完整独立用户参考；调整只看受功能、角色、步骤、界面或异常路径变化影响的章节、链接、截图和操作验证；培训活动另用 HAND-USER-ENABLEMENT</t>
  </si>
  <si>
    <t xml:space="preserve">仅在 HAND-USER-ENABLEMENT 的交付物可独立版本化、部署或验收时分别建 Task；否则相关工作包含在 HAND-USER-REFERENCE 的单一交付边界内。</t>
  </si>
  <si>
    <t xml:space="preserve">功能 Task 内的少量内嵌帮助不单列；未形成可独立交付和验收的本类型标准交付物时不建 Task。</t>
  </si>
  <si>
    <t xml:space="preserve">智能研发工程化</t>
  </si>
  <si>
    <t xml:space="preserve">ENG-AI4SE-EXTENSION</t>
  </si>
  <si>
    <t xml:space="preserve">智能研发工具扩展建设</t>
  </si>
  <si>
    <t xml:space="preserve">每个可独立安装和版本化的扩展</t>
  </si>
  <si>
    <t xml:space="preserve">可独立安装、启停和验证的 Plugin、MCP/工具适配器、Hook 或命令扩展</t>
  </si>
  <si>
    <t xml:space="preserve">形成、验证并交付“可独立安装、启停和验证的 Plugin、MCP/工具适配器、Hook 或命令扩展”所必需的本类型工作；以“每个可独立安装和版本化的扩展”为一个 Task 实例。</t>
  </si>
  <si>
    <t xml:space="preserve">超出“每个可独立安装和版本化的扩展”边界且可独立交付验收的其他对象。来源明确排除：标准安装、启用或普通调用不计；公司 AI 平台和 Harness 自带能力不属于本类型。Plugin 只是 Skill 的包装且没有独立运行能力时不重复计量；</t>
  </si>
  <si>
    <t xml:space="preserve">标准安装、启用或普通调用不计；公司 AI 平台和 Harness 自带能力不属于本类型。Plugin 只是 Skill 的包装且没有独立运行能力时不重复计量；通用程序库使用 CO-TECH-COMPONENT，跨系统业务交互使用 IN-INTEGRATION。</t>
  </si>
  <si>
    <t xml:space="preserve">形成可独立安装、版本化和验证的智能研发工具扩展。</t>
  </si>
  <si>
    <t xml:space="preserve">完成既有扩展入口、工具契约、Hook、兼容范围或运行行为的变更和回归。</t>
  </si>
  <si>
    <t xml:space="preserve">既有扩展保持不变，形成可独立验收的项目注册、参数映射、工具授权、兼容配置和专项验证结果。</t>
  </si>
  <si>
    <t xml:space="preserve">工具/命令入口、目标研发系统、Hook/事件点、宿主兼容范围</t>
  </si>
  <si>
    <t xml:space="preserve">1～2 个入口；1 个目标研发系统；≤1 个 Hook/事件点；单一宿主和标准协议</t>
  </si>
  <si>
    <t xml:space="preserve">3～8 个相关入口；2～3 个目标研发系统；2～4 个 Hook/事件点；含配置、错误处理、版本和基础兼容</t>
  </si>
  <si>
    <t xml:space="preserve">9～16 个入口、4～6 个目标研发系统或 5～8 个 Hook/事件点；涉及多宿主兼容、长任务状态恢复、流式双向交互、严格向后兼容，或高敏感代码与工具权限控制</t>
  </si>
  <si>
    <t xml:space="preserve">入口 &gt;16、目标研发系统 &gt;6、Hook/事件点 &gt;8，包含多个可独立安装的扩展，或工具契约、权限和失败语义未明确</t>
  </si>
  <si>
    <t xml:space="preserve">新建看完整扩展；调整只看入口、契约、Hook、兼容范围变化及必要回归；接入复用只看项目注册、参数映射、工具授权、兼容配置和专项验证，标准安装或普通调用不计</t>
  </si>
  <si>
    <t xml:space="preserve">CO-TECH-COMPONENT,IN-INTEGRATION</t>
  </si>
  <si>
    <t xml:space="preserve">仅在 CO-TECH-COMPONENT, IN-INTEGRATION 的交付物可独立版本化、部署或验收时分别建 Task；否则相关工作包含在 ENG-AI4SE-EXTENSION 的单一交付边界内。</t>
  </si>
  <si>
    <t xml:space="preserve">标准安装、启用或普通调用不计；公司 AI 平台和 Harness 自带能力不属于本类型。Plugin 只是 Skill 的包装且没有独立运行能力时不重复计量；未形成可独立交付和验收的本类型标准交付物时不建 Task。</t>
  </si>
  <si>
    <t xml:space="preserve">ENG-AI4SE-SKILL</t>
  </si>
  <si>
    <t xml:space="preserve">智能研发技能资产建设</t>
  </si>
  <si>
    <t xml:space="preserve">每项可独立触发和验收的研发职责</t>
  </si>
  <si>
    <t xml:space="preserve">具有明确触发条件、输入输出、执行规则、边界、示例和验证结果的 Skill 或 Agent 研发职责</t>
  </si>
  <si>
    <t xml:space="preserve">形成、验证并交付“具有明确触发条件、输入输出、执行规则、边界、示例和验证结果的 Skill 或 Agent 研发职责”所必需的本类型工作；以“每项可独立触发和验收的研发职责”为一个 Task 实例。</t>
  </si>
  <si>
    <t xml:space="preserve">超出“每项可独立触发和验收的研发职责”边界且可独立交付验收的其他对象。来源明确排除：临时提示词、普通 Agent 使用和直接安装现成 Skill 不计；</t>
  </si>
  <si>
    <t xml:space="preserve">临时提示词、普通 Agent 使用和直接安装现成 Skill 不计；面向人的技术文档使用 HAND-TECH-REFERENCE，多个技能之间的执行编排使用 ENG-AI4SE-WORKFLOW。</t>
  </si>
  <si>
    <t xml:space="preserve">形成一项可独立触发、执行、复核和版本化的智能研发技能资产。</t>
  </si>
  <si>
    <t xml:space="preserve">完成既有技能的触发、输入输出、步骤、规则、边界或验证资产变更和回归。</t>
  </si>
  <si>
    <t xml:space="preserve">既有技能保持不变，形成可独立验收的项目参数、适用范围、上下文绑定、限制条件和专项验证结果。</t>
  </si>
  <si>
    <t xml:space="preserve">适用场景、触发条件、输入输出、规则/分支、工具或参考依赖</t>
  </si>
  <si>
    <t xml:space="preserve">1 个场景；1 个触发条件；输入输出类型合计 ≤3；≤5 条规则；不调用外部工具</t>
  </si>
  <si>
    <t xml:space="preserve">2～4 个紧密相关场景；2～4 个触发条件；输入输出类型合计 4～8；6～15 条规则；1～3 个工具或参考依赖；含示例和验证</t>
  </si>
  <si>
    <t xml:space="preserve">5～8 个紧密相关场景、5～8 个触发条件、输入输出类型合计 9～16 或 16～30 条规则；涉及多阶段批准、证据闭环、异常恢复、跨代码库操作，或 4～6 个工具/参考依赖</t>
  </si>
  <si>
    <t xml:space="preserve">场景 &gt;8、触发条件 &gt;8、输入输出类型 &gt;16、规则 &gt;30、工具/参考依赖 &gt;6，包含多个独立研发职责，或触发、结果和停止条件未明确</t>
  </si>
  <si>
    <t xml:space="preserve">新建看完整技能资产；调整只看触发、输入输出、步骤、规则、边界和验证变化；接入复用只看项目参数、适用范围、上下文绑定、限制条件和专项验证，临时提示或直接安装不计</t>
  </si>
  <si>
    <t xml:space="preserve">ENG-AI4SE-WORKFLOW,HAND-TECH-REFERENCE</t>
  </si>
  <si>
    <t xml:space="preserve">仅在 ENG-AI4SE-WORKFLOW, HAND-TECH-REFERENCE 的交付物可独立版本化、部署或验收时分别建 Task；否则相关工作包含在 ENG-AI4SE-SKILL 的单一交付边界内。</t>
  </si>
  <si>
    <t xml:space="preserve">临时提示词、普通 Agent 使用和直接安装现成 Skill 不计；未形成可独立交付和验收的本类型标准交付物时不建 Task。</t>
  </si>
  <si>
    <t xml:space="preserve">ENG-AI4SE-CONTEXT</t>
  </si>
  <si>
    <t xml:space="preserve">研发知识与项目上下文建设</t>
  </si>
  <si>
    <t xml:space="preserve">每个可独立维护的研发知识域或项目上下文</t>
  </si>
  <si>
    <t xml:space="preserve">可由研发 Agent 使用、更新和验证的代码与文档知识、索引、关系、上下文规则和访问边界</t>
  </si>
  <si>
    <t xml:space="preserve">形成、验证并交付“可由研发 Agent 使用、更新和验证的代码与文档知识、索引、关系、上下文规则和访问边界”所必需的本类型工作；以“每个可独立维护的研发知识域或项目上下文”为一个 Task 实例。</t>
  </si>
  <si>
    <t xml:space="preserve">超出“每个可独立维护的研发知识域或项目上下文”边界且可独立交付验收的其他对象。来源明确排除：公司通用知识平台不计；直接打开代码库或引用现成文档不计。</t>
  </si>
  <si>
    <t xml:space="preserve">公司通用知识平台不计；直接打开代码库或引用现成文档不计。面向人的参考文档使用 HAND-TECH-REFERENCE，企业数据目录与血缘治理使用 DATA-CATALOG。</t>
  </si>
  <si>
    <t xml:space="preserve">形成一个可独立维护、更新和验证的研发知识域或项目上下文。</t>
  </si>
  <si>
    <t xml:space="preserve">完成既有上下文的来源、索引、关系、规则、权限或更新机制变更和回归。</t>
  </si>
  <si>
    <t xml:space="preserve">既有知识或上下文资产保持不变，形成可独立验收的项目绑定、范围过滤、权限配置和专项验证结果。</t>
  </si>
  <si>
    <t xml:space="preserve">代码库/来源、来源类型、内容格式、索引关系、访问与更新方式</t>
  </si>
  <si>
    <t xml:space="preserve">1 个代码库或来源组；≤2 类来源；≤2 种格式；单一访问范围；手工或固定刷新</t>
  </si>
  <si>
    <t xml:space="preserve">2～3 个相关代码库；3～5 类来源；3～5 种格式；含语义或结构索引、2～3 个访问范围和增量更新</t>
  </si>
  <si>
    <t xml:space="preserve">4～6 个相关代码库、6～10 类来源或 6～8 种格式；涉及跨代码库代码—文档关系、细粒度权限过滤、持续更新与失效处理，或高敏感代码</t>
  </si>
  <si>
    <t xml:space="preserve">代码库 &gt;6、来源类型 &gt;10、格式 &gt;8，包含多个无关研发知识域，或来源责任、时效、访问边界和验证方法未明确</t>
  </si>
  <si>
    <t xml:space="preserve">新建看完整研发知识域或上下文；调整只看来源、索引、关系、规则、权限和更新机制变化；接入复用只看项目绑定、范围过滤、权限配置和专项验证，直接打开代码库或引用文档不计</t>
  </si>
  <si>
    <t xml:space="preserve">DATA-CATALOG,HAND-TECH-REFERENCE</t>
  </si>
  <si>
    <t xml:space="preserve">仅在 DATA-CATALOG, HAND-TECH-REFERENCE 的交付物可独立版本化、部署或验收时分别建 Task；否则相关工作包含在 ENG-AI4SE-CONTEXT 的单一交付边界内。</t>
  </si>
  <si>
    <t xml:space="preserve">公司通用知识平台不计；直接打开代码库或引用现成文档不计。未形成可独立交付和验收的本类型标准交付物时不建 Task。</t>
  </si>
  <si>
    <t xml:space="preserve">ENG-AI4SE-WORKFLOW</t>
  </si>
  <si>
    <t xml:space="preserve">智能研发流程能力建设</t>
  </si>
  <si>
    <t xml:space="preserve">每条可独立启动和验收的智能研发流程</t>
  </si>
  <si>
    <t xml:space="preserve">可版本化的触发、步骤、Agent/Skill 与工具编排、人工门禁、异常恢复和研发交付结果</t>
  </si>
  <si>
    <t xml:space="preserve">形成、验证并交付“可版本化的触发、步骤、Agent/Skill 与工具编排、人工门禁、异常恢复和研发交付结果”所必需的本类型工作；以“每条可独立启动和验收的智能研发流程”为一个 Task 实例。</t>
  </si>
  <si>
    <t xml:space="preserve">超出“每条可独立启动和验收的智能研发流程”边界且可独立交付验收的其他对象。来源明确排除：普通使用 Agent 完成开发不计。</t>
  </si>
  <si>
    <t xml:space="preserve">必须至少包含一项由 Agent 或 Skill 完成的研发判断、生成或操作；普通使用 Agent 完成开发不计。CI/CD 或纯确定性自动化使用 ENG-PIPELINE，确定性业务流程使用 FE-RULE-WORKFLOW，面向业务用户的智能流程使用 AI-WORKFLOW。</t>
  </si>
  <si>
    <t xml:space="preserve">形成可独立启动、回退、复核和验收的智能研发流程。</t>
  </si>
  <si>
    <t xml:space="preserve">完成既有流程的触发、步骤、Agent/Skill 与工具调用、分支、人工门禁或恢复规则变更和回归。</t>
  </si>
  <si>
    <t xml:space="preserve">既有流程模板保持不变，形成可独立验收的项目触发、代码库/工具绑定、审批配置和端到端验证结果。</t>
  </si>
  <si>
    <t xml:space="preserve">流程步骤、Agent/Skill 与工具、分支、人工门禁、交付物与恢复</t>
  </si>
  <si>
    <t xml:space="preserve">≤3 个步骤；Agent/Skill 与工具合计 1 项；单一路径；≤1 个人工确认；1 种交付物</t>
  </si>
  <si>
    <t xml:space="preserve">4～8 个步骤；Agent/Skill 与工具合计 2～4 项；2～4 条分支；1～2 个人工门禁；含交付物留存和标准失败处置</t>
  </si>
  <si>
    <t xml:space="preserve">9～15 个步骤、Agent/Skill 与工具合计 5～8 项或 5～8 条分支；涉及 3～4 个人工门禁、跨代码库变更、状态恢复、晋级/回退或多方联合交付</t>
  </si>
  <si>
    <t xml:space="preserve">步骤 &gt;15、Agent/Skill 与工具合计 &gt;8、分支 &gt;8、人工门禁 &gt;4，包含多个可独立启动和验收的研发流程，或触发、结束条件、责任和失败处置未明确</t>
  </si>
  <si>
    <t xml:space="preserve">至少一项能力必须由 Agent 或 Skill 完成。新建看完整研发流程；调整只看步骤、调用、分支、门禁和恢复变化；接入复用只看项目触发、代码库/工具绑定、审批配置和端到端验证，普通 Agent 使用不计</t>
  </si>
  <si>
    <t xml:space="preserve">AI-WORKFLOW,ENG-PIPELINE,FE-RULE-WORKFLOW</t>
  </si>
  <si>
    <t xml:space="preserve">仅在 AI-WORKFLOW, ENG-PIPELINE, FE-RULE-WORKFLOW 的交付物可独立版本化、部署或验收时分别建 Task；否则相关工作包含在 ENG-AI4SE-WORKFLOW 的单一交付边界内。</t>
  </si>
  <si>
    <t xml:space="preserve">普通使用 Agent 完成开发不计。未形成可独立交付和验收的本类型标准交付物时不建 Task。</t>
  </si>
  <si>
    <t xml:space="preserve">智能系统</t>
  </si>
  <si>
    <t xml:space="preserve">AI-CAPABILITY</t>
  </si>
  <si>
    <t xml:space="preserve">智能业务能力实现</t>
  </si>
  <si>
    <t xml:space="preserve">每个可独立调用和验收的智能业务结果</t>
  </si>
  <si>
    <t xml:space="preserve">面向业务场景的智能生成、总结、分类、提取、推荐或判断结果，以及必要的规则、回退和人工确认</t>
  </si>
  <si>
    <t xml:space="preserve">形成、验证并交付“面向业务场景的智能生成、总结、分类、提取、推荐或判断结果，以及必要的规则、回退和人工确认”所必需的本类型工作；以“每个可独立调用和验收的智能业务结果”为一个 Task 实例。</t>
  </si>
  <si>
    <t xml:space="preserve">超出“每个可独立调用和验收的智能业务结果”边界且可独立交付验收的其他对象。来源明确排除：基础模型、模型网关和标准调用由公司 AI 平台提供，不单列；单次模型调用及必要提示包含在本类型。跨系统业务集成、用户页面、持久化和正式评测只有形成独立结果时才使用对应专用类型。</t>
  </si>
  <si>
    <t xml:space="preserve">基础模型、模型网关和标准调用由公司 AI 平台提供，不单列；单次模型调用及必要提示包含在本类型。跨系统业务集成、用户页面、持久化和正式评测只有形成独立结果时才使用对应专用类型。</t>
  </si>
  <si>
    <t xml:space="preserve">形成一个可独立调用、追踪和验收的智能业务结果。</t>
  </si>
  <si>
    <t xml:space="preserve">完成既有智能业务能力的输入输出、业务规则、结果约束、回退或人工确认机制变更和回归。</t>
  </si>
  <si>
    <t xml:space="preserve">输入输出形态、业务规则、角色、回退与人工确认</t>
  </si>
  <si>
    <t xml:space="preserve">1 种输入和 1 种输出；≤3 条业务规则；1 个角色；固定回退且无需人工确认</t>
  </si>
  <si>
    <t xml:space="preserve">输入输出形态合计 3～6 种；4～10 条规则；2～3 个角色；含人工确认、纠正或结果回退</t>
  </si>
  <si>
    <t xml:space="preserve">输入输出形态合计 7～12 种、11～20 条规则或 4～6 个角色；涉及证据解释、高敏感业务判断、多级人工处置、动态结果约束，或受监管证据</t>
  </si>
  <si>
    <t xml:space="preserve">输入输出形态 &gt;12、规则 &gt;20、角色 &gt;6，包含多个可独立调用和验收的智能业务结果，或允许结果、责任和回退条件未明确</t>
  </si>
  <si>
    <t xml:space="preserve">新建看完整智能业务结果；调整只看输入输出、规则、角色、回退和必要回归；公司 AI 平台和基础模型不计，单次调用及必要提示包含在本行，普通使用既有能力不创建复用 Task</t>
  </si>
  <si>
    <t xml:space="preserve">基础模型、模型网关和标准调用由公司 AI 平台提供，不单列；单次模型调用及必要提示包含在本类型。跨系统业务集成、用户页面、持久化和正式评测只有形成独立结果时才使用对应专用类型。未形成可独立交付和验收的本类型标准交付物时不建 Task。</t>
  </si>
  <si>
    <t xml:space="preserve">AI-KNOWLEDGE</t>
  </si>
  <si>
    <t xml:space="preserve">智能知识检索与依据引用</t>
  </si>
  <si>
    <t xml:space="preserve">每个可独立维护和验收的业务知识域</t>
  </si>
  <si>
    <t xml:space="preserve">可更新、可按权限检索并可验证依据引用的业务知识处理与检索结果</t>
  </si>
  <si>
    <t xml:space="preserve">形成、验证并交付“可更新、可按权限检索并可验证依据引用的业务知识处理与检索结果”所必需的本类型工作；以“每个可独立维护和验收的业务知识域”为一个 Task 实例。</t>
  </si>
  <si>
    <t xml:space="preserve">超出“每个可独立维护和验收的业务知识域”边界且可独立交付验收的其他对象。来源明确排除：知识检索只是某项智能能力内部实现且不能独立验收时包含在 AI-CAPABILITY 或 AI-WORKFLOW 中。</t>
  </si>
  <si>
    <t xml:space="preserve">底层知识平台既有不改变本知识域的新建模式；知识检索只是某项智能能力内部实现且不能独立验收时包含在 AI-CAPABILITY 或 AI-WORKFLOW 中。研发知识与代码上下文使用 ENG-AI4SE-CONTEXT。</t>
  </si>
  <si>
    <t xml:space="preserve">形成一个可独立维护、检索、引用和验收的业务知识域。</t>
  </si>
  <si>
    <t xml:space="preserve">完成既有知识域的来源、解析、索引、检索、排序、权限过滤、引用或更新机制变更和回归。</t>
  </si>
  <si>
    <t xml:space="preserve">知识来源、内容格式、检索/排序方式、权限范围、引用与更新</t>
  </si>
  <si>
    <t xml:space="preserve">1 个来源；≤2 种格式；单一检索方式；单一权限范围；固定引用和手工更新</t>
  </si>
  <si>
    <t xml:space="preserve">2～5 个相关来源；3～5 种格式；含混合检索或重排、元数据过滤、依据引用、2～3 个权限范围和增量更新</t>
  </si>
  <si>
    <t xml:space="preserve">6～10 个相关来源或 6～8 种格式；涉及跨来源多步检索、细粒度权限过滤、引用一致性验证、持续更新与失效处理，或高敏感知识</t>
  </si>
  <si>
    <t xml:space="preserve">来源 &gt;10、格式 &gt;8，包含多个独立业务知识域，或来源授权、知识时效、检索判据、权限和引用责任未明确</t>
  </si>
  <si>
    <t xml:space="preserve">新建看完整业务知识域；调整只看来源、解析、索引、检索、排序、权限、引用和更新变化；底层平台既有不改变模式，不能独立验收的内部检索包含在 AI-CAPABILITY 或 AI-WORKFLOW</t>
  </si>
  <si>
    <t xml:space="preserve">AI-CAPABILITY,AI-WORKFLOW,ENG-AI4SE-CONTEXT</t>
  </si>
  <si>
    <t xml:space="preserve">仅在 AI-CAPABILITY, AI-WORKFLOW, ENG-AI4SE-CONTEXT 的交付物可独立版本化、部署或验收时分别建 Task；否则相关工作包含在 AI-KNOWLEDGE 的单一交付边界内。</t>
  </si>
  <si>
    <t xml:space="preserve">知识检索只是某项智能能力内部实现且不能独立验收时包含在 AI-CAPABILITY 或 AI-WORKFLOW 中。未形成可独立交付和验收的本类型标准交付物时不建 Task。</t>
  </si>
  <si>
    <t xml:space="preserve">AI-WORKFLOW</t>
  </si>
  <si>
    <t xml:space="preserve">智能业务流程编排与控制</t>
  </si>
  <si>
    <t xml:space="preserve">每个可独立启动和验收的智能业务流程</t>
  </si>
  <si>
    <t xml:space="preserve">可版本化的步骤、智能能力/工具调用、结果与防护分支、人工节点、状态恢复和可追踪业务结果</t>
  </si>
  <si>
    <t xml:space="preserve">形成、验证并交付“可版本化的步骤、智能能力/工具调用、结果与防护分支、人工节点、状态恢复和可追踪业务结果”所必需的本类型工作；以“每个可独立启动和验收的智能业务流程”为一个 Task 实例。</t>
  </si>
  <si>
    <t xml:space="preserve">超出“每个可独立启动和验收的智能业务流程”边界且可独立交付验收的其他对象。来源未列出更具体的相邻排除项。</t>
  </si>
  <si>
    <t xml:space="preserve">本类型拥有业务流程编排与结果控制；单一智能结果使用 AI-CAPABILITY，独立业务知识域使用 AI-KNOWLEDGE，跨系统认证/连接/映射用 IN-*，资源或数据允许/拒绝用 GOV-*，正式评测用 AI-EVALUATION。公司 AI 平台既有不改变本流程的新建模式。</t>
  </si>
  <si>
    <t xml:space="preserve">形成可独立启动、运行、回退和验收的智能业务流程。</t>
  </si>
  <si>
    <t xml:space="preserve">改变既有流程的步骤、智能能力/工具调用、分支、防护、人工节点或恢复契约，并完成受影响路径回归。</t>
  </si>
  <si>
    <t xml:space="preserve">流程步骤、智能能力与工具、结果分支、人工节点、状态恢复</t>
  </si>
  <si>
    <t xml:space="preserve">≤3 个步骤；智能能力与工具合计 1 项且必须为智能能力；单一路径；固定回退</t>
  </si>
  <si>
    <t xml:space="preserve">4～8 个步骤；智能能力与工具合计 2～3 项且至少 1 项为智能能力；2～4 条分支；1 个人工节点；含追踪、超时和回退</t>
  </si>
  <si>
    <t xml:space="preserve">9～15 个步骤、智能能力与工具合计 4～6 项或 5～8 条分支；至少 1 项为智能能力，并涉及多级人工审批、跨系统状态恢复、动态规划、检索证据约束，或高敏感数据、受监管证据、量化服务目标</t>
  </si>
  <si>
    <t xml:space="preserve">步骤 &gt;15、智能能力与工具合计 &gt;6、分支 &gt;8，包含多个可独立启动和验收的智能业务流程，或允许结果、状态、回退和责任未明确</t>
  </si>
  <si>
    <t xml:space="preserve">新建看完整业务流程；调整只看步骤、调用、分支、人工节点、恢复和必要回归；单一智能结果使用 AI-CAPABILITY，不能独立验收的知识检索包含在本行，公司 AI 平台既有不改变模式</t>
  </si>
  <si>
    <t xml:space="preserve">AI-CAPABILITY,AI-EVALUATION,AI-KNOWLEDGE</t>
  </si>
  <si>
    <t xml:space="preserve">仅在 AI-CAPABILITY, AI-EVALUATION, AI-KNOWLEDGE 的交付物可独立版本化、部署或验收时分别建 Task；否则相关工作包含在 AI-WORKFLOW 的单一交付边界内。</t>
  </si>
  <si>
    <t xml:space="preserve">AI-EVALUATION</t>
  </si>
  <si>
    <t xml:space="preserve">智能能力质量与安全评测</t>
  </si>
  <si>
    <t xml:space="preserve">每个独立评测目标</t>
  </si>
  <si>
    <t xml:space="preserve">可版本化的评测集、指标、判据、执行资产及智能能力、业务流程或 AI4SE 资产的质量与行为安全结论</t>
  </si>
  <si>
    <t xml:space="preserve">形成、验证并交付“可版本化的评测集、指标、判据、执行资产及智能能力、业务流程或 AI4SE 资产的质量与行为安全结论”所必需的本类型工作；以“每个独立评测目标”为一个 Task 实例。</t>
  </si>
  <si>
    <t xml:space="preserve">超出“每个独立评测目标”边界且可独立交付验收的其他对象。来源明确排除：资产未变化的周期性重复评测不单列。确定性功能测试和应用信息安全验证使用对应 TEST-*；</t>
  </si>
  <si>
    <t xml:space="preserve">适用于智能业务能力、智能知识、智能流程或 AI4SE 资产的离线质量与行为安全评测；资产未变化的周期性重复评测不单列。确定性功能测试和应用信息安全验证使用对应 TEST-*；线上长期监控用 ENG-OBSERVABILITY / ENG-ALERT。</t>
  </si>
  <si>
    <t xml:space="preserve">形成新的评测目标、样本、指标和判据，完成执行并通过验收。</t>
  </si>
  <si>
    <t xml:space="preserve">改变既有评测资产，执行受影响范围并完成验证。</t>
  </si>
  <si>
    <t xml:space="preserve">评测场景、样本、候选版本、指标、数据切片、人工复核</t>
  </si>
  <si>
    <t xml:space="preserve">≤3 个场景；≤50 个样本；1 个候选版本；≤3 个指标；单一数据切片；固定评测集</t>
  </si>
  <si>
    <t xml:space="preserve">4～10 个场景；&gt;50 且 ≤500 个样本；2～3 个候选版本；4～8 个指标；2～4 个切片；含自动评测和抽样人工复核</t>
  </si>
  <si>
    <t xml:space="preserve">11～20 个场景、&gt;500 且 ≤5000 个样本、4～6 个候选版本、9～16 个指标或 5～8 个切片；涉及对抗样本评测、人工评审一致性校准、行为安全基线与验收，或高敏感数据、受监管证据</t>
  </si>
  <si>
    <t xml:space="preserve">场景 &gt;20、样本 &gt;5000、候选版本 &gt;6、指标 &gt;16、切片 &gt;8，包含多个独立评测目标，或样本来源、通过阈值、评测责任和签署人未明确</t>
  </si>
  <si>
    <t xml:space="preserve">新建看完整新评测资产；调整只看样本、指标、判据和执行资产变化及必要回归；被评对象可以是智能业务能力、智能流程或 AI4SE 资产，资产未变化的周期性重复评测不计</t>
  </si>
  <si>
    <t xml:space="preserve">ENG-ALERT,ENG-OBSERVABILITY</t>
  </si>
  <si>
    <t xml:space="preserve">仅在 ENG-ALERT, ENG-OBSERVABILITY 的交付物可独立版本化、部署或验收时分别建 Task；否则相关工作包含在 AI-EVALUATION 的单一交付边界内。</t>
  </si>
  <si>
    <t xml:space="preserve">资产未变化的周期性重复评测不单列。确定性功能测试和应用信息安全验证使用对应 TEST-*；未形成可独立交付和验收的本类型标准交付物时不建 Task。</t>
  </si>
  <si>
    <t xml:space="preserve">软件安全性（Safety）</t>
  </si>
  <si>
    <t xml:space="preserve">GOV-SAFETY-ASSURANCE</t>
  </si>
  <si>
    <t xml:space="preserve">软件安全性保障与危害论证</t>
  </si>
  <si>
    <t xml:space="preserve">每个可独立批准的软件安全性保障范围</t>
  </si>
  <si>
    <t xml:space="preserve">危害分析与日志、安全主张/要求、论据、证据、残余风险及批准结论</t>
  </si>
  <si>
    <t xml:space="preserve">形成、验证并交付“危害分析与日志、安全主张/要求、论据、证据、残余风险及批准结论”所必需的本类型工作；以“每个可独立批准的软件安全性保障范围”为一个 Task 实例。</t>
  </si>
  <si>
    <t xml:space="preserve">超出“每个可独立批准的软件安全性保障范围”边界且可独立交付验收的其他对象。来源未列出更具体的相邻排除项。</t>
  </si>
  <si>
    <t xml:space="preserve">本类型指 safety（避免软件行为造成人员、财产、环境或受控业务过程伤害），不等同于 cybersecurity。独立第三方安全认证/功能安全认证仍走目录外专业服务；工程整改按被修改类型另计。</t>
  </si>
  <si>
    <t xml:space="preserve">形成一个软件安全性保障范围的危害清单、安全要求、主张—论据—证据链、残余风险和批准结论。</t>
  </si>
  <si>
    <t xml:space="preserve">在同一保障范围内更新危害、要求、论证或证据，复核受影响控制和验证并形成新批准结论。</t>
  </si>
  <si>
    <t xml:space="preserve">危害、主张/安全要求、证据源、组件、运行模式、责任方</t>
  </si>
  <si>
    <t xml:space="preserve">1～3 个危害；≤5 项主张/安全要求；≤3 个证据源；1 个组件；1 个运行模式；1 个责任方</t>
  </si>
  <si>
    <t xml:space="preserve">4～10 个危害；6～15 项主张/要求；4～8 个证据源；2～4 个组件；2～4 个运行模式；2～3 个责任方；含残余风险和批准结论</t>
  </si>
  <si>
    <t xml:space="preserve">11～20 个危害、16～30 项主张/要求、9～16 个证据源、5～8 个组件、5～8 个运行模式或 4～6 个责任方；涉及故障树/事件树论证、主张—论据—证据闭环、失效模式与安全机制验证，或关键业务影响、受监管证据、多方联合交付</t>
  </si>
  <si>
    <t xml:space="preserve">危害 &gt;20、主张/要求 &gt;30、证据源 &gt;16、组件 &gt;8、运行模式 &gt;8、责任方 &gt;6，包含多个可独立批准的 safety case，或伤害边界、安全等级、证据责任和批准人未明确</t>
  </si>
  <si>
    <t xml:space="preserve">组件数和运行模式数是两个独立维度，分别判档，不相加、不取笛卡尔积。新建看完整保障范围；调整只看同一范围内变化危害、主张、论据、证据和受影响验证；独立整改使用被修改对象的工作类型</t>
  </si>
</sst>
</file>

<file path=xl/styles.xml><?xml version="1.0" encoding="utf-8"?>
<styleSheet xmlns="http://schemas.openxmlformats.org/spreadsheetml/2006/main">
  <numFmts count="3">
    <numFmt numFmtId="164" formatCode="General"/>
    <numFmt numFmtId="165" formatCode="0.0"/>
    <numFmt numFmtId="166" formatCode="0%"/>
  </numFmts>
  <fonts count="22">
    <font>
      <sz val="11"/>
      <color theme="1"/>
      <name val="Calibri"/>
      <family val="2"/>
      <charset val="1"/>
    </font>
    <font>
      <sz val="10"/>
      <name val="Arial"/>
      <family val="0"/>
    </font>
    <font>
      <sz val="10"/>
      <name val="Arial"/>
      <family val="0"/>
    </font>
    <font>
      <sz val="10"/>
      <name val="Arial"/>
      <family val="0"/>
    </font>
    <font>
      <b val="true"/>
      <sz val="16"/>
      <color rgb="FFFFFFFF"/>
      <name val="Microsoft YaHei"/>
      <family val="0"/>
      <charset val="1"/>
    </font>
    <font>
      <sz val="11"/>
      <color theme="1"/>
      <name val="Arial Unicode MS"/>
      <family val="2"/>
    </font>
    <font>
      <b val="true"/>
      <sz val="10"/>
      <color rgb="FFFFFFFF"/>
      <name val="Microsoft YaHei"/>
      <family val="0"/>
      <charset val="1"/>
    </font>
    <font>
      <sz val="10"/>
      <color rgb="FF1F2937"/>
      <name val="Microsoft YaHei"/>
      <family val="0"/>
      <charset val="1"/>
    </font>
    <font>
      <b val="true"/>
      <sz val="12"/>
      <color rgb="FF17365D"/>
      <name val="Microsoft YaHei"/>
      <family val="0"/>
      <charset val="1"/>
    </font>
    <font>
      <b val="true"/>
      <sz val="11"/>
      <color rgb="FF17365D"/>
      <name val="Microsoft YaHei"/>
      <family val="0"/>
      <charset val="1"/>
    </font>
    <font>
      <b val="true"/>
      <u val="single"/>
      <sz val="11"/>
      <color rgb="FF176B9B"/>
      <name val="Microsoft YaHei"/>
      <family val="0"/>
      <charset val="1"/>
    </font>
    <font>
      <sz val="10"/>
      <color rgb="FF243746"/>
      <name val="Microsoft YaHei"/>
      <family val="0"/>
      <charset val="1"/>
    </font>
    <font>
      <b val="true"/>
      <sz val="10"/>
      <color rgb="FF243746"/>
      <name val="Microsoft YaHei"/>
      <family val="0"/>
      <charset val="1"/>
    </font>
    <font>
      <sz val="10"/>
      <color rgb="FF596B7A"/>
      <name val="Microsoft YaHei"/>
      <family val="0"/>
      <charset val="1"/>
    </font>
    <font>
      <b val="true"/>
      <sz val="16"/>
      <color rgb="FF1F4E78"/>
      <name val="Microsoft YaHei"/>
      <family val="0"/>
      <charset val="1"/>
    </font>
    <font>
      <sz val="10"/>
      <color rgb="FF657787"/>
      <name val="Microsoft YaHei"/>
      <family val="0"/>
      <charset val="1"/>
    </font>
    <font>
      <b val="true"/>
      <sz val="10"/>
      <color rgb="FF1F4E78"/>
      <name val="Microsoft YaHei"/>
      <family val="0"/>
      <charset val="1"/>
    </font>
    <font>
      <b val="true"/>
      <sz val="9"/>
      <color rgb="FFFFFFFF"/>
      <name val="Microsoft YaHei"/>
      <family val="0"/>
      <charset val="1"/>
    </font>
    <font>
      <sz val="9"/>
      <color rgb="FF1F1F1F"/>
      <name val="Microsoft YaHei"/>
      <family val="0"/>
      <charset val="1"/>
    </font>
    <font>
      <sz val="10"/>
      <color rgb="FF24374A"/>
      <name val="Microsoft YaHei"/>
      <family val="0"/>
      <charset val="1"/>
    </font>
    <font>
      <b val="true"/>
      <sz val="10"/>
      <color rgb="FF24374A"/>
      <name val="Microsoft YaHei"/>
      <family val="0"/>
      <charset val="1"/>
    </font>
    <font>
      <sz val="10"/>
      <color rgb="FF1F4E78"/>
      <name val="Microsoft YaHei"/>
      <family val="0"/>
      <charset val="1"/>
    </font>
  </fonts>
  <fills count="12">
    <fill>
      <patternFill patternType="none"/>
    </fill>
    <fill>
      <patternFill patternType="gray125"/>
    </fill>
    <fill>
      <patternFill patternType="solid">
        <fgColor rgb="FF17365D"/>
        <bgColor rgb="FF24374A"/>
      </patternFill>
    </fill>
    <fill>
      <patternFill patternType="solid">
        <fgColor rgb="FFD9EAF7"/>
        <bgColor rgb="FFD9E2F3"/>
      </patternFill>
    </fill>
    <fill>
      <patternFill patternType="solid">
        <fgColor rgb="FF1F4E78"/>
        <bgColor rgb="FF17365D"/>
      </patternFill>
    </fill>
    <fill>
      <patternFill patternType="solid">
        <fgColor rgb="FFFFFFFF"/>
        <bgColor rgb="FFF4F8FC"/>
      </patternFill>
    </fill>
    <fill>
      <patternFill patternType="solid">
        <fgColor rgb="FFF1F4F6"/>
        <bgColor rgb="FFF1F5F9"/>
      </patternFill>
    </fill>
    <fill>
      <patternFill patternType="solid">
        <fgColor rgb="FFE8EEF6"/>
        <bgColor rgb="FFE7EFF6"/>
      </patternFill>
    </fill>
    <fill>
      <patternFill patternType="solid">
        <fgColor rgb="FFF3F6FA"/>
        <bgColor rgb="FFF1F5F9"/>
      </patternFill>
    </fill>
    <fill>
      <patternFill patternType="solid">
        <fgColor rgb="FFE7EFF6"/>
        <bgColor rgb="FFE8EEF6"/>
      </patternFill>
    </fill>
    <fill>
      <patternFill patternType="solid">
        <fgColor rgb="FFF4F8FC"/>
        <bgColor rgb="FFF3F6FA"/>
      </patternFill>
    </fill>
    <fill>
      <patternFill patternType="solid">
        <fgColor rgb="FFF1F5F9"/>
        <bgColor rgb="FFF1F4F6"/>
      </patternFill>
    </fill>
  </fills>
  <borders count="6">
    <border diagonalUp="false" diagonalDown="false">
      <left/>
      <right/>
      <top/>
      <bottom/>
      <diagonal/>
    </border>
    <border diagonalUp="false" diagonalDown="false">
      <left/>
      <right/>
      <top/>
      <bottom style="thin">
        <color rgb="FFD9E2F3"/>
      </bottom>
      <diagonal/>
    </border>
    <border diagonalUp="false" diagonalDown="false">
      <left/>
      <right/>
      <top/>
      <bottom style="hair">
        <color rgb="FFD8E1EA"/>
      </bottom>
      <diagonal/>
    </border>
    <border diagonalUp="false" diagonalDown="false">
      <left style="thin">
        <color rgb="FFB8CCE4"/>
      </left>
      <right style="thin">
        <color rgb="FFB8CCE4"/>
      </right>
      <top style="thin">
        <color rgb="FFB8CCE4"/>
      </top>
      <bottom style="thin">
        <color rgb="FFB8CCE4"/>
      </bottom>
      <diagonal/>
    </border>
    <border diagonalUp="false" diagonalDown="false">
      <left/>
      <right style="thin">
        <color rgb="FFFFFFFF"/>
      </right>
      <top/>
      <bottom/>
      <diagonal/>
    </border>
    <border diagonalUp="false" diagonalDown="false">
      <left/>
      <right/>
      <top/>
      <bottom style="hair">
        <color rgb="FFD8E2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true">
      <alignment horizontal="general" vertical="center" textRotation="0" wrapText="true" indent="0" shrinkToFit="false"/>
      <protection locked="false" hidden="false"/>
    </xf>
    <xf numFmtId="164" fontId="7" fillId="6" borderId="1" xfId="0" applyFont="true" applyBorder="true" applyAlignment="true" applyProtection="true">
      <alignment horizontal="general" vertical="center" textRotation="0" wrapText="true" indent="0" shrinkToFit="false"/>
      <protection locked="true" hidden="true"/>
    </xf>
    <xf numFmtId="165" fontId="7" fillId="6" borderId="1" xfId="0" applyFont="true" applyBorder="true" applyAlignment="true" applyProtection="true">
      <alignment horizontal="general" vertical="center" textRotation="0" wrapText="true" indent="0" shrinkToFit="false"/>
      <protection locked="true" hidden="true"/>
    </xf>
    <xf numFmtId="164" fontId="7" fillId="5" borderId="1" xfId="0" applyFont="true" applyBorder="true" applyAlignment="true" applyProtection="false">
      <alignment horizontal="general" vertical="center" textRotation="0" wrapText="true" indent="0" shrinkToFit="false"/>
      <protection locked="true" hidden="false"/>
    </xf>
    <xf numFmtId="165" fontId="8" fillId="6" borderId="1" xfId="0" applyFont="true" applyBorder="true" applyAlignment="true" applyProtection="false">
      <alignment horizontal="general" vertical="center" textRotation="0" wrapText="true" indent="0" shrinkToFit="false"/>
      <protection locked="true" hidden="false"/>
    </xf>
    <xf numFmtId="164" fontId="9" fillId="7" borderId="0" xfId="0" applyFont="true" applyBorder="true" applyAlignment="true" applyProtection="false">
      <alignment horizontal="general" vertical="center" textRotation="0" wrapText="false" indent="0" shrinkToFit="false"/>
      <protection locked="true" hidden="false"/>
    </xf>
    <xf numFmtId="164" fontId="10" fillId="7" borderId="0" xfId="0" applyFont="true" applyBorder="false" applyAlignment="true" applyProtection="false">
      <alignment horizontal="right" vertical="center"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11" fillId="5" borderId="2" xfId="0" applyFont="true" applyBorder="true" applyAlignment="true" applyProtection="false">
      <alignment horizontal="left" vertical="center" textRotation="0" wrapText="true" indent="0" shrinkToFit="false"/>
      <protection locked="true" hidden="false"/>
    </xf>
    <xf numFmtId="165" fontId="12" fillId="5" borderId="2" xfId="0" applyFont="true" applyBorder="true" applyAlignment="true" applyProtection="false">
      <alignment horizontal="right" vertical="center" textRotation="0" wrapText="true" indent="0" shrinkToFit="false"/>
      <protection locked="true" hidden="false"/>
    </xf>
    <xf numFmtId="164" fontId="11" fillId="8" borderId="2" xfId="0" applyFont="true" applyBorder="true" applyAlignment="true" applyProtection="false">
      <alignment horizontal="left" vertical="center" textRotation="0" wrapText="true" indent="0" shrinkToFit="false"/>
      <protection locked="true" hidden="false"/>
    </xf>
    <xf numFmtId="165" fontId="12" fillId="8" borderId="2" xfId="0" applyFont="true" applyBorder="true" applyAlignment="true" applyProtection="false">
      <alignment horizontal="right" vertical="center" textRotation="0" wrapText="true" indent="0" shrinkToFit="false"/>
      <protection locked="true" hidden="false"/>
    </xf>
    <xf numFmtId="166" fontId="12" fillId="8" borderId="2" xfId="0" applyFont="true" applyBorder="true" applyAlignment="true" applyProtection="false">
      <alignment horizontal="right" vertical="center" textRotation="0" wrapText="tru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right" vertical="center" textRotation="0" wrapText="false" indent="0" shrinkToFit="false"/>
      <protection locked="true" hidden="false"/>
    </xf>
    <xf numFmtId="164" fontId="9" fillId="3" borderId="0"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16" fillId="9" borderId="0" xfId="0" applyFont="true" applyBorder="true" applyAlignment="true" applyProtection="false">
      <alignment horizontal="left" vertical="center" textRotation="0" wrapText="true" indent="0" shrinkToFit="false"/>
      <protection locked="true" hidden="false"/>
    </xf>
    <xf numFmtId="164" fontId="17" fillId="4" borderId="3" xfId="0" applyFont="true" applyBorder="true" applyAlignment="true" applyProtection="false">
      <alignment horizontal="center" vertical="center" textRotation="0" wrapText="true" indent="0" shrinkToFit="false"/>
      <protection locked="true" hidden="false"/>
    </xf>
    <xf numFmtId="164" fontId="6" fillId="4" borderId="4" xfId="0" applyFont="true" applyBorder="true" applyAlignment="true" applyProtection="false">
      <alignment horizontal="center" vertical="center" textRotation="0" wrapText="true" indent="0" shrinkToFit="false"/>
      <protection locked="true" hidden="false"/>
    </xf>
    <xf numFmtId="164" fontId="18" fillId="5" borderId="3" xfId="0" applyFont="true" applyBorder="true" applyAlignment="true" applyProtection="false">
      <alignment horizontal="center" vertical="top" textRotation="0" wrapText="true" indent="0" shrinkToFit="false"/>
      <protection locked="true" hidden="false"/>
    </xf>
    <xf numFmtId="164" fontId="18" fillId="5" borderId="3" xfId="0" applyFont="true" applyBorder="true" applyAlignment="true" applyProtection="false">
      <alignment horizontal="left" vertical="top" textRotation="0" wrapText="true" indent="0" shrinkToFit="false"/>
      <protection locked="true" hidden="false"/>
    </xf>
    <xf numFmtId="164" fontId="18" fillId="5" borderId="3" xfId="0" applyFont="true" applyBorder="true" applyAlignment="true" applyProtection="false">
      <alignment horizontal="center" vertical="top" textRotation="0" wrapText="true" indent="0" shrinkToFit="false"/>
      <protection locked="true" hidden="false"/>
    </xf>
    <xf numFmtId="165" fontId="18" fillId="5" borderId="3" xfId="0" applyFont="true" applyBorder="true" applyAlignment="true" applyProtection="false">
      <alignment horizontal="center" vertical="top" textRotation="0" wrapText="true" indent="0" shrinkToFit="false"/>
      <protection locked="true" hidden="false"/>
    </xf>
    <xf numFmtId="164" fontId="18" fillId="0" borderId="3" xfId="0" applyFont="true" applyBorder="true" applyAlignment="true" applyProtection="false">
      <alignment horizontal="left" vertical="top" textRotation="0" wrapText="true" indent="0" shrinkToFit="false"/>
      <protection locked="true" hidden="false"/>
    </xf>
    <xf numFmtId="164" fontId="18" fillId="0" borderId="3" xfId="0" applyFont="true" applyBorder="true" applyAlignment="true" applyProtection="false">
      <alignment horizontal="center" vertical="top" textRotation="0" wrapText="true" indent="0" shrinkToFit="false"/>
      <protection locked="true" hidden="false"/>
    </xf>
    <xf numFmtId="165" fontId="18" fillId="0" borderId="3" xfId="0" applyFont="true" applyBorder="true" applyAlignment="true" applyProtection="false">
      <alignment horizontal="center" vertical="top" textRotation="0" wrapText="true" indent="0" shrinkToFit="false"/>
      <protection locked="true" hidden="false"/>
    </xf>
    <xf numFmtId="164" fontId="18" fillId="0" borderId="3"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9" fillId="5" borderId="5" xfId="0" applyFont="true" applyBorder="true" applyAlignment="true" applyProtection="false">
      <alignment horizontal="left" vertical="center" textRotation="0" wrapText="true" indent="0" shrinkToFit="false"/>
      <protection locked="true" hidden="false"/>
    </xf>
    <xf numFmtId="164" fontId="20" fillId="5" borderId="5" xfId="0" applyFont="true" applyBorder="true" applyAlignment="true" applyProtection="false">
      <alignment horizontal="left" vertical="center" textRotation="0" wrapText="true" indent="0" shrinkToFit="false"/>
      <protection locked="true" hidden="false"/>
    </xf>
    <xf numFmtId="165" fontId="21" fillId="5" borderId="5" xfId="0" applyFont="true" applyBorder="true" applyAlignment="true" applyProtection="false">
      <alignment horizontal="right"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8" fillId="10" borderId="3" xfId="0" applyFont="true" applyBorder="true" applyAlignment="true" applyProtection="false">
      <alignment horizontal="center" vertical="top" textRotation="0" wrapText="true" indent="0" shrinkToFit="false"/>
      <protection locked="true" hidden="false"/>
    </xf>
    <xf numFmtId="164" fontId="18" fillId="10" borderId="3" xfId="0" applyFont="true" applyBorder="true" applyAlignment="true" applyProtection="false">
      <alignment horizontal="left" vertical="top" textRotation="0" wrapText="true" indent="0" shrinkToFit="false"/>
      <protection locked="true" hidden="false"/>
    </xf>
    <xf numFmtId="164" fontId="18" fillId="10" borderId="3" xfId="0" applyFont="true" applyBorder="true" applyAlignment="true" applyProtection="false">
      <alignment horizontal="center" vertical="top" textRotation="0" wrapText="true" indent="0" shrinkToFit="false"/>
      <protection locked="true" hidden="false"/>
    </xf>
    <xf numFmtId="165" fontId="18" fillId="10" borderId="3" xfId="0" applyFont="true" applyBorder="true" applyAlignment="true" applyProtection="false">
      <alignment horizontal="center" vertical="top" textRotation="0" wrapText="true" indent="0" shrinkToFit="false"/>
      <protection locked="true" hidden="false"/>
    </xf>
    <xf numFmtId="164" fontId="19" fillId="11" borderId="5" xfId="0" applyFont="true" applyBorder="true" applyAlignment="true" applyProtection="false">
      <alignment horizontal="left" vertical="center" textRotation="0" wrapText="true" indent="0" shrinkToFit="false"/>
      <protection locked="true" hidden="false"/>
    </xf>
    <xf numFmtId="164" fontId="20" fillId="11" borderId="5" xfId="0" applyFont="true" applyBorder="true" applyAlignment="true" applyProtection="false">
      <alignment horizontal="left" vertical="center" textRotation="0" wrapText="true" indent="0" shrinkToFit="false"/>
      <protection locked="true" hidden="false"/>
    </xf>
    <xf numFmtId="165" fontId="21" fillId="11" borderId="5" xfId="0" applyFont="true" applyBorder="true" applyAlignment="true" applyProtection="false">
      <alignment horizontal="righ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1F4E78"/>
          <bgColor rgb="FF000000"/>
        </patternFill>
      </fill>
    </dxf>
    <dxf>
      <fill>
        <patternFill patternType="solid">
          <fgColor rgb="FFFFFFFF"/>
          <bgColor rgb="FF000000"/>
        </patternFill>
      </fill>
    </dxf>
    <dxf>
      <fill>
        <patternFill patternType="solid">
          <fgColor rgb="FF1F2937"/>
          <bgColor rgb="FF000000"/>
        </patternFill>
      </fill>
    </dxf>
    <dxf>
      <fill>
        <patternFill patternType="solid">
          <fgColor rgb="FFF1F4F6"/>
          <bgColor rgb="FF000000"/>
        </patternFill>
      </fill>
    </dxf>
    <dxf>
      <fill>
        <patternFill>
          <bgColor rgb="FFFCE8E6"/>
        </patternFill>
      </fill>
    </dxf>
    <dxf>
      <fill>
        <patternFill patternType="solid">
          <fgColor rgb="FF17365D"/>
          <bgColor rgb="FF000000"/>
        </patternFill>
      </fill>
    </dxf>
    <dxf>
      <fill>
        <patternFill patternType="solid">
          <fgColor rgb="FFF4F8FC"/>
          <bgColor rgb="FF000000"/>
        </patternFill>
      </fill>
    </dxf>
    <dxf>
      <fill>
        <patternFill patternType="solid">
          <bgColor rgb="FF000000"/>
        </patternFill>
      </fill>
    </dxf>
    <dxf>
      <fill>
        <patternFill patternType="solid">
          <fgColor rgb="FF1F1F1F"/>
          <bgColor rgb="FF000000"/>
        </patternFill>
      </fill>
    </dxf>
    <dxf>
      <fill>
        <patternFill patternType="solid">
          <fgColor rgb="FFF1F5F9"/>
          <bgColor rgb="FF000000"/>
        </patternFill>
      </fill>
    </dxf>
    <dxf>
      <fill>
        <patternFill patternType="solid">
          <fgColor rgb="FF24374A"/>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11" type="wholeTable"/>
      <tableStyleElement dxfId="12" type="firstColumnStripe"/>
      <tableStyleElement dxfId="13" type="firstRowStripe"/>
      <tableStyleElement dxfId="14" type="lastColumn"/>
      <tableStyleElement dxfId="15" type="firstColumn"/>
      <tableStyleElement dxfId="16" type="headerRow"/>
      <tableStyleElement dxfId="17" type="totalRow"/>
    </tableStyle>
  </tableStyles>
  <colors>
    <indexedColors>
      <rgbColor rgb="FF000000"/>
      <rgbColor rgb="FFFFFFFF"/>
      <rgbColor rgb="FFFF0000"/>
      <rgbColor rgb="FF00FF00"/>
      <rgbColor rgb="FF0000FF"/>
      <rgbColor rgb="FFF1F5F9"/>
      <rgbColor rgb="FFFF00FF"/>
      <rgbColor rgb="FF00FFFF"/>
      <rgbColor rgb="FF800000"/>
      <rgbColor rgb="FF008000"/>
      <rgbColor rgb="FF24374A"/>
      <rgbColor rgb="FF808000"/>
      <rgbColor rgb="FF800080"/>
      <rgbColor rgb="FF008080"/>
      <rgbColor rgb="FFD8E1EA"/>
      <rgbColor rgb="FF657787"/>
      <rgbColor rgb="FF9999FF"/>
      <rgbColor rgb="FF993366"/>
      <rgbColor rgb="FFF4F8FC"/>
      <rgbColor rgb="FFD9EAF7"/>
      <rgbColor rgb="FF660066"/>
      <rgbColor rgb="FFFF8080"/>
      <rgbColor rgb="FF176B9B"/>
      <rgbColor rgb="FFB8CCE4"/>
      <rgbColor rgb="FF000080"/>
      <rgbColor rgb="FFFF00FF"/>
      <rgbColor rgb="FFF3F6FA"/>
      <rgbColor rgb="FF00FFFF"/>
      <rgbColor rgb="FF800080"/>
      <rgbColor rgb="FF800000"/>
      <rgbColor rgb="FF008080"/>
      <rgbColor rgb="FF0000FF"/>
      <rgbColor rgb="FF00CCFF"/>
      <rgbColor rgb="FFE7EFF6"/>
      <rgbColor rgb="FFE8EEF6"/>
      <rgbColor rgb="FFFCE8E6"/>
      <rgbColor rgb="FF95B3D7"/>
      <rgbColor rgb="FFF1F4F6"/>
      <rgbColor rgb="FFD9E2F3"/>
      <rgbColor rgb="FFD8E2EC"/>
      <rgbColor rgb="FF4F81BD"/>
      <rgbColor rgb="FF33CCCC"/>
      <rgbColor rgb="FF99CC00"/>
      <rgbColor rgb="FFFFCC00"/>
      <rgbColor rgb="FFFF9900"/>
      <rgbColor rgb="FFFF6600"/>
      <rgbColor rgb="FF596B7A"/>
      <rgbColor rgb="FF969696"/>
      <rgbColor rgb="FF17365D"/>
      <rgbColor rgb="FF339966"/>
      <rgbColor rgb="FF1F2937"/>
      <rgbColor rgb="FF1F1F1F"/>
      <rgbColor rgb="FF993300"/>
      <rgbColor rgb="FF993366"/>
      <rgbColor rgb="FF1F4E78"/>
      <rgbColor rgb="FF243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4" name="ProjectParameterTable" displayName="ProjectParameterTable" ref="AG4:AL12" headerRowCount="1">
  <autoFilter ref="AG4:AL12"/>
  <tableColumns count="6">
    <tableColumn id="16" name="参数代码"/>
    <tableColumn id="17" name="名称"/>
    <tableColumn id="18" name="值"/>
    <tableColumn id="19" name="单位"/>
    <tableColumn id="20" name="适用范围"/>
    <tableColumn id="21" name="验证状态/说明"/>
  </tableColumns>
  <tableStyleInfo name="TableStyleMedium2" showFirstColumn="0" showLastColumn="0" showRowStripes="1" showColumnStripes="0"/>
</table>
</file>

<file path=xl/tables/table2.xml><?xml version="1.0" encoding="utf-8"?>
<table xmlns="http://schemas.openxmlformats.org/spreadsheetml/2006/main" id="3" name="ProjectSummaryTable" displayName="ProjectSummaryTable" ref="A4:B8" headerRowCount="1">
  <autoFilter ref="A4:B8"/>
  <tableColumns count="2">
    <tableColumn id="1" name="工作量项"/>
    <tableColumn id="2" name="人天"/>
  </tableColumns>
  <tableStyleInfo name="TableStyleMedium2" showFirstColumn="0" showLastColumn="0" showRowStripes="1" showColumnStripes="0"/>
</table>
</file>

<file path=xl/tables/table3.xml><?xml version="1.0" encoding="utf-8"?>
<table xmlns="http://schemas.openxmlformats.org/spreadsheetml/2006/main" id="1" name="SOWStoryTable" displayName="SOWStoryTable" ref="A4:I26" headerRowCount="1">
  <autoFilter ref="A4:I26"/>
  <tableColumns count="9">
    <tableColumn id="1" name="需求"/>
    <tableColumn id="2" name="子需求"/>
    <tableColumn id="3" name="故事"/>
    <tableColumn id="4" name="UAT适用"/>
    <tableColumn id="5" name="验收条件"/>
    <tableColumn id="6" name="备注"/>
    <tableColumn id="7" name="任务列表">
      <calculatedColumnFormula array="1">IF($C5="","",IFERROR(_xlfn.TEXTJOIN(CHAR(10),TRUE,IF(TaskTable[所属故事]=$C5,"• ["&amp;TaskTable[工作类型名称]&amp;"/"&amp;TaskTable[工作方式]&amp;"/"&amp;TaskTable[复杂度]&amp;"] "&amp;TaskTable[任务名称],"")),""))</calculatedColumnFormula>
    </tableColumn>
    <tableColumn id="8" name="故事人天">
      <calculatedColumnFormula>IF($C5="","",CEILING(SUMIFS(TaskTable[任务人天],TaskTable[所属故事],$C5),INDEX(ProjectParameterTable[值],MATCH("ROUND_STORY",ProjectParameterTable[参数代码],0))))</calculatedColumnFormula>
    </tableColumn>
    <tableColumn id="9" name="校验结果">
      <calculatedColumnFormula>IF(COUNTA($A5:$F5)=0,"",IF(OR($A5="",$B5="",$C5="",$D5="",$E5=""),"必填项缺失",IF(COUNTIF(SOWStoryTable[故事],$C5)&gt;1,"故事名称重复",IF(AND($D5&lt;&gt;"是",$D5&lt;&gt;"否"),"UAT适用值非法",IF(COUNTIF(TaskTable[所属故事],$C5)=0,"故事缺少任务","通过")))))</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5" name="TaskStandardTable" displayName="TaskStandardTable" ref="A4:AE92" headerRowCount="1">
  <autoFilter ref="A4:AE92"/>
  <tableColumns count="31">
    <tableColumn id="1" name="序号"/>
    <tableColumn id="2" name="分类"/>
    <tableColumn id="3" name="工作类型ID"/>
    <tableColumn id="4" name="工作类型名称"/>
    <tableColumn id="5" name="计量单位"/>
    <tableColumn id="6" name="标准交付物"/>
    <tableColumn id="7" name="包含内容"/>
    <tableColumn id="8" name="不包含内容"/>
    <tableColumn id="9" name="说明"/>
    <tableColumn id="10" name="新建适用"/>
    <tableColumn id="11" name="新建M档人天"/>
    <tableColumn id="12" name="新建完成标准"/>
    <tableColumn id="13" name="调整适用"/>
    <tableColumn id="14" name="调整M档人天"/>
    <tableColumn id="15" name="调整完成标准"/>
    <tableColumn id="16" name="接入复用适用"/>
    <tableColumn id="17" name="接入复用M档人天"/>
    <tableColumn id="18" name="接入复用完成标准"/>
    <tableColumn id="19" name="主要计量维度"/>
    <tableColumn id="20" name="S标准"/>
    <tableColumn id="21" name="M标准"/>
    <tableColumn id="22" name="L标准"/>
    <tableColumn id="23" name="X/拆分条件"/>
    <tableColumn id="24" name="模式适用说明"/>
    <tableColumn id="25" name="相邻工作类型IDs"/>
    <tableColumn id="26" name="相邻类型选择规则"/>
    <tableColumn id="27" name="不建Task条件"/>
    <tableColumn id="28" name="SIT支持资格"/>
    <tableColumn id="29" name="标准版本"/>
    <tableColumn id="30" name="参数状态"/>
    <tableColumn id="31" name="来源版本"/>
  </tableColumns>
  <tableStyleInfo name="TableStyleMedium2" showFirstColumn="0" showLastColumn="0" showRowStripes="1" showColumnStripes="0"/>
</table>
</file>

<file path=xl/tables/table5.xml><?xml version="1.0" encoding="utf-8"?>
<table xmlns="http://schemas.openxmlformats.org/spreadsheetml/2006/main" id="2" name="TaskTable" displayName="TaskTable" ref="A4:M63" headerRowCount="1">
  <autoFilter ref="A4:M63"/>
  <tableColumns count="13">
    <tableColumn id="1" name="所属故事"/>
    <tableColumn id="2" name="任务名称"/>
    <tableColumn id="3" name="工作类型ID">
      <calculatedColumnFormula>IFERROR(INDEX(TaskStandardTable[工作类型ID],MATCH($D5,TaskStandardTable[工作类型名称],0)),"")</calculatedColumnFormula>
    </tableColumn>
    <tableColumn id="4" name="工作类型名称"/>
    <tableColumn id="5" name="工作方式"/>
    <tableColumn id="6" name="复杂度"/>
    <tableColumn id="7" name="集成类型"/>
    <tableColumn id="8" name="备注"/>
    <tableColumn id="9" name="M档标准人天">
      <calculatedColumnFormula>IFERROR(IF($E5="新建",IF(INDEX(TaskStandardTable[新建适用],MATCH($C5,TaskStandardTable[工作类型ID],0)),INDEX(TaskStandardTable[新建M档人天],MATCH($C5,TaskStandardTable[工作类型ID],0)),""),IF($E5="调整",IF(INDEX(TaskStandardTable[调整适用],MATCH($C5,TaskStandardTable[工作类型ID],0)),INDEX(TaskStandardTable[调整M档人天],MATCH($C5,TaskStandardTable[工作类型ID],0)),""),IF($E5="接入复用",IF(INDEX(TaskStandardTable[接入复用适用],MATCH($C5,TaskStandardTable[工作类型ID],0)),INDEX(TaskStandardTable[接入复用M档人天],MATCH($C5,TaskStandardTable[工作类型ID],0)),""),""))),"")</calculatedColumnFormula>
    </tableColumn>
    <tableColumn id="10" name="复杂度系数">
      <calculatedColumnFormula>IFERROR(INDEX(ProjectParameterTable[值],MATCH("K_COMPLEXITY_"&amp;$F5,ProjectParameterTable[参数代码],0)),"")</calculatedColumnFormula>
    </tableColumn>
    <tableColumn id="11" name="任务人天">
      <calculatedColumnFormula>IF(OR(NOT(ISNUMBER($I5)),NOT(ISNUMBER($J5))),"",ROUND($I5*$J5,1))</calculatedColumnFormula>
    </tableColumn>
    <tableColumn id="12" name="SIT支持人天">
      <calculatedColumnFormula>IF(COUNTA($A5:$B5,$D5:$H5)=0,"",IF($G5="",0,IF($G5="内部集成",ROUND(INDEX(ProjectParameterTable[值],MATCH("SIT_INT_SUPPORT",ProjectParameterTable[参数代码],0))*$J5,1),IF($G5="外部集成",ROUND(INDEX(ProjectParameterTable[值],MATCH("SIT_EXT_SUPPORT",ProjectParameterTable[参数代码],0))*$J5,1),""))))</calculatedColumnFormula>
    </tableColumn>
    <tableColumn id="13" name="校验结果">
      <calculatedColumnFormula>IF(COUNTA($A5:$B5,$D5:$H5)=0,"",IF(OR($A5="",$B5="",$C5="",$E5="",$F5=""),"必填项缺失",IF(SUMPRODUCT(--(TaskTable[任务名称]=$B5))&gt;1,"任务名称重复",IF(COUNTIF(SOWStoryTable[故事],$A5)&lt;&gt;1,"所属故事未知",IF(NOT(OR($F5="S",$F5="M",$F5="L")),"复杂度非法",IF(NOT(OR($G5="",$G5="内部集成",$G5="外部集成")),"集成类型非法",IF(AND($G5&lt;&gt;"",NOT(IFERROR(INDEX(TaskStandardTable[SIT支持资格],MATCH($C5,TaskStandardTable[工作类型ID],0)),"")="PER_INTEGRATION")),"非集成任务不应填写集成类型",IF(AND($G5="",IFERROR(INDEX(TaskStandardTable[SIT支持资格],MATCH($C5,TaskStandardTable[工作类型ID],0)),"")="PER_INTEGRATION"),"集成类型缺失",IF(ISNUMBER($I5),"通过","工作类型与工作方式不适用")))))))))</calculatedColumnFormula>
    </tableColumn>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3.xml"/>
</Relationships>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 Id="rId3"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28"/>
    <col collapsed="false" customWidth="true" hidden="false" outlineLevel="0" max="4" min="4" style="0" width="12"/>
    <col collapsed="false" customWidth="true" hidden="false" outlineLevel="0" max="5" min="5" style="0" width="46"/>
    <col collapsed="false" customWidth="true" hidden="false" outlineLevel="0" max="6" min="6" style="0" width="30"/>
    <col collapsed="false" customWidth="true" hidden="false" outlineLevel="0" max="7" min="7" style="0" width="38"/>
    <col collapsed="false" customWidth="true" hidden="false" outlineLevel="0" max="8" min="8" style="0" width="12"/>
    <col collapsed="false" customWidth="true" hidden="false" outlineLevel="0" max="9" min="9" style="0" width="24"/>
  </cols>
  <sheetData>
    <row r="1" customFormat="false" ht="30" hidden="false" customHeight="true" outlineLevel="0" collapsed="false">
      <c r="A1" s="1" t="s">
        <v>0</v>
      </c>
      <c r="B1" s="1"/>
      <c r="C1" s="1"/>
      <c r="D1" s="1"/>
      <c r="E1" s="1"/>
      <c r="F1" s="1"/>
      <c r="G1" s="1"/>
      <c r="H1" s="1"/>
      <c r="I1" s="1"/>
    </row>
    <row r="2" customFormat="false" ht="34" hidden="false" customHeight="true" outlineLevel="0" collapsed="false">
      <c r="A2" s="2" t="s">
        <v>1</v>
      </c>
      <c r="B2" s="2"/>
      <c r="C2" s="2"/>
      <c r="D2" s="2"/>
      <c r="E2" s="2"/>
      <c r="F2" s="2"/>
      <c r="G2" s="2"/>
      <c r="H2" s="2"/>
      <c r="I2" s="2"/>
    </row>
    <row r="4" customFormat="false" ht="30" hidden="false" customHeight="true" outlineLevel="0" collapsed="false">
      <c r="A4" s="3" t="s">
        <v>2</v>
      </c>
      <c r="B4" s="3" t="s">
        <v>3</v>
      </c>
      <c r="C4" s="3" t="s">
        <v>4</v>
      </c>
      <c r="D4" s="3" t="s">
        <v>5</v>
      </c>
      <c r="E4" s="3" t="s">
        <v>6</v>
      </c>
      <c r="F4" s="3" t="s">
        <v>7</v>
      </c>
      <c r="G4" s="3" t="s">
        <v>8</v>
      </c>
      <c r="H4" s="3" t="s">
        <v>9</v>
      </c>
      <c r="I4" s="3" t="s">
        <v>10</v>
      </c>
    </row>
    <row r="5" customFormat="false" ht="109" hidden="false" customHeight="true" outlineLevel="0" collapsed="false">
      <c r="A5" s="4" t="s">
        <v>11</v>
      </c>
      <c r="B5" s="4" t="s">
        <v>12</v>
      </c>
      <c r="C5" s="4" t="s">
        <v>13</v>
      </c>
      <c r="D5" s="4" t="s">
        <v>14</v>
      </c>
      <c r="E5" s="4" t="s">
        <v>15</v>
      </c>
      <c r="F5" s="4" t="s">
        <v>16</v>
      </c>
      <c r="G5" s="5" t="str">
        <f aca="false" t="array" ref="G5">IF($C5="","",IFERROR(_xlfn.TEXTJOIN(CHAR(10),TRUE(),IF(((TaskTable[所属故事]=$C5)+((TaskTable[所属故事]="交付订单售后自动化回归资产")*(TaskTable[任务名称]="订单售后共享测试数据适配包")))&gt;0,"• ["&amp;TaskTable[工作类型名称]&amp;"/"&amp;TaskTable[工作方式]&amp;"/"&amp;TaskTable[复杂度]&amp;"] "&amp;TaskTable[任务名称],"")),""))</f>
        <v>• [信息展示与查询页面/调整/M] 订单列表增加履约筛选
• [业务数据查询 API/调整/M] 订单列表查询契约扩展
• [可复用测试支撑资产/接入复用/M] 订单售后共享测试数据适配包</v>
      </c>
      <c r="H5" s="5" t="n">
        <f aca="false">IF($C5="","",CEILING(SUMIFS(TaskTable[任务人天],TaskTable[所属故事],$C5),INDEX(ProjectParameterTable[值],MATCH("ROUND_STORY",ProjectParameterTable[参数代码],0))))</f>
        <v>2.5</v>
      </c>
      <c r="I5" s="5" t="str">
        <f aca="false">IF(COUNTA($A5:$F5)=0,"",IF(OR($A5="",$B5="",$C5="",$D5="",$E5=""),"必填项缺失",IF(COUNTIF(SOWStoryTable[故事],$C5)&gt;1,"故事名称重复",IF(AND($D5&lt;&gt;"是",$D5&lt;&gt;"否"),"UAT适用值非法",IF((COUNTIF(TaskTable[所属故事],$C5)+COUNTIFS(TaskTable[所属故事],"交付订单售后自动化回归资产",TaskTable[任务名称],"订单售后共享测试数据适配包"))=0,"故事缺少任务","通过")))))</f>
        <v>通过</v>
      </c>
    </row>
    <row r="6" customFormat="false" ht="64" hidden="false" customHeight="true" outlineLevel="0" collapsed="false">
      <c r="A6" s="4" t="s">
        <v>11</v>
      </c>
      <c r="B6" s="4" t="s">
        <v>12</v>
      </c>
      <c r="C6" s="4" t="s">
        <v>17</v>
      </c>
      <c r="D6" s="4" t="s">
        <v>14</v>
      </c>
      <c r="E6" s="4" t="s">
        <v>18</v>
      </c>
      <c r="F6" s="4"/>
      <c r="G6" s="5" t="str">
        <f aca="false" t="array" ref="G6">IF($C6="","",IFERROR(_xlfn.TEXTJOIN(CHAR(10),TRUE(),IF(TaskTable[所属故事]=$C6,"• ["&amp;TaskTable[工作类型名称]&amp;"/"&amp;TaskTable[工作方式]&amp;"/"&amp;TaskTable[复杂度]&amp;"] "&amp;TaskTable[任务名称],"")),""))</f>
        <v>• [信息展示与查询页面/调整/L] 订单详情联动履约信息
• [业务数据查询 API/调整/M] 订单详情聚合包裹信息</v>
      </c>
      <c r="H6" s="5" t="n">
        <f aca="false">IF($C6="","",CEILING(SUMIFS(TaskTable[任务人天],TaskTable[所属故事],$C6),INDEX(ProjectParameterTable[值],MATCH("ROUND_STORY",ProjectParameterTable[参数代码],0))))</f>
        <v>3</v>
      </c>
      <c r="I6" s="5" t="str">
        <f aca="false">IF(COUNTA($A6:$F6)=0,"",IF(OR($A6="",$B6="",$C6="",$D6="",$E6=""),"必填项缺失",IF(COUNTIF(SOWStoryTable[故事],$C6)&gt;1,"故事名称重复",IF(AND($D6&lt;&gt;"是",$D6&lt;&gt;"否"),"UAT适用值非法",IF(COUNTIF(TaskTable[所属故事],$C6)=0,"故事缺少任务","通过")))))</f>
        <v>通过</v>
      </c>
    </row>
    <row r="7" customFormat="false" ht="79" hidden="false" customHeight="true" outlineLevel="0" collapsed="false">
      <c r="A7" s="4" t="s">
        <v>11</v>
      </c>
      <c r="B7" s="4" t="s">
        <v>19</v>
      </c>
      <c r="C7" s="4" t="s">
        <v>20</v>
      </c>
      <c r="D7" s="4" t="s">
        <v>14</v>
      </c>
      <c r="E7" s="4" t="s">
        <v>21</v>
      </c>
      <c r="F7" s="4"/>
      <c r="G7" s="5" t="str">
        <f aca="false" t="array" ref="G7">IF($C7="","",IFERROR(_xlfn.TEXTJOIN(CHAR(10),TRUE(),IF(TaskTable[所属故事]=$C7,"• ["&amp;TaskTable[工作类型名称]&amp;"/"&amp;TaskTable[工作方式]&amp;"/"&amp;TaskTable[复杂度]&amp;"] "&amp;TaskTable[任务名称],"")),""))</f>
        <v>• [应用存储模型与结构/新建/M] 包裹共享存储模型
• [数据编辑与业务交互页面/新建/M] 拆包编辑页面
• [业务操作 API/新建/M] 拆包业务事务</v>
      </c>
      <c r="H7" s="5" t="n">
        <f aca="false">IF($C7="","",CEILING(SUMIFS(TaskTable[任务人天],TaskTable[所属故事],$C7),INDEX(ProjectParameterTable[值],MATCH("ROUND_STORY",ProjectParameterTable[参数代码],0))))</f>
        <v>7</v>
      </c>
      <c r="I7" s="5" t="str">
        <f aca="false">IF(COUNTA($A7:$F7)=0,"",IF(OR($A7="",$B7="",$C7="",$D7="",$E7=""),"必填项缺失",IF(COUNTIF(SOWStoryTable[故事],$C7)&gt;1,"故事名称重复",IF(AND($D7&lt;&gt;"是",$D7&lt;&gt;"否"),"UAT适用值非法",IF(COUNTIF(TaskTable[所属故事],$C7)=0,"故事缺少任务","通过")))))</f>
        <v>通过</v>
      </c>
    </row>
    <row r="8" customFormat="false" ht="64" hidden="false" customHeight="true" outlineLevel="0" collapsed="false">
      <c r="A8" s="4" t="s">
        <v>11</v>
      </c>
      <c r="B8" s="4" t="s">
        <v>19</v>
      </c>
      <c r="C8" s="4" t="s">
        <v>22</v>
      </c>
      <c r="D8" s="4" t="s">
        <v>14</v>
      </c>
      <c r="E8" s="4" t="s">
        <v>23</v>
      </c>
      <c r="F8" s="4"/>
      <c r="G8" s="5" t="str">
        <f aca="false" t="array" ref="G8">IF($C8="","",IFERROR(_xlfn.TEXTJOIN(CHAR(10),TRUE(),IF(TaskTable[所属故事]=$C8,"• ["&amp;TaskTable[工作类型名称]&amp;"/"&amp;TaskTable[工作方式]&amp;"/"&amp;TaskTable[复杂度]&amp;"] "&amp;TaskTable[任务名称],"")),""))</f>
        <v>• [业务操作 API/调整/M] 发货业务操作适配包裹
• [跨系统业务交互集成/新建/M] mall 向 WMS 下发发货指令</v>
      </c>
      <c r="H8" s="5" t="n">
        <f aca="false">IF($C8="","",CEILING(SUMIFS(TaskTable[任务人天],TaskTable[所属故事],$C8),INDEX(ProjectParameterTable[值],MATCH("ROUND_STORY",ProjectParameterTable[参数代码],0))))</f>
        <v>5</v>
      </c>
      <c r="I8" s="5" t="str">
        <f aca="false">IF(COUNTA($A8:$F8)=0,"",IF(OR($A8="",$B8="",$C8="",$D8="",$E8=""),"必填项缺失",IF(COUNTIF(SOWStoryTable[故事],$C8)&gt;1,"故事名称重复",IF(AND($D8&lt;&gt;"是",$D8&lt;&gt;"否"),"UAT适用值非法",IF(COUNTIF(TaskTable[所属故事],$C8)=0,"故事缺少任务","通过")))))</f>
        <v>通过</v>
      </c>
    </row>
    <row r="9" customFormat="false" ht="49" hidden="false" customHeight="true" outlineLevel="0" collapsed="false">
      <c r="A9" s="4" t="s">
        <v>11</v>
      </c>
      <c r="B9" s="4" t="s">
        <v>19</v>
      </c>
      <c r="C9" s="4" t="s">
        <v>24</v>
      </c>
      <c r="D9" s="4" t="s">
        <v>14</v>
      </c>
      <c r="E9" s="4" t="s">
        <v>25</v>
      </c>
      <c r="F9" s="4" t="s">
        <v>26</v>
      </c>
      <c r="G9" s="5" t="str">
        <f aca="false" t="array" ref="G9">IF($C9="","",IFERROR(_xlfn.TEXTJOIN(CHAR(10),TRUE(),IF(TaskTable[所属故事]=$C9,"• ["&amp;TaskTable[工作类型名称]&amp;"/"&amp;TaskTable[工作方式]&amp;"/"&amp;TaskTable[复杂度]&amp;"] "&amp;TaskTable[任务名称],"")),""))</f>
        <v>• [跨系统业务交互集成/新建/M] WMS 向 mall 回传发货结果</v>
      </c>
      <c r="H9" s="5" t="n">
        <f aca="false">IF($C9="","",CEILING(SUMIFS(TaskTable[任务人天],TaskTable[所属故事],$C9),INDEX(ProjectParameterTable[值],MATCH("ROUND_STORY",ProjectParameterTable[参数代码],0))))</f>
        <v>3</v>
      </c>
      <c r="I9" s="5" t="str">
        <f aca="false">IF(COUNTA($A9:$F9)=0,"",IF(OR($A9="",$B9="",$C9="",$D9="",$E9=""),"必填项缺失",IF(COUNTIF(SOWStoryTable[故事],$C9)&gt;1,"故事名称重复",IF(AND($D9&lt;&gt;"是",$D9&lt;&gt;"否"),"UAT适用值非法",IF(COUNTIF(TaskTable[所属故事],$C9)=0,"故事缺少任务","通过")))))</f>
        <v>通过</v>
      </c>
    </row>
    <row r="10" customFormat="false" ht="64" hidden="false" customHeight="true" outlineLevel="0" collapsed="false">
      <c r="A10" s="4" t="s">
        <v>11</v>
      </c>
      <c r="B10" s="4" t="s">
        <v>27</v>
      </c>
      <c r="C10" s="4" t="s">
        <v>28</v>
      </c>
      <c r="D10" s="4" t="s">
        <v>14</v>
      </c>
      <c r="E10" s="4" t="s">
        <v>29</v>
      </c>
      <c r="F10" s="4"/>
      <c r="G10" s="5" t="str">
        <f aca="false" t="array" ref="G10">IF($C10="","",IFERROR(_xlfn.TEXTJOIN(CHAR(10),TRUE(),IF(TaskTable[所属故事]=$C10,"• ["&amp;TaskTable[工作类型名称]&amp;"/"&amp;TaskTable[工作方式]&amp;"/"&amp;TaskTable[复杂度]&amp;"] "&amp;TaskTable[任务名称],"")),""))</f>
        <v>• [跨系统业务交互集成/新建/M] mall 查询外部物流轨迹
• [信息展示与查询页面/新建/S] 包裹物流轨迹页面</v>
      </c>
      <c r="H10" s="5" t="n">
        <f aca="false">IF($C10="","",CEILING(SUMIFS(TaskTable[任务人天],TaskTable[所属故事],$C10),INDEX(ProjectParameterTable[值],MATCH("ROUND_STORY",ProjectParameterTable[参数代码],0))))</f>
        <v>4</v>
      </c>
      <c r="I10" s="5" t="str">
        <f aca="false">IF(COUNTA($A10:$F10)=0,"",IF(OR($A10="",$B10="",$C10="",$D10="",$E10=""),"必填项缺失",IF(COUNTIF(SOWStoryTable[故事],$C10)&gt;1,"故事名称重复",IF(AND($D10&lt;&gt;"是",$D10&lt;&gt;"否"),"UAT适用值非法",IF(COUNTIF(TaskTable[所属故事],$C10)=0,"故事缺少任务","通过")))))</f>
        <v>通过</v>
      </c>
    </row>
    <row r="11" customFormat="false" ht="94" hidden="false" customHeight="true" outlineLevel="0" collapsed="false">
      <c r="A11" s="4" t="s">
        <v>30</v>
      </c>
      <c r="B11" s="4" t="s">
        <v>31</v>
      </c>
      <c r="C11" s="4" t="s">
        <v>32</v>
      </c>
      <c r="D11" s="4" t="s">
        <v>14</v>
      </c>
      <c r="E11" s="4" t="s">
        <v>33</v>
      </c>
      <c r="F11" s="4" t="s">
        <v>34</v>
      </c>
      <c r="G11" s="5" t="str">
        <f aca="false" t="array" ref="G11">IF($C11="","",IFERROR(_xlfn.TEXTJOIN(CHAR(10),TRUE(),IF(((TaskTable[所属故事]=$C11)+((TaskTable[所属故事]="交付订单售后自动化回归资产")*(TaskTable[任务名称]="订单售后共享测试数据适配包")))&gt;0,"• ["&amp;TaskTable[工作类型名称]&amp;"/"&amp;TaskTable[工作方式]&amp;"/"&amp;TaskTable[复杂度]&amp;"] "&amp;TaskTable[任务名称],"")),""))</f>
        <v>• [多步骤业务流程页面/新建/M] 退货申请四步交互流程
• [业务操作 API/调整/M] 退货申请操作扩展包裹关联
• [可复用测试支撑资产/接入复用/M] 订单售后共享测试数据适配包</v>
      </c>
      <c r="H11" s="5" t="n">
        <f aca="false">IF($C11="","",CEILING(SUMIFS(TaskTable[任务人天],TaskTable[所属故事],$C11),INDEX(ProjectParameterTable[值],MATCH("ROUND_STORY",ProjectParameterTable[参数代码],0))))</f>
        <v>5</v>
      </c>
      <c r="I11" s="5" t="str">
        <f aca="false">IF(COUNTA($A11:$F11)=0,"",IF(OR($A11="",$B11="",$C11="",$D11="",$E11=""),"必填项缺失",IF(COUNTIF(SOWStoryTable[故事],$C11)&gt;1,"故事名称重复",IF(AND($D11&lt;&gt;"是",$D11&lt;&gt;"否"),"UAT适用值非法",IF((COUNTIF(TaskTable[所属故事],$C11)+COUNTIFS(TaskTable[所属故事],"交付订单售后自动化回归资产",TaskTable[任务名称],"订单售后共享测试数据适配包"))=0,"故事缺少任务","通过")))))</f>
        <v>通过</v>
      </c>
    </row>
    <row r="12" customFormat="false" ht="94" hidden="false" customHeight="true" outlineLevel="0" collapsed="false">
      <c r="A12" s="4" t="s">
        <v>30</v>
      </c>
      <c r="B12" s="4" t="s">
        <v>35</v>
      </c>
      <c r="C12" s="4" t="s">
        <v>36</v>
      </c>
      <c r="D12" s="4" t="s">
        <v>14</v>
      </c>
      <c r="E12" s="4" t="s">
        <v>37</v>
      </c>
      <c r="F12" s="4"/>
      <c r="G12" s="5" t="str">
        <f aca="false" t="array" ref="G12">IF($C12="","",IFERROR(_xlfn.TEXTJOIN(CHAR(10),TRUE(),IF(TaskTable[所属故事]=$C12,"• ["&amp;TaskTable[工作类型名称]&amp;"/"&amp;TaskTable[工作方式]&amp;"/"&amp;TaskTable[复杂度]&amp;"] "&amp;TaskTable[任务名称],"")),""))</f>
        <v>• [数据编辑与业务交互页面/调整/M] 退货处理页补充审核字段
• [业务操作 API/调整/M] 退货审核状态事务调整
• [功能与资源访问控制/调整/M] 售后功能授权策略集</v>
      </c>
      <c r="H12" s="5" t="n">
        <f aca="false">IF($C12="","",CEILING(SUMIFS(TaskTable[任务人天],TaskTable[所属故事],$C12),INDEX(ProjectParameterTable[值],MATCH("ROUND_STORY",ProjectParameterTable[参数代码],0))))</f>
        <v>4.5</v>
      </c>
      <c r="I12" s="5" t="str">
        <f aca="false">IF(COUNTA($A12:$F12)=0,"",IF(OR($A12="",$B12="",$C12="",$D12="",$E12=""),"必填项缺失",IF(COUNTIF(SOWStoryTable[故事],$C12)&gt;1,"故事名称重复",IF(AND($D12&lt;&gt;"是",$D12&lt;&gt;"否"),"UAT适用值非法",IF(COUNTIF(TaskTable[所属故事],$C12)=0,"故事缺少任务","通过")))))</f>
        <v>通过</v>
      </c>
    </row>
    <row r="13" customFormat="false" ht="124" hidden="false" customHeight="true" outlineLevel="0" collapsed="false">
      <c r="A13" s="4" t="s">
        <v>30</v>
      </c>
      <c r="B13" s="4" t="s">
        <v>38</v>
      </c>
      <c r="C13" s="4" t="s">
        <v>39</v>
      </c>
      <c r="D13" s="4" t="s">
        <v>14</v>
      </c>
      <c r="E13" s="4" t="s">
        <v>40</v>
      </c>
      <c r="F13" s="4"/>
      <c r="G13" s="5" t="str">
        <f aca="false" t="array" ref="G13">IF($C13="","",IFERROR(_xlfn.TEXTJOIN(CHAR(10),TRUE(),IF(TaskTable[所属故事]=$C13,"• ["&amp;TaskTable[工作类型名称]&amp;"/"&amp;TaskTable[工作方式]&amp;"/"&amp;TaskTable[复杂度]&amp;"] "&amp;TaskTable[任务名称],"")),""))</f>
        <v>• [业务操作 API/新建/L] 退款申请原子业务事务
• [跨系统业务交互集成/接入复用/S] mall 接入财务退款提交查询适配器
• [跨系统业务交互集成/新建/M] 财务向 mall 回传退款结果
• [异常补偿与业务恢复流程/新建/M] 退款结果不明恢复流程</v>
      </c>
      <c r="H13" s="5" t="n">
        <f aca="false">IF($C13="","",CEILING(SUMIFS(TaskTable[任务人天],TaskTable[所属故事],$C13),INDEX(ProjectParameterTable[值],MATCH("ROUND_STORY",ProjectParameterTable[参数代码],0))))</f>
        <v>10</v>
      </c>
      <c r="I13" s="5" t="str">
        <f aca="false">IF(COUNTA($A13:$F13)=0,"",IF(OR($A13="",$B13="",$C13="",$D13="",$E13=""),"必填项缺失",IF(COUNTIF(SOWStoryTable[故事],$C13)&gt;1,"故事名称重复",IF(AND($D13&lt;&gt;"是",$D13&lt;&gt;"否"),"UAT适用值非法",IF(COUNTIF(TaskTable[所属故事],$C13)=0,"故事缺少任务","通过")))))</f>
        <v>通过</v>
      </c>
    </row>
    <row r="14" customFormat="false" ht="94" hidden="false" customHeight="true" outlineLevel="0" collapsed="false">
      <c r="A14" s="4" t="s">
        <v>30</v>
      </c>
      <c r="B14" s="4" t="s">
        <v>41</v>
      </c>
      <c r="C14" s="4" t="s">
        <v>42</v>
      </c>
      <c r="D14" s="4" t="s">
        <v>14</v>
      </c>
      <c r="E14" s="4" t="s">
        <v>43</v>
      </c>
      <c r="F14" s="4"/>
      <c r="G14" s="5" t="str">
        <f aca="false" t="array" ref="G14">IF($C14="","",IFERROR(_xlfn.TEXTJOIN(CHAR(10),TRUE(),IF(TaskTable[所属故事]=$C14,"• ["&amp;TaskTable[工作类型名称]&amp;"/"&amp;TaskTable[工作方式]&amp;"/"&amp;TaskTable[复杂度]&amp;"] "&amp;TaskTable[任务名称],"")),""))</f>
        <v>• [业务数据对账/新建/M] 退款日终差异对账资产
• [信息展示与查询页面/新建/S] 退款差异查询页面
• [批量数据集与数据馈送输出/新建/S] 退款差异机器数据集导出</v>
      </c>
      <c r="H14" s="5" t="n">
        <f aca="false">IF($C14="","",CEILING(SUMIFS(TaskTable[任务人天],TaskTable[所属故事],$C14),INDEX(ProjectParameterTable[值],MATCH("ROUND_STORY",ProjectParameterTable[参数代码],0))))</f>
        <v>4.5</v>
      </c>
      <c r="I14" s="5" t="str">
        <f aca="false">IF(COUNTA($A14:$F14)=0,"",IF(OR($A14="",$B14="",$C14="",$D14="",$E14=""),"必填项缺失",IF(COUNTIF(SOWStoryTable[故事],$C14)&gt;1,"故事名称重复",IF(AND($D14&lt;&gt;"是",$D14&lt;&gt;"否"),"UAT适用值非法",IF(COUNTIF(TaskTable[所属故事],$C14)=0,"故事缺少任务","通过")))))</f>
        <v>通过</v>
      </c>
    </row>
    <row r="15" customFormat="false" ht="49" hidden="false" customHeight="true" outlineLevel="0" collapsed="false">
      <c r="A15" s="4" t="s">
        <v>44</v>
      </c>
      <c r="B15" s="4" t="s">
        <v>45</v>
      </c>
      <c r="C15" s="4" t="s">
        <v>46</v>
      </c>
      <c r="D15" s="4" t="s">
        <v>14</v>
      </c>
      <c r="E15" s="4" t="s">
        <v>47</v>
      </c>
      <c r="F15" s="4"/>
      <c r="G15" s="5" t="str">
        <f aca="false" t="array" ref="G15">IF($C15="","",IFERROR(_xlfn.TEXTJOIN(CHAR(10),TRUE(),IF(TaskTable[所属故事]=$C15,"• ["&amp;TaskTable[工作类型名称]&amp;"/"&amp;TaskTable[工作方式]&amp;"/"&amp;TaskTable[复杂度]&amp;"] "&amp;TaskTable[任务名称],"")),""))</f>
        <v>• [身份与账号系统集成/接入复用/M] 后台接入企业 OIDC 客户端</v>
      </c>
      <c r="H15" s="5" t="n">
        <f aca="false">IF($C15="","",CEILING(SUMIFS(TaskTable[任务人天],TaskTable[所属故事],$C15),INDEX(ProjectParameterTable[值],MATCH("ROUND_STORY",ProjectParameterTable[参数代码],0))))</f>
        <v>1.5</v>
      </c>
      <c r="I15" s="5" t="str">
        <f aca="false">IF(COUNTA($A15:$F15)=0,"",IF(OR($A15="",$B15="",$C15="",$D15="",$E15=""),"必填项缺失",IF(COUNTIF(SOWStoryTable[故事],$C15)&gt;1,"故事名称重复",IF(AND($D15&lt;&gt;"是",$D15&lt;&gt;"否"),"UAT适用值非法",IF(COUNTIF(TaskTable[所属故事],$C15)=0,"故事缺少任务","通过")))))</f>
        <v>通过</v>
      </c>
    </row>
    <row r="16" customFormat="false" ht="64" hidden="false" customHeight="true" outlineLevel="0" collapsed="false">
      <c r="A16" s="4" t="s">
        <v>44</v>
      </c>
      <c r="B16" s="4" t="s">
        <v>45</v>
      </c>
      <c r="C16" s="4" t="s">
        <v>48</v>
      </c>
      <c r="D16" s="4" t="s">
        <v>14</v>
      </c>
      <c r="E16" s="4" t="s">
        <v>49</v>
      </c>
      <c r="F16" s="4"/>
      <c r="G16" s="5" t="str">
        <f aca="false" t="array" ref="G16">IF($C16="","",IFERROR(_xlfn.TEXTJOIN(CHAR(10),TRUE(),IF(TaskTable[所属故事]=$C16,"• ["&amp;TaskTable[工作类型名称]&amp;"/"&amp;TaskTable[工作方式]&amp;"/"&amp;TaskTable[复杂度]&amp;"] "&amp;TaskTable[任务名称],"")),""))</f>
        <v>• [业务操作审计追踪/接入复用/M] 售后业务审计接入包</v>
      </c>
      <c r="H16" s="5" t="n">
        <f aca="false">IF($C16="","",CEILING(SUMIFS(TaskTable[任务人天],TaskTable[所属故事],$C16),INDEX(ProjectParameterTable[值],MATCH("ROUND_STORY",ProjectParameterTable[参数代码],0))))</f>
        <v>1</v>
      </c>
      <c r="I16" s="5" t="str">
        <f aca="false">IF(COUNTA($A16:$F16)=0,"",IF(OR($A16="",$B16="",$C16="",$D16="",$E16=""),"必填项缺失",IF(COUNTIF(SOWStoryTable[故事],$C16)&gt;1,"故事名称重复",IF(AND($D16&lt;&gt;"是",$D16&lt;&gt;"否"),"UAT适用值非法",IF(COUNTIF(TaskTable[所属故事],$C16)=0,"故事缺少任务","通过")))))</f>
        <v>通过</v>
      </c>
    </row>
    <row r="17" customFormat="false" ht="94" hidden="false" customHeight="true" outlineLevel="0" collapsed="false">
      <c r="A17" s="4" t="s">
        <v>44</v>
      </c>
      <c r="B17" s="4" t="s">
        <v>50</v>
      </c>
      <c r="C17" s="4" t="s">
        <v>51</v>
      </c>
      <c r="D17" s="4" t="s">
        <v>52</v>
      </c>
      <c r="E17" s="4" t="s">
        <v>53</v>
      </c>
      <c r="F17" s="4" t="s">
        <v>54</v>
      </c>
      <c r="G17" s="5" t="str">
        <f aca="false" t="array" ref="G17">IF($C17="","",IFERROR(_xlfn.TEXTJOIN(CHAR(10),TRUE(),IF(TaskTable[所属故事]=$C17,"• ["&amp;TaskTable[工作类型名称]&amp;"/"&amp;TaskTable[工作方式]&amp;"/"&amp;TaskTable[复杂度]&amp;"] "&amp;TaskTable[任务名称],"")),""))</f>
        <v>• [历史数据迁移/新建/M] 历史订单到包裹结构迁移脚本
• [数据迁移演练/新建/M] 历史订单迁移批次演练
• [生产数据迁移执行/新建/M] 历史订单生产迁移执行</v>
      </c>
      <c r="H17" s="5" t="n">
        <f aca="false">IF($C17="","",CEILING(SUMIFS(TaskTable[任务人天],TaskTable[所属故事],$C17),INDEX(ProjectParameterTable[值],MATCH("ROUND_STORY",ProjectParameterTable[参数代码],0))))</f>
        <v>7</v>
      </c>
      <c r="I17" s="5" t="str">
        <f aca="false">IF(COUNTA($A17:$F17)=0,"",IF(OR($A17="",$B17="",$C17="",$D17="",$E17=""),"必填项缺失",IF(COUNTIF(SOWStoryTable[故事],$C17)&gt;1,"故事名称重复",IF(AND($D17&lt;&gt;"是",$D17&lt;&gt;"否"),"UAT适用值非法",IF(COUNTIF(TaskTable[所属故事],$C17)=0,"故事缺少任务","通过")))))</f>
        <v>通过</v>
      </c>
    </row>
    <row r="18" customFormat="false" ht="184" hidden="false" customHeight="true" outlineLevel="0" collapsed="false">
      <c r="A18" s="4" t="s">
        <v>44</v>
      </c>
      <c r="B18" s="4" t="s">
        <v>50</v>
      </c>
      <c r="C18" s="4" t="s">
        <v>55</v>
      </c>
      <c r="D18" s="4" t="s">
        <v>52</v>
      </c>
      <c r="E18" s="4" t="s">
        <v>56</v>
      </c>
      <c r="F18" s="4" t="s">
        <v>57</v>
      </c>
      <c r="G18" s="5" t="str">
        <f aca="false" t="array" ref="G18">IF($C18="","",IFERROR(_xlfn.TEXTJOIN(CHAR(10),TRUE(),IF(TaskTable[所属故事]=$C18,"• ["&amp;TaskTable[工作类型名称]&amp;"/"&amp;TaskTable[工作方式]&amp;"/"&amp;TaskTable[复杂度]&amp;"] "&amp;TaskTable[任务名称],"")),""))</f>
        <v>• [API 自动化回归测试/新建/M] 订单查询与拆包 API 自动化
• [API 自动化回归测试/新建/L] 退款闭环 API 自动化
• [用户界面端到端自动化测试/新建/M] 订单履约浏览器回归
• [用户界面端到端自动化测试/新建/M] 退货申请到审核浏览器回归
• [接口契约测试/新建/M] WMS 接口组契约兼容测试
• [可复用测试支撑资产/接入复用/M] 订单售后共享测试数据适配包</v>
      </c>
      <c r="H18" s="5" t="n">
        <f aca="false">IF($C18="","",CEILING(SUMIFS(TaskTable[任务人天],TaskTable[所属故事],$C18),INDEX(ProjectParameterTable[值],MATCH("ROUND_STORY",ProjectParameterTable[参数代码],0))))</f>
        <v>9.5</v>
      </c>
      <c r="I18" s="5" t="str">
        <f aca="false">IF(COUNTA($A18:$F18)=0,"",IF(OR($A18="",$B18="",$C18="",$D18="",$E18=""),"必填项缺失",IF(COUNTIF(SOWStoryTable[故事],$C18)&gt;1,"故事名称重复",IF(AND($D18&lt;&gt;"是",$D18&lt;&gt;"否"),"UAT适用值非法",IF(COUNTIF(TaskTable[所属故事],$C18)=0,"故事缺少任务","通过")))))</f>
        <v>通过</v>
      </c>
    </row>
    <row r="19" customFormat="false" ht="64" hidden="false" customHeight="true" outlineLevel="0" collapsed="false">
      <c r="A19" s="4" t="s">
        <v>44</v>
      </c>
      <c r="B19" s="4" t="s">
        <v>50</v>
      </c>
      <c r="C19" s="4" t="s">
        <v>58</v>
      </c>
      <c r="D19" s="4" t="s">
        <v>52</v>
      </c>
      <c r="E19" s="4" t="s">
        <v>59</v>
      </c>
      <c r="F19" s="4"/>
      <c r="G19" s="5" t="str">
        <f aca="false" t="array" ref="G19">IF($C19="","",IFERROR(_xlfn.TEXTJOIN(CHAR(10),TRUE(),IF(TaskTable[所属故事]=$C19,"• ["&amp;TaskTable[工作类型名称]&amp;"/"&amp;TaskTable[工作方式]&amp;"/"&amp;TaskTable[复杂度]&amp;"] "&amp;TaskTable[任务名称],"")),""))</f>
        <v>• [性能与可靠性工程/调整/L] 订单查询链路专项调优
• [性能、容量与稳定性验证/新建/M] 订单查询独立负载模型</v>
      </c>
      <c r="H19" s="5" t="n">
        <f aca="false">IF($C19="","",CEILING(SUMIFS(TaskTable[任务人天],TaskTable[所属故事],$C19),INDEX(ProjectParameterTable[值],MATCH("ROUND_STORY",ProjectParameterTable[参数代码],0))))</f>
        <v>5</v>
      </c>
      <c r="I19" s="5" t="str">
        <f aca="false">IF(COUNTA($A19:$F19)=0,"",IF(OR($A19="",$B19="",$C19="",$D19="",$E19=""),"必填项缺失",IF(COUNTIF(SOWStoryTable[故事],$C19)&gt;1,"故事名称重复",IF(AND($D19&lt;&gt;"是",$D19&lt;&gt;"否"),"UAT适用值非法",IF(COUNTIF(TaskTable[所属故事],$C19)=0,"故事缺少任务","通过")))))</f>
        <v>通过</v>
      </c>
    </row>
    <row r="20" customFormat="false" ht="64" hidden="false" customHeight="true" outlineLevel="0" collapsed="false">
      <c r="A20" s="4" t="s">
        <v>44</v>
      </c>
      <c r="B20" s="4" t="s">
        <v>50</v>
      </c>
      <c r="C20" s="4" t="s">
        <v>60</v>
      </c>
      <c r="D20" s="4" t="s">
        <v>52</v>
      </c>
      <c r="E20" s="4" t="s">
        <v>61</v>
      </c>
      <c r="F20" s="4"/>
      <c r="G20" s="5" t="str">
        <f aca="false" t="array" ref="G20">IF($C20="","",IFERROR(_xlfn.TEXTJOIN(CHAR(10),TRUE(),IF(TaskTable[所属故事]=$C20,"• ["&amp;TaskTable[工作类型名称]&amp;"/"&amp;TaskTable[工作方式]&amp;"/"&amp;TaskTable[复杂度]&amp;"] "&amp;TaskTable[任务名称],"")),""))</f>
        <v>• [应用信息安全（Cybersecurity）验证/新建/M] 后台售后信息安全验证专题</v>
      </c>
      <c r="H20" s="5" t="n">
        <f aca="false">IF($C20="","",CEILING(SUMIFS(TaskTable[任务人天],TaskTable[所属故事],$C20),INDEX(ProjectParameterTable[值],MATCH("ROUND_STORY",ProjectParameterTable[参数代码],0))))</f>
        <v>2</v>
      </c>
      <c r="I20" s="5" t="str">
        <f aca="false">IF(COUNTA($A20:$F20)=0,"",IF(OR($A20="",$B20="",$C20="",$D20="",$E20=""),"必填项缺失",IF(COUNTIF(SOWStoryTable[故事],$C20)&gt;1,"故事名称重复",IF(AND($D20&lt;&gt;"是",$D20&lt;&gt;"否"),"UAT适用值非法",IF(COUNTIF(TaskTable[所属故事],$C20)=0,"故事缺少任务","通过")))))</f>
        <v>通过</v>
      </c>
    </row>
    <row r="21" customFormat="false" ht="94" hidden="false" customHeight="true" outlineLevel="0" collapsed="false">
      <c r="A21" s="4" t="s">
        <v>44</v>
      </c>
      <c r="B21" s="4" t="s">
        <v>62</v>
      </c>
      <c r="C21" s="4" t="s">
        <v>63</v>
      </c>
      <c r="D21" s="4" t="s">
        <v>52</v>
      </c>
      <c r="E21" s="4" t="s">
        <v>64</v>
      </c>
      <c r="F21" s="4"/>
      <c r="G21" s="5" t="str">
        <f aca="false" t="array" ref="G21">IF($C21="","",IFERROR(_xlfn.TEXTJOIN(CHAR(10),TRUE(),IF(TaskTable[所属故事]=$C21,"• ["&amp;TaskTable[工作类型名称]&amp;"/"&amp;TaskTable[工作方式]&amp;"/"&amp;TaskTable[复杂度]&amp;"] "&amp;TaskTable[任务名称],"")),""))</f>
        <v>• [构建与发布自动化/接入复用/M] 后台服务流水线接入
• [构建与发布自动化/接入复用/M] 门户服务流水线接入
• [构建与发布自动化/接入复用/M] 后台 Web 流水线接入</v>
      </c>
      <c r="H21" s="5" t="n">
        <f aca="false">IF($C21="","",CEILING(SUMIFS(TaskTable[任务人天],TaskTable[所属故事],$C21),INDEX(ProjectParameterTable[值],MATCH("ROUND_STORY",ProjectParameterTable[参数代码],0))))</f>
        <v>3</v>
      </c>
      <c r="I21" s="5" t="str">
        <f aca="false">IF(COUNTA($A21:$F21)=0,"",IF(OR($A21="",$B21="",$C21="",$D21="",$E21=""),"必填项缺失",IF(COUNTIF(SOWStoryTable[故事],$C21)&gt;1,"故事名称重复",IF(AND($D21&lt;&gt;"是",$D21&lt;&gt;"否"),"UAT适用值非法",IF(COUNTIF(TaskTable[所属故事],$C21)=0,"故事缺少任务","通过")))))</f>
        <v>通过</v>
      </c>
    </row>
    <row r="22" customFormat="false" ht="184" hidden="false" customHeight="true" outlineLevel="0" collapsed="false">
      <c r="A22" s="4" t="s">
        <v>44</v>
      </c>
      <c r="B22" s="4" t="s">
        <v>62</v>
      </c>
      <c r="C22" s="4" t="s">
        <v>65</v>
      </c>
      <c r="D22" s="4" t="s">
        <v>52</v>
      </c>
      <c r="E22" s="4" t="s">
        <v>66</v>
      </c>
      <c r="F22" s="4"/>
      <c r="G22" s="5" t="str">
        <f aca="false" t="array" ref="G22">IF($C22="","",IFERROR(_xlfn.TEXTJOIN(CHAR(10),TRUE(),IF(TaskTable[所属故事]=$C22,"• ["&amp;TaskTable[工作类型名称]&amp;"/"&amp;TaskTable[工作方式]&amp;"/"&amp;TaskTable[复杂度]&amp;"] "&amp;TaskTable[任务名称],"")),""))</f>
        <v>• [应用部署与运行环境接入/接入复用/M] 后台服务接入UAT环境
• [应用部署与运行环境接入/接入复用/M] 后台服务接入PROD环境
• [应用部署与运行环境接入/接入复用/M] 门户服务接入UAT环境
• [应用部署与运行环境接入/接入复用/M] 门户服务接入PROD环境
• [应用部署与运行环境接入/接入复用/M] 后台 Web接入UAT环境
• [应用部署与运行环境接入/接入复用/M] 后台 Web接入PROD环境</v>
      </c>
      <c r="H22" s="5" t="n">
        <f aca="false">IF($C22="","",CEILING(SUMIFS(TaskTable[任务人天],TaskTable[所属故事],$C22),INDEX(ProjectParameterTable[值],MATCH("ROUND_STORY",ProjectParameterTable[参数代码],0))))</f>
        <v>6</v>
      </c>
      <c r="I22" s="5" t="str">
        <f aca="false">IF(COUNTA($A22:$F22)=0,"",IF(OR($A22="",$B22="",$C22="",$D22="",$E22=""),"必填项缺失",IF(COUNTIF(SOWStoryTable[故事],$C22)&gt;1,"故事名称重复",IF(AND($D22&lt;&gt;"是",$D22&lt;&gt;"否"),"UAT适用值非法",IF(COUNTIF(TaskTable[所属故事],$C22)=0,"故事缺少任务","通过")))))</f>
        <v>通过</v>
      </c>
    </row>
    <row r="23" customFormat="false" ht="124" hidden="false" customHeight="true" outlineLevel="0" collapsed="false">
      <c r="A23" s="4" t="s">
        <v>44</v>
      </c>
      <c r="B23" s="4" t="s">
        <v>62</v>
      </c>
      <c r="C23" s="4" t="s">
        <v>67</v>
      </c>
      <c r="D23" s="4" t="s">
        <v>52</v>
      </c>
      <c r="E23" s="4" t="s">
        <v>68</v>
      </c>
      <c r="F23" s="4"/>
      <c r="G23" s="5" t="str">
        <f aca="false" t="array" ref="G23">IF($C23="","",IFERROR(_xlfn.TEXTJOIN(CHAR(10),TRUE(),IF(TaskTable[所属故事]=$C23,"• ["&amp;TaskTable[工作类型名称]&amp;"/"&amp;TaskTable[工作方式]&amp;"/"&amp;TaskTable[复杂度]&amp;"] "&amp;TaskTable[任务名称],"")),""))</f>
        <v>• [应用日志、指标与链路追踪接入/接入复用/S] 后台售后遥测接入
• [应用监控与告警/接入复用/M] 售后异常告警组接入
• [应用配置与功能开关/接入复用/M] 售后功能开关控制域接入
• [应用运行维护手册/新建/M] 售后运行维护手册</v>
      </c>
      <c r="H23" s="5" t="n">
        <f aca="false">IF($C23="","",CEILING(SUMIFS(TaskTable[任务人天],TaskTable[所属故事],$C23),INDEX(ProjectParameterTable[值],MATCH("ROUND_STORY",ProjectParameterTable[参数代码],0))))</f>
        <v>4.5</v>
      </c>
      <c r="I23" s="5" t="str">
        <f aca="false">IF(COUNTA($A23:$F23)=0,"",IF(OR($A23="",$B23="",$C23="",$D23="",$E23=""),"必填项缺失",IF(COUNTIF(SOWStoryTable[故事],$C23)&gt;1,"故事名称重复",IF(AND($D23&lt;&gt;"是",$D23&lt;&gt;"否"),"UAT适用值非法",IF(COUNTIF(TaskTable[所属故事],$C23)=0,"故事缺少任务","通过")))))</f>
        <v>通过</v>
      </c>
    </row>
    <row r="24" customFormat="false" ht="154" hidden="false" customHeight="true" outlineLevel="0" collapsed="false">
      <c r="A24" s="4" t="s">
        <v>44</v>
      </c>
      <c r="B24" s="4" t="s">
        <v>62</v>
      </c>
      <c r="C24" s="4" t="s">
        <v>69</v>
      </c>
      <c r="D24" s="4" t="s">
        <v>52</v>
      </c>
      <c r="E24" s="4" t="s">
        <v>70</v>
      </c>
      <c r="F24" s="4"/>
      <c r="G24" s="5" t="str">
        <f aca="false" t="array" ref="G24">IF($C24="","",IFERROR(_xlfn.TEXTJOIN(CHAR(10),TRUE(),IF(TaskTable[所属故事]=$C24,"• ["&amp;TaskTable[工作类型名称]&amp;"/"&amp;TaskTable[工作方式]&amp;"/"&amp;TaskTable[复杂度]&amp;"] "&amp;TaskTable[任务名称],"")),""))</f>
        <v>• [发布与切换方案/新建/M] 订单售后发布批次切换方案
• [发布与切换演练/新建/M] 订单售后发布批次演练
• [发布技术执行/新建/S] 后台服务 R01 发布执行
• [发布技术执行/新建/S] 门户服务 R01 发布执行
• [发布技术执行/新建/S] 后台 Web R01 发布执行</v>
      </c>
      <c r="H24" s="5" t="n">
        <f aca="false">IF($C24="","",CEILING(SUMIFS(TaskTable[任务人天],TaskTable[所属故事],$C24),INDEX(ProjectParameterTable[值],MATCH("ROUND_STORY",ProjectParameterTable[参数代码],0))))</f>
        <v>6.5</v>
      </c>
      <c r="I24" s="5" t="str">
        <f aca="false">IF(COUNTA($A24:$F24)=0,"",IF(OR($A24="",$B24="",$C24="",$D24="",$E24=""),"必填项缺失",IF(COUNTIF(SOWStoryTable[故事],$C24)&gt;1,"故事名称重复",IF(AND($D24&lt;&gt;"是",$D24&lt;&gt;"否"),"UAT适用值非法",IF(COUNTIF(TaskTable[所属故事],$C24)=0,"故事缺少任务","通过")))))</f>
        <v>通过</v>
      </c>
    </row>
    <row r="25" customFormat="false" ht="64" hidden="false" customHeight="true" outlineLevel="0" collapsed="false">
      <c r="A25" s="4" t="s">
        <v>44</v>
      </c>
      <c r="B25" s="4" t="s">
        <v>62</v>
      </c>
      <c r="C25" s="4" t="s">
        <v>71</v>
      </c>
      <c r="D25" s="4" t="s">
        <v>52</v>
      </c>
      <c r="E25" s="4" t="s">
        <v>72</v>
      </c>
      <c r="F25" s="4"/>
      <c r="G25" s="5" t="str">
        <f aca="false" t="array" ref="G25">IF($C25="","",IFERROR(_xlfn.TEXTJOIN(CHAR(10),TRUE(),IF(TaskTable[所属故事]=$C25,"• ["&amp;TaskTable[工作类型名称]&amp;"/"&amp;TaskTable[工作方式]&amp;"/"&amp;TaskTable[复杂度]&amp;"] "&amp;TaskTable[任务名称],"")),""))</f>
        <v>• [技术知识交接（KT）/新建/M] 售后运行维护专题交接</v>
      </c>
      <c r="H25" s="5" t="n">
        <f aca="false">IF($C25="","",CEILING(SUMIFS(TaskTable[任务人天],TaskTable[所属故事],$C25),INDEX(ProjectParameterTable[值],MATCH("ROUND_STORY",ProjectParameterTable[参数代码],0))))</f>
        <v>1.5</v>
      </c>
      <c r="I25" s="5" t="str">
        <f aca="false">IF(COUNTA($A25:$F25)=0,"",IF(OR($A25="",$B25="",$C25="",$D25="",$E25=""),"必填项缺失",IF(COUNTIF(SOWStoryTable[故事],$C25)&gt;1,"故事名称重复",IF(AND($D25&lt;&gt;"是",$D25&lt;&gt;"否"),"UAT适用值非法",IF(COUNTIF(TaskTable[所属故事],$C25)=0,"故事缺少任务","通过")))))</f>
        <v>通过</v>
      </c>
    </row>
    <row r="26" customFormat="false" ht="64" hidden="false" customHeight="true" outlineLevel="0" collapsed="false">
      <c r="A26" s="4" t="s">
        <v>44</v>
      </c>
      <c r="B26" s="4" t="s">
        <v>73</v>
      </c>
      <c r="C26" s="4" t="s">
        <v>74</v>
      </c>
      <c r="D26" s="4" t="s">
        <v>52</v>
      </c>
      <c r="E26" s="4" t="s">
        <v>75</v>
      </c>
      <c r="F26" s="4"/>
      <c r="G26" s="5" t="str">
        <f aca="false" t="array" ref="G26">IF($C26="","",IFERROR(_xlfn.TEXTJOIN(CHAR(10),TRUE(),IF(TaskTable[所属故事]=$C26,"• ["&amp;TaskTable[工作类型名称]&amp;"/"&amp;TaskTable[工作方式]&amp;"/"&amp;TaskTable[复杂度]&amp;"] "&amp;TaskTable[任务名称],"")),""))</f>
        <v>• [需求与变更技术影响分析/新建/M] 订单售后变更影响分析专题
• [专项技术方案设计/新建/M] 履约状态一致性专项技术方案</v>
      </c>
      <c r="H26" s="5" t="n">
        <f aca="false">IF($C26="","",CEILING(SUMIFS(TaskTable[任务人天],TaskTable[所属故事],$C26),INDEX(ProjectParameterTable[值],MATCH("ROUND_STORY",ProjectParameterTable[参数代码],0))))</f>
        <v>3</v>
      </c>
      <c r="I26" s="5" t="str">
        <f aca="false">IF(COUNTA($A26:$F26)=0,"",IF(OR($A26="",$B26="",$C26="",$D26="",$E26=""),"必填项缺失",IF(COUNTIF(SOWStoryTable[故事],$C26)&gt;1,"故事名称重复",IF(AND($D26&lt;&gt;"是",$D26&lt;&gt;"否"),"UAT适用值非法",IF(COUNTIF(TaskTable[所属故事],$C26)=0,"故事缺少任务","通过")))))</f>
        <v>通过</v>
      </c>
    </row>
  </sheetData>
  <sheetProtection sheet="true" formatColumns="false" formatRows="false" insertRows="false" deleteRows="false" sort="false" autoFilter="false"/>
  <mergeCells count="2">
    <mergeCell ref="A1:I1"/>
    <mergeCell ref="A2:I2"/>
  </mergeCells>
  <conditionalFormatting sqref="I5:I1048576">
    <cfRule type="expression" priority="2" aboveAverage="0" equalAverage="0" bottom="0" percent="0" rank="0" text="" dxfId="4">
      <formula>AND($I5&lt;&gt;"",$I5&lt;&gt;"通过")</formula>
    </cfRule>
  </conditionalFormatting>
  <dataValidations count="2">
    <dataValidation sqref="D5:D1048576" showDropDown="0" showInputMessage="1" showErrorMessage="1" allowBlank="1" errorTitle="输入值不受支持" error="请选择受支持的值；粘贴数据后仍需运行补全 Skill 严格校验。" promptTitle="填写提示" prompt="请从下拉选项中选择。" type="list">
      <formula1>"是,否"</formula1>
    </dataValidation>
    <dataValidation sqref="C5:C1048576" showDropDown="0" showInputMessage="0" showErrorMessage="1" allowBlank="1" errorTitle="故事名称重复" error="故事名称必须全表唯一，任务通过故事名称关联。" type="custom" errorStyle="stop">
      <formula1>COUNTIF($C:$C,"="&amp;SUBSTITUTE(SUBSTITUTE(SUBSTITUTE(C5,"~","~~"),"*","~*"),"?","~?"))=1</formula1>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30"/>
    <col collapsed="false" customWidth="true" hidden="true" outlineLevel="0" max="3" min="3" style="0" width="25"/>
    <col collapsed="false" customWidth="true" hidden="false" outlineLevel="0" max="4" min="4" style="0" width="28"/>
    <col collapsed="false" customWidth="true" hidden="false" outlineLevel="0" max="5" min="5" style="0" width="12"/>
    <col collapsed="false" customWidth="true" hidden="false" outlineLevel="0" max="6" min="6" style="0" width="10"/>
    <col collapsed="false" customWidth="true" hidden="false" outlineLevel="0" max="7" min="7" style="0" width="16"/>
    <col collapsed="false" customWidth="true" hidden="false" outlineLevel="0" max="8" min="8" style="0" width="36"/>
    <col collapsed="false" customWidth="true" hidden="false" outlineLevel="0" max="10" min="9" style="0" width="14"/>
    <col collapsed="false" customWidth="true" hidden="false" outlineLevel="0" max="11" min="11" style="0" width="12"/>
    <col collapsed="false" customWidth="true" hidden="false" outlineLevel="0" max="12" min="12" style="0" width="14"/>
    <col collapsed="false" customWidth="true" hidden="false" outlineLevel="0" max="13" min="13" style="0" width="28"/>
  </cols>
  <sheetData>
    <row r="1" customFormat="false" ht="30" hidden="false" customHeight="true" outlineLevel="0" collapsed="false">
      <c r="A1" s="1" t="s">
        <v>76</v>
      </c>
      <c r="B1" s="1"/>
      <c r="C1" s="1"/>
      <c r="D1" s="1"/>
      <c r="E1" s="1"/>
      <c r="F1" s="1"/>
      <c r="G1" s="1"/>
      <c r="H1" s="1"/>
      <c r="I1" s="1"/>
      <c r="J1" s="1"/>
      <c r="K1" s="1"/>
      <c r="L1" s="1"/>
      <c r="M1" s="1"/>
    </row>
    <row r="2" customFormat="false" ht="34" hidden="false" customHeight="true" outlineLevel="0" collapsed="false">
      <c r="A2" s="2" t="s">
        <v>77</v>
      </c>
      <c r="B2" s="2"/>
      <c r="C2" s="2"/>
      <c r="D2" s="2"/>
      <c r="E2" s="2"/>
      <c r="F2" s="2"/>
      <c r="G2" s="2"/>
      <c r="H2" s="2"/>
      <c r="I2" s="2"/>
      <c r="J2" s="2"/>
      <c r="K2" s="2"/>
      <c r="L2" s="2"/>
      <c r="M2" s="2"/>
    </row>
    <row r="4" customFormat="false" ht="30" hidden="false" customHeight="true" outlineLevel="0" collapsed="false">
      <c r="A4" s="3" t="s">
        <v>78</v>
      </c>
      <c r="B4" s="3" t="s">
        <v>79</v>
      </c>
      <c r="C4" s="3" t="s">
        <v>80</v>
      </c>
      <c r="D4" s="3" t="s">
        <v>81</v>
      </c>
      <c r="E4" s="3" t="s">
        <v>82</v>
      </c>
      <c r="F4" s="3" t="s">
        <v>83</v>
      </c>
      <c r="G4" s="3" t="s">
        <v>84</v>
      </c>
      <c r="H4" s="3" t="s">
        <v>7</v>
      </c>
      <c r="I4" s="3" t="s">
        <v>85</v>
      </c>
      <c r="J4" s="3" t="s">
        <v>86</v>
      </c>
      <c r="K4" s="3" t="s">
        <v>87</v>
      </c>
      <c r="L4" s="3" t="s">
        <v>88</v>
      </c>
      <c r="M4" s="3" t="s">
        <v>10</v>
      </c>
    </row>
    <row r="5" customFormat="false" ht="79" hidden="false" customHeight="true" outlineLevel="0" collapsed="false">
      <c r="A5" s="4" t="s">
        <v>13</v>
      </c>
      <c r="B5" s="4" t="s">
        <v>89</v>
      </c>
      <c r="C5" s="5" t="str">
        <f aca="false">IFERROR(INDEX(TaskStandardTable[工作类型ID],MATCH($D5,TaskStandardTable[工作类型名称],0)),"")</f>
        <v>FE-VIEW</v>
      </c>
      <c r="D5" s="4" t="s">
        <v>90</v>
      </c>
      <c r="E5" s="4" t="s">
        <v>91</v>
      </c>
      <c r="F5" s="4" t="s">
        <v>92</v>
      </c>
      <c r="G5" s="4"/>
      <c r="H5" s="4" t="s">
        <v>93</v>
      </c>
      <c r="I5" s="6" t="n">
        <f aca="false">IFERROR(IF($E5="新建",IF(INDEX(TaskStandardTable[新建适用],MATCH($C5,TaskStandardTable[工作类型ID],0)),INDEX(TaskStandardTable[新建M档人天],MATCH($C5,TaskStandardTable[工作类型ID],0)),""),IF($E5="调整",IF(INDEX(TaskStandardTable[调整适用],MATCH($C5,TaskStandardTable[工作类型ID],0)),INDEX(TaskStandardTable[调整M档人天],MATCH($C5,TaskStandardTable[工作类型ID],0)),""),IF($E5="接入复用",IF(INDEX(TaskStandardTable[接入复用适用],MATCH($C5,TaskStandardTable[工作类型ID],0)),INDEX(TaskStandardTable[接入复用M档人天],MATCH($C5,TaskStandardTable[工作类型ID],0)),""),""))),"")</f>
        <v>1</v>
      </c>
      <c r="J5" s="6" t="n">
        <f aca="false">IFERROR(INDEX(ProjectParameterTable[值],MATCH("K_COMPLEXITY_"&amp;$F5,ProjectParameterTable[参数代码],0)),"")</f>
        <v>1</v>
      </c>
      <c r="K5" s="6" t="n">
        <f aca="false">IF(OR(NOT(ISNUMBER($I5)),NOT(ISNUMBER($J5))),"",ROUND($I5*$J5,1))</f>
        <v>1</v>
      </c>
      <c r="L5" s="6" t="n">
        <f aca="false">IF(COUNTA($A5:$B5,$D5:$H5)=0,"",IF($G5="",0,IF($G5="内部集成",ROUND(INDEX(ProjectParameterTable[值],MATCH("SIT_INT_SUPPORT",ProjectParameterTable[参数代码],0))*$J5,1),IF($G5="外部集成",ROUND(INDEX(ProjectParameterTable[值],MATCH("SIT_EXT_SUPPORT",ProjectParameterTable[参数代码],0))*$J5,1),""))))</f>
        <v>0</v>
      </c>
      <c r="M5" s="5" t="str">
        <f aca="false">IF(COUNTA($A5:$B5,$D5:$H5)=0,"",IF(OR($A5="",$B5="",$C5="",$E5="",$F5=""),"必填项缺失",IF(SUMPRODUCT(--(TaskTable[任务名称]=$B5))&gt;1,"任务名称重复",IF(COUNTIF(SOWStoryTable[故事],$A5)&lt;&gt;1,"所属故事未知",IF(NOT(OR($F5="S",$F5="M",$F5="L")),"复杂度非法",IF(NOT(OR($G5="",$G5="内部集成",$G5="外部集成")),"集成类型非法",IF(AND($G5&lt;&gt;"",NOT(IFERROR(INDEX(TaskStandardTable[SIT支持资格],MATCH($C5,TaskStandardTable[工作类型ID],0)),"")="PER_INTEGRATION")),"非集成任务不应填写集成类型",IF(AND($G5="",IFERROR(INDEX(TaskStandardTable[SIT支持资格],MATCH($C5,TaskStandardTable[工作类型ID],0)),"")="PER_INTEGRATION"),"集成类型缺失",IF(ISNUMBER($I5),"通过","工作类型与工作方式不适用")))))))))</f>
        <v>通过</v>
      </c>
    </row>
    <row r="6" customFormat="false" ht="79" hidden="false" customHeight="true" outlineLevel="0" collapsed="false">
      <c r="A6" s="4" t="s">
        <v>13</v>
      </c>
      <c r="B6" s="4" t="s">
        <v>94</v>
      </c>
      <c r="C6" s="5" t="str">
        <f aca="false">IFERROR(INDEX(TaskStandardTable[工作类型ID],MATCH($D6,TaskStandardTable[工作类型名称],0)),"")</f>
        <v>FE-QUERY-API</v>
      </c>
      <c r="D6" s="4" t="s">
        <v>95</v>
      </c>
      <c r="E6" s="4" t="s">
        <v>91</v>
      </c>
      <c r="F6" s="4" t="s">
        <v>92</v>
      </c>
      <c r="G6" s="4"/>
      <c r="H6" s="4" t="s">
        <v>96</v>
      </c>
      <c r="I6" s="6" t="n">
        <f aca="false">IFERROR(IF($E6="新建",IF(INDEX(TaskStandardTable[新建适用],MATCH($C6,TaskStandardTable[工作类型ID],0)),INDEX(TaskStandardTable[新建M档人天],MATCH($C6,TaskStandardTable[工作类型ID],0)),""),IF($E6="调整",IF(INDEX(TaskStandardTable[调整适用],MATCH($C6,TaskStandardTable[工作类型ID],0)),INDEX(TaskStandardTable[调整M档人天],MATCH($C6,TaskStandardTable[工作类型ID],0)),""),IF($E6="接入复用",IF(INDEX(TaskStandardTable[接入复用适用],MATCH($C6,TaskStandardTable[工作类型ID],0)),INDEX(TaskStandardTable[接入复用M档人天],MATCH($C6,TaskStandardTable[工作类型ID],0)),""),""))),"")</f>
        <v>1.5</v>
      </c>
      <c r="J6" s="6" t="n">
        <f aca="false">IFERROR(INDEX(ProjectParameterTable[值],MATCH("K_COMPLEXITY_"&amp;$F6,ProjectParameterTable[参数代码],0)),"")</f>
        <v>1</v>
      </c>
      <c r="K6" s="6" t="n">
        <f aca="false">IF(OR(NOT(ISNUMBER($I6)),NOT(ISNUMBER($J6))),"",ROUND($I6*$J6,1))</f>
        <v>1.5</v>
      </c>
      <c r="L6" s="6" t="n">
        <f aca="false">IF(COUNTA($A6:$B6,$D6:$H6)=0,"",IF($G6="",0,IF($G6="内部集成",ROUND(INDEX(ProjectParameterTable[值],MATCH("SIT_INT_SUPPORT",ProjectParameterTable[参数代码],0))*$J6,1),IF($G6="外部集成",ROUND(INDEX(ProjectParameterTable[值],MATCH("SIT_EXT_SUPPORT",ProjectParameterTable[参数代码],0))*$J6,1),""))))</f>
        <v>0</v>
      </c>
      <c r="M6" s="5" t="str">
        <f aca="false">IF(COUNTA($A6:$B6,$D6:$H6)=0,"",IF(OR($A6="",$B6="",$C6="",$E6="",$F6=""),"必填项缺失",IF(SUMPRODUCT(--(TaskTable[任务名称]=$B6))&gt;1,"任务名称重复",IF(COUNTIF(SOWStoryTable[故事],$A6)&lt;&gt;1,"所属故事未知",IF(NOT(OR($F6="S",$F6="M",$F6="L")),"复杂度非法",IF(NOT(OR($G6="",$G6="内部集成",$G6="外部集成")),"集成类型非法",IF(AND($G6&lt;&gt;"",NOT(IFERROR(INDEX(TaskStandardTable[SIT支持资格],MATCH($C6,TaskStandardTable[工作类型ID],0)),"")="PER_INTEGRATION")),"非集成任务不应填写集成类型",IF(AND($G6="",IFERROR(INDEX(TaskStandardTable[SIT支持资格],MATCH($C6,TaskStandardTable[工作类型ID],0)),"")="PER_INTEGRATION"),"集成类型缺失",IF(ISNUMBER($I6),"通过","工作类型与工作方式不适用")))))))))</f>
        <v>通过</v>
      </c>
    </row>
    <row r="7" customFormat="false" ht="94" hidden="false" customHeight="true" outlineLevel="0" collapsed="false">
      <c r="A7" s="4" t="s">
        <v>17</v>
      </c>
      <c r="B7" s="4" t="s">
        <v>97</v>
      </c>
      <c r="C7" s="5" t="str">
        <f aca="false">IFERROR(INDEX(TaskStandardTable[工作类型ID],MATCH($D7,TaskStandardTable[工作类型名称],0)),"")</f>
        <v>FE-VIEW</v>
      </c>
      <c r="D7" s="4" t="s">
        <v>90</v>
      </c>
      <c r="E7" s="4" t="s">
        <v>91</v>
      </c>
      <c r="F7" s="4" t="s">
        <v>98</v>
      </c>
      <c r="G7" s="4"/>
      <c r="H7" s="4" t="s">
        <v>99</v>
      </c>
      <c r="I7" s="6" t="n">
        <f aca="false">IFERROR(IF($E7="新建",IF(INDEX(TaskStandardTable[新建适用],MATCH($C7,TaskStandardTable[工作类型ID],0)),INDEX(TaskStandardTable[新建M档人天],MATCH($C7,TaskStandardTable[工作类型ID],0)),""),IF($E7="调整",IF(INDEX(TaskStandardTable[调整适用],MATCH($C7,TaskStandardTable[工作类型ID],0)),INDEX(TaskStandardTable[调整M档人天],MATCH($C7,TaskStandardTable[工作类型ID],0)),""),IF($E7="接入复用",IF(INDEX(TaskStandardTable[接入复用适用],MATCH($C7,TaskStandardTable[工作类型ID],0)),INDEX(TaskStandardTable[接入复用M档人天],MATCH($C7,TaskStandardTable[工作类型ID],0)),""),""))),"")</f>
        <v>1</v>
      </c>
      <c r="J7" s="6" t="n">
        <f aca="false">IFERROR(INDEX(ProjectParameterTable[值],MATCH("K_COMPLEXITY_"&amp;$F7,ProjectParameterTable[参数代码],0)),"")</f>
        <v>1.5</v>
      </c>
      <c r="K7" s="6" t="n">
        <f aca="false">IF(OR(NOT(ISNUMBER($I7)),NOT(ISNUMBER($J7))),"",ROUND($I7*$J7,1))</f>
        <v>1.5</v>
      </c>
      <c r="L7" s="6" t="n">
        <f aca="false">IF(COUNTA($A7:$B7,$D7:$H7)=0,"",IF($G7="",0,IF($G7="内部集成",ROUND(INDEX(ProjectParameterTable[值],MATCH("SIT_INT_SUPPORT",ProjectParameterTable[参数代码],0))*$J7,1),IF($G7="外部集成",ROUND(INDEX(ProjectParameterTable[值],MATCH("SIT_EXT_SUPPORT",ProjectParameterTable[参数代码],0))*$J7,1),""))))</f>
        <v>0</v>
      </c>
      <c r="M7" s="5" t="str">
        <f aca="false">IF(COUNTA($A7:$B7,$D7:$H7)=0,"",IF(OR($A7="",$B7="",$C7="",$E7="",$F7=""),"必填项缺失",IF(SUMPRODUCT(--(TaskTable[任务名称]=$B7))&gt;1,"任务名称重复",IF(COUNTIF(SOWStoryTable[故事],$A7)&lt;&gt;1,"所属故事未知",IF(NOT(OR($F7="S",$F7="M",$F7="L")),"复杂度非法",IF(NOT(OR($G7="",$G7="内部集成",$G7="外部集成")),"集成类型非法",IF(AND($G7&lt;&gt;"",NOT(IFERROR(INDEX(TaskStandardTable[SIT支持资格],MATCH($C7,TaskStandardTable[工作类型ID],0)),"")="PER_INTEGRATION")),"非集成任务不应填写集成类型",IF(AND($G7="",IFERROR(INDEX(TaskStandardTable[SIT支持资格],MATCH($C7,TaskStandardTable[工作类型ID],0)),"")="PER_INTEGRATION"),"集成类型缺失",IF(ISNUMBER($I7),"通过","工作类型与工作方式不适用")))))))))</f>
        <v>通过</v>
      </c>
    </row>
    <row r="8" customFormat="false" ht="79" hidden="false" customHeight="true" outlineLevel="0" collapsed="false">
      <c r="A8" s="4" t="s">
        <v>17</v>
      </c>
      <c r="B8" s="4" t="s">
        <v>100</v>
      </c>
      <c r="C8" s="5" t="str">
        <f aca="false">IFERROR(INDEX(TaskStandardTable[工作类型ID],MATCH($D8,TaskStandardTable[工作类型名称],0)),"")</f>
        <v>FE-QUERY-API</v>
      </c>
      <c r="D8" s="4" t="s">
        <v>95</v>
      </c>
      <c r="E8" s="4" t="s">
        <v>91</v>
      </c>
      <c r="F8" s="4" t="s">
        <v>92</v>
      </c>
      <c r="G8" s="4"/>
      <c r="H8" s="4" t="s">
        <v>101</v>
      </c>
      <c r="I8" s="6" t="n">
        <f aca="false">IFERROR(IF($E8="新建",IF(INDEX(TaskStandardTable[新建适用],MATCH($C8,TaskStandardTable[工作类型ID],0)),INDEX(TaskStandardTable[新建M档人天],MATCH($C8,TaskStandardTable[工作类型ID],0)),""),IF($E8="调整",IF(INDEX(TaskStandardTable[调整适用],MATCH($C8,TaskStandardTable[工作类型ID],0)),INDEX(TaskStandardTable[调整M档人天],MATCH($C8,TaskStandardTable[工作类型ID],0)),""),IF($E8="接入复用",IF(INDEX(TaskStandardTable[接入复用适用],MATCH($C8,TaskStandardTable[工作类型ID],0)),INDEX(TaskStandardTable[接入复用M档人天],MATCH($C8,TaskStandardTable[工作类型ID],0)),""),""))),"")</f>
        <v>1.5</v>
      </c>
      <c r="J8" s="6" t="n">
        <f aca="false">IFERROR(INDEX(ProjectParameterTable[值],MATCH("K_COMPLEXITY_"&amp;$F8,ProjectParameterTable[参数代码],0)),"")</f>
        <v>1</v>
      </c>
      <c r="K8" s="6" t="n">
        <f aca="false">IF(OR(NOT(ISNUMBER($I8)),NOT(ISNUMBER($J8))),"",ROUND($I8*$J8,1))</f>
        <v>1.5</v>
      </c>
      <c r="L8" s="6" t="n">
        <f aca="false">IF(COUNTA($A8:$B8,$D8:$H8)=0,"",IF($G8="",0,IF($G8="内部集成",ROUND(INDEX(ProjectParameterTable[值],MATCH("SIT_INT_SUPPORT",ProjectParameterTable[参数代码],0))*$J8,1),IF($G8="外部集成",ROUND(INDEX(ProjectParameterTable[值],MATCH("SIT_EXT_SUPPORT",ProjectParameterTable[参数代码],0))*$J8,1),""))))</f>
        <v>0</v>
      </c>
      <c r="M8" s="5" t="str">
        <f aca="false">IF(COUNTA($A8:$B8,$D8:$H8)=0,"",IF(OR($A8="",$B8="",$C8="",$E8="",$F8=""),"必填项缺失",IF(SUMPRODUCT(--(TaskTable[任务名称]=$B8))&gt;1,"任务名称重复",IF(COUNTIF(SOWStoryTable[故事],$A8)&lt;&gt;1,"所属故事未知",IF(NOT(OR($F8="S",$F8="M",$F8="L")),"复杂度非法",IF(NOT(OR($G8="",$G8="内部集成",$G8="外部集成")),"集成类型非法",IF(AND($G8&lt;&gt;"",NOT(IFERROR(INDEX(TaskStandardTable[SIT支持资格],MATCH($C8,TaskStandardTable[工作类型ID],0)),"")="PER_INTEGRATION")),"非集成任务不应填写集成类型",IF(AND($G8="",IFERROR(INDEX(TaskStandardTable[SIT支持资格],MATCH($C8,TaskStandardTable[工作类型ID],0)),"")="PER_INTEGRATION"),"集成类型缺失",IF(ISNUMBER($I8),"通过","工作类型与工作方式不适用")))))))))</f>
        <v>通过</v>
      </c>
    </row>
    <row r="9" customFormat="false" ht="109" hidden="false" customHeight="true" outlineLevel="0" collapsed="false">
      <c r="A9" s="4" t="s">
        <v>20</v>
      </c>
      <c r="B9" s="4" t="s">
        <v>102</v>
      </c>
      <c r="C9" s="5" t="str">
        <f aca="false">IFERROR(INDEX(TaskStandardTable[工作类型ID],MATCH($D9,TaskStandardTable[工作类型名称],0)),"")</f>
        <v>DATA-MODEL-STORAGE</v>
      </c>
      <c r="D9" s="4" t="s">
        <v>103</v>
      </c>
      <c r="E9" s="4" t="s">
        <v>104</v>
      </c>
      <c r="F9" s="4" t="s">
        <v>92</v>
      </c>
      <c r="G9" s="4"/>
      <c r="H9" s="4" t="s">
        <v>105</v>
      </c>
      <c r="I9" s="6" t="n">
        <f aca="false">IFERROR(IF($E9="新建",IF(INDEX(TaskStandardTable[新建适用],MATCH($C9,TaskStandardTable[工作类型ID],0)),INDEX(TaskStandardTable[新建M档人天],MATCH($C9,TaskStandardTable[工作类型ID],0)),""),IF($E9="调整",IF(INDEX(TaskStandardTable[调整适用],MATCH($C9,TaskStandardTable[工作类型ID],0)),INDEX(TaskStandardTable[调整M档人天],MATCH($C9,TaskStandardTable[工作类型ID],0)),""),IF($E9="接入复用",IF(INDEX(TaskStandardTable[接入复用适用],MATCH($C9,TaskStandardTable[工作类型ID],0)),INDEX(TaskStandardTable[接入复用M档人天],MATCH($C9,TaskStandardTable[工作类型ID],0)),""),""))),"")</f>
        <v>2.5</v>
      </c>
      <c r="J9" s="6" t="n">
        <f aca="false">IFERROR(INDEX(ProjectParameterTable[值],MATCH("K_COMPLEXITY_"&amp;$F9,ProjectParameterTable[参数代码],0)),"")</f>
        <v>1</v>
      </c>
      <c r="K9" s="6" t="n">
        <f aca="false">IF(OR(NOT(ISNUMBER($I9)),NOT(ISNUMBER($J9))),"",ROUND($I9*$J9,1))</f>
        <v>2.5</v>
      </c>
      <c r="L9" s="6" t="n">
        <f aca="false">IF(COUNTA($A9:$B9,$D9:$H9)=0,"",IF($G9="",0,IF($G9="内部集成",ROUND(INDEX(ProjectParameterTable[值],MATCH("SIT_INT_SUPPORT",ProjectParameterTable[参数代码],0))*$J9,1),IF($G9="外部集成",ROUND(INDEX(ProjectParameterTable[值],MATCH("SIT_EXT_SUPPORT",ProjectParameterTable[参数代码],0))*$J9,1),""))))</f>
        <v>0</v>
      </c>
      <c r="M9" s="5" t="str">
        <f aca="false">IF(COUNTA($A9:$B9,$D9:$H9)=0,"",IF(OR($A9="",$B9="",$C9="",$E9="",$F9=""),"必填项缺失",IF(SUMPRODUCT(--(TaskTable[任务名称]=$B9))&gt;1,"任务名称重复",IF(COUNTIF(SOWStoryTable[故事],$A9)&lt;&gt;1,"所属故事未知",IF(NOT(OR($F9="S",$F9="M",$F9="L")),"复杂度非法",IF(NOT(OR($G9="",$G9="内部集成",$G9="外部集成")),"集成类型非法",IF(AND($G9&lt;&gt;"",NOT(IFERROR(INDEX(TaskStandardTable[SIT支持资格],MATCH($C9,TaskStandardTable[工作类型ID],0)),"")="PER_INTEGRATION")),"非集成任务不应填写集成类型",IF(AND($G9="",IFERROR(INDEX(TaskStandardTable[SIT支持资格],MATCH($C9,TaskStandardTable[工作类型ID],0)),"")="PER_INTEGRATION"),"集成类型缺失",IF(ISNUMBER($I9),"通过","工作类型与工作方式不适用")))))))))</f>
        <v>通过</v>
      </c>
    </row>
    <row r="10" customFormat="false" ht="79" hidden="false" customHeight="true" outlineLevel="0" collapsed="false">
      <c r="A10" s="4" t="s">
        <v>20</v>
      </c>
      <c r="B10" s="4" t="s">
        <v>106</v>
      </c>
      <c r="C10" s="5" t="str">
        <f aca="false">IFERROR(INDEX(TaskStandardTable[工作类型ID],MATCH($D10,TaskStandardTable[工作类型名称],0)),"")</f>
        <v>FE-EDIT</v>
      </c>
      <c r="D10" s="4" t="s">
        <v>107</v>
      </c>
      <c r="E10" s="4" t="s">
        <v>104</v>
      </c>
      <c r="F10" s="4" t="s">
        <v>92</v>
      </c>
      <c r="G10" s="4"/>
      <c r="H10" s="4" t="s">
        <v>108</v>
      </c>
      <c r="I10" s="6" t="n">
        <f aca="false">IFERROR(IF($E10="新建",IF(INDEX(TaskStandardTable[新建适用],MATCH($C10,TaskStandardTable[工作类型ID],0)),INDEX(TaskStandardTable[新建M档人天],MATCH($C10,TaskStandardTable[工作类型ID],0)),""),IF($E10="调整",IF(INDEX(TaskStandardTable[调整适用],MATCH($C10,TaskStandardTable[工作类型ID],0)),INDEX(TaskStandardTable[调整M档人天],MATCH($C10,TaskStandardTable[工作类型ID],0)),""),IF($E10="接入复用",IF(INDEX(TaskStandardTable[接入复用适用],MATCH($C10,TaskStandardTable[工作类型ID],0)),INDEX(TaskStandardTable[接入复用M档人天],MATCH($C10,TaskStandardTable[工作类型ID],0)),""),""))),"")</f>
        <v>2</v>
      </c>
      <c r="J10" s="6" t="n">
        <f aca="false">IFERROR(INDEX(ProjectParameterTable[值],MATCH("K_COMPLEXITY_"&amp;$F10,ProjectParameterTable[参数代码],0)),"")</f>
        <v>1</v>
      </c>
      <c r="K10" s="6" t="n">
        <f aca="false">IF(OR(NOT(ISNUMBER($I10)),NOT(ISNUMBER($J10))),"",ROUND($I10*$J10,1))</f>
        <v>2</v>
      </c>
      <c r="L10" s="6" t="n">
        <f aca="false">IF(COUNTA($A10:$B10,$D10:$H10)=0,"",IF($G10="",0,IF($G10="内部集成",ROUND(INDEX(ProjectParameterTable[值],MATCH("SIT_INT_SUPPORT",ProjectParameterTable[参数代码],0))*$J10,1),IF($G10="外部集成",ROUND(INDEX(ProjectParameterTable[值],MATCH("SIT_EXT_SUPPORT",ProjectParameterTable[参数代码],0))*$J10,1),""))))</f>
        <v>0</v>
      </c>
      <c r="M10" s="5" t="str">
        <f aca="false">IF(COUNTA($A10:$B10,$D10:$H10)=0,"",IF(OR($A10="",$B10="",$C10="",$E10="",$F10=""),"必填项缺失",IF(SUMPRODUCT(--(TaskTable[任务名称]=$B10))&gt;1,"任务名称重复",IF(COUNTIF(SOWStoryTable[故事],$A10)&lt;&gt;1,"所属故事未知",IF(NOT(OR($F10="S",$F10="M",$F10="L")),"复杂度非法",IF(NOT(OR($G10="",$G10="内部集成",$G10="外部集成")),"集成类型非法",IF(AND($G10&lt;&gt;"",NOT(IFERROR(INDEX(TaskStandardTable[SIT支持资格],MATCH($C10,TaskStandardTable[工作类型ID],0)),"")="PER_INTEGRATION")),"非集成任务不应填写集成类型",IF(AND($G10="",IFERROR(INDEX(TaskStandardTable[SIT支持资格],MATCH($C10,TaskStandardTable[工作类型ID],0)),"")="PER_INTEGRATION"),"集成类型缺失",IF(ISNUMBER($I10),"通过","工作类型与工作方式不适用")))))))))</f>
        <v>通过</v>
      </c>
    </row>
    <row r="11" customFormat="false" ht="79" hidden="false" customHeight="true" outlineLevel="0" collapsed="false">
      <c r="A11" s="4" t="s">
        <v>20</v>
      </c>
      <c r="B11" s="4" t="s">
        <v>109</v>
      </c>
      <c r="C11" s="5" t="str">
        <f aca="false">IFERROR(INDEX(TaskStandardTable[工作类型ID],MATCH($D11,TaskStandardTable[工作类型名称],0)),"")</f>
        <v>FE-COMMAND-API</v>
      </c>
      <c r="D11" s="4" t="s">
        <v>110</v>
      </c>
      <c r="E11" s="4" t="s">
        <v>104</v>
      </c>
      <c r="F11" s="4" t="s">
        <v>92</v>
      </c>
      <c r="G11" s="4"/>
      <c r="H11" s="4" t="s">
        <v>111</v>
      </c>
      <c r="I11" s="6" t="n">
        <f aca="false">IFERROR(IF($E11="新建",IF(INDEX(TaskStandardTable[新建适用],MATCH($C11,TaskStandardTable[工作类型ID],0)),INDEX(TaskStandardTable[新建M档人天],MATCH($C11,TaskStandardTable[工作类型ID],0)),""),IF($E11="调整",IF(INDEX(TaskStandardTable[调整适用],MATCH($C11,TaskStandardTable[工作类型ID],0)),INDEX(TaskStandardTable[调整M档人天],MATCH($C11,TaskStandardTable[工作类型ID],0)),""),IF($E11="接入复用",IF(INDEX(TaskStandardTable[接入复用适用],MATCH($C11,TaskStandardTable[工作类型ID],0)),INDEX(TaskStandardTable[接入复用M档人天],MATCH($C11,TaskStandardTable[工作类型ID],0)),""),""))),"")</f>
        <v>2.5</v>
      </c>
      <c r="J11" s="6" t="n">
        <f aca="false">IFERROR(INDEX(ProjectParameterTable[值],MATCH("K_COMPLEXITY_"&amp;$F11,ProjectParameterTable[参数代码],0)),"")</f>
        <v>1</v>
      </c>
      <c r="K11" s="6" t="n">
        <f aca="false">IF(OR(NOT(ISNUMBER($I11)),NOT(ISNUMBER($J11))),"",ROUND($I11*$J11,1))</f>
        <v>2.5</v>
      </c>
      <c r="L11" s="6" t="n">
        <f aca="false">IF(COUNTA($A11:$B11,$D11:$H11)=0,"",IF($G11="",0,IF($G11="内部集成",ROUND(INDEX(ProjectParameterTable[值],MATCH("SIT_INT_SUPPORT",ProjectParameterTable[参数代码],0))*$J11,1),IF($G11="外部集成",ROUND(INDEX(ProjectParameterTable[值],MATCH("SIT_EXT_SUPPORT",ProjectParameterTable[参数代码],0))*$J11,1),""))))</f>
        <v>0</v>
      </c>
      <c r="M11" s="5" t="str">
        <f aca="false">IF(COUNTA($A11:$B11,$D11:$H11)=0,"",IF(OR($A11="",$B11="",$C11="",$E11="",$F11=""),"必填项缺失",IF(SUMPRODUCT(--(TaskTable[任务名称]=$B11))&gt;1,"任务名称重复",IF(COUNTIF(SOWStoryTable[故事],$A11)&lt;&gt;1,"所属故事未知",IF(NOT(OR($F11="S",$F11="M",$F11="L")),"复杂度非法",IF(NOT(OR($G11="",$G11="内部集成",$G11="外部集成")),"集成类型非法",IF(AND($G11&lt;&gt;"",NOT(IFERROR(INDEX(TaskStandardTable[SIT支持资格],MATCH($C11,TaskStandardTable[工作类型ID],0)),"")="PER_INTEGRATION")),"非集成任务不应填写集成类型",IF(AND($G11="",IFERROR(INDEX(TaskStandardTable[SIT支持资格],MATCH($C11,TaskStandardTable[工作类型ID],0)),"")="PER_INTEGRATION"),"集成类型缺失",IF(ISNUMBER($I11),"通过","工作类型与工作方式不适用")))))))))</f>
        <v>通过</v>
      </c>
    </row>
    <row r="12" customFormat="false" ht="94" hidden="false" customHeight="true" outlineLevel="0" collapsed="false">
      <c r="A12" s="4" t="s">
        <v>22</v>
      </c>
      <c r="B12" s="4" t="s">
        <v>112</v>
      </c>
      <c r="C12" s="5" t="str">
        <f aca="false">IFERROR(INDEX(TaskStandardTable[工作类型ID],MATCH($D12,TaskStandardTable[工作类型名称],0)),"")</f>
        <v>FE-COMMAND-API</v>
      </c>
      <c r="D12" s="4" t="s">
        <v>110</v>
      </c>
      <c r="E12" s="4" t="s">
        <v>91</v>
      </c>
      <c r="F12" s="4" t="s">
        <v>92</v>
      </c>
      <c r="G12" s="4"/>
      <c r="H12" s="4" t="s">
        <v>113</v>
      </c>
      <c r="I12" s="6" t="n">
        <f aca="false">IFERROR(IF($E12="新建",IF(INDEX(TaskStandardTable[新建适用],MATCH($C12,TaskStandardTable[工作类型ID],0)),INDEX(TaskStandardTable[新建M档人天],MATCH($C12,TaskStandardTable[工作类型ID],0)),""),IF($E12="调整",IF(INDEX(TaskStandardTable[调整适用],MATCH($C12,TaskStandardTable[工作类型ID],0)),INDEX(TaskStandardTable[调整M档人天],MATCH($C12,TaskStandardTable[工作类型ID],0)),""),IF($E12="接入复用",IF(INDEX(TaskStandardTable[接入复用适用],MATCH($C12,TaskStandardTable[工作类型ID],0)),INDEX(TaskStandardTable[接入复用M档人天],MATCH($C12,TaskStandardTable[工作类型ID],0)),""),""))),"")</f>
        <v>2</v>
      </c>
      <c r="J12" s="6" t="n">
        <f aca="false">IFERROR(INDEX(ProjectParameterTable[值],MATCH("K_COMPLEXITY_"&amp;$F12,ProjectParameterTable[参数代码],0)),"")</f>
        <v>1</v>
      </c>
      <c r="K12" s="6" t="n">
        <f aca="false">IF(OR(NOT(ISNUMBER($I12)),NOT(ISNUMBER($J12))),"",ROUND($I12*$J12,1))</f>
        <v>2</v>
      </c>
      <c r="L12" s="6" t="n">
        <f aca="false">IF(COUNTA($A12:$B12,$D12:$H12)=0,"",IF($G12="",0,IF($G12="内部集成",ROUND(INDEX(ProjectParameterTable[值],MATCH("SIT_INT_SUPPORT",ProjectParameterTable[参数代码],0))*$J12,1),IF($G12="外部集成",ROUND(INDEX(ProjectParameterTable[值],MATCH("SIT_EXT_SUPPORT",ProjectParameterTable[参数代码],0))*$J12,1),""))))</f>
        <v>0</v>
      </c>
      <c r="M12" s="5" t="str">
        <f aca="false">IF(COUNTA($A12:$B12,$D12:$H12)=0,"",IF(OR($A12="",$B12="",$C12="",$E12="",$F12=""),"必填项缺失",IF(SUMPRODUCT(--(TaskTable[任务名称]=$B12))&gt;1,"任务名称重复",IF(COUNTIF(SOWStoryTable[故事],$A12)&lt;&gt;1,"所属故事未知",IF(NOT(OR($F12="S",$F12="M",$F12="L")),"复杂度非法",IF(NOT(OR($G12="",$G12="内部集成",$G12="外部集成")),"集成类型非法",IF(AND($G12&lt;&gt;"",NOT(IFERROR(INDEX(TaskStandardTable[SIT支持资格],MATCH($C12,TaskStandardTable[工作类型ID],0)),"")="PER_INTEGRATION")),"非集成任务不应填写集成类型",IF(AND($G12="",IFERROR(INDEX(TaskStandardTable[SIT支持资格],MATCH($C12,TaskStandardTable[工作类型ID],0)),"")="PER_INTEGRATION"),"集成类型缺失",IF(ISNUMBER($I12),"通过","工作类型与工作方式不适用")))))))))</f>
        <v>通过</v>
      </c>
    </row>
    <row r="13" customFormat="false" ht="94" hidden="false" customHeight="true" outlineLevel="0" collapsed="false">
      <c r="A13" s="4" t="s">
        <v>22</v>
      </c>
      <c r="B13" s="4" t="s">
        <v>114</v>
      </c>
      <c r="C13" s="5" t="str">
        <f aca="false">IFERROR(INDEX(TaskStandardTable[工作类型ID],MATCH($D13,TaskStandardTable[工作类型名称],0)),"")</f>
        <v>IN-INTEGRATION</v>
      </c>
      <c r="D13" s="4" t="s">
        <v>115</v>
      </c>
      <c r="E13" s="4" t="s">
        <v>104</v>
      </c>
      <c r="F13" s="4" t="s">
        <v>92</v>
      </c>
      <c r="G13" s="4" t="s">
        <v>116</v>
      </c>
      <c r="H13" s="4" t="s">
        <v>117</v>
      </c>
      <c r="I13" s="6" t="n">
        <f aca="false">IFERROR(IF($E13="新建",IF(INDEX(TaskStandardTable[新建适用],MATCH($C13,TaskStandardTable[工作类型ID],0)),INDEX(TaskStandardTable[新建M档人天],MATCH($C13,TaskStandardTable[工作类型ID],0)),""),IF($E13="调整",IF(INDEX(TaskStandardTable[调整适用],MATCH($C13,TaskStandardTable[工作类型ID],0)),INDEX(TaskStandardTable[调整M档人天],MATCH($C13,TaskStandardTable[工作类型ID],0)),""),IF($E13="接入复用",IF(INDEX(TaskStandardTable[接入复用适用],MATCH($C13,TaskStandardTable[工作类型ID],0)),INDEX(TaskStandardTable[接入复用M档人天],MATCH($C13,TaskStandardTable[工作类型ID],0)),""),""))),"")</f>
        <v>3</v>
      </c>
      <c r="J13" s="6" t="n">
        <f aca="false">IFERROR(INDEX(ProjectParameterTable[值],MATCH("K_COMPLEXITY_"&amp;$F13,ProjectParameterTable[参数代码],0)),"")</f>
        <v>1</v>
      </c>
      <c r="K13" s="6" t="n">
        <f aca="false">IF(OR(NOT(ISNUMBER($I13)),NOT(ISNUMBER($J13))),"",ROUND($I13*$J13,1))</f>
        <v>3</v>
      </c>
      <c r="L13" s="6" t="n">
        <f aca="false">IF(COUNTA($A13:$B13,$D13:$H13)=0,"",IF($G13="",0,IF($G13="内部集成",ROUND(INDEX(ProjectParameterTable[值],MATCH("SIT_INT_SUPPORT",ProjectParameterTable[参数代码],0))*$J13,1),IF($G13="外部集成",ROUND(INDEX(ProjectParameterTable[值],MATCH("SIT_EXT_SUPPORT",ProjectParameterTable[参数代码],0))*$J13,1),""))))</f>
        <v>0.5</v>
      </c>
      <c r="M13" s="5" t="str">
        <f aca="false">IF(COUNTA($A13:$B13,$D13:$H13)=0,"",IF(OR($A13="",$B13="",$C13="",$E13="",$F13=""),"必填项缺失",IF(SUMPRODUCT(--(TaskTable[任务名称]=$B13))&gt;1,"任务名称重复",IF(COUNTIF(SOWStoryTable[故事],$A13)&lt;&gt;1,"所属故事未知",IF(NOT(OR($F13="S",$F13="M",$F13="L")),"复杂度非法",IF(NOT(OR($G13="",$G13="内部集成",$G13="外部集成")),"集成类型非法",IF(AND($G13&lt;&gt;"",NOT(IFERROR(INDEX(TaskStandardTable[SIT支持资格],MATCH($C13,TaskStandardTable[工作类型ID],0)),"")="PER_INTEGRATION")),"非集成任务不应填写集成类型",IF(AND($G13="",IFERROR(INDEX(TaskStandardTable[SIT支持资格],MATCH($C13,TaskStandardTable[工作类型ID],0)),"")="PER_INTEGRATION"),"集成类型缺失",IF(ISNUMBER($I13),"通过","工作类型与工作方式不适用")))))))))</f>
        <v>通过</v>
      </c>
    </row>
    <row r="14" customFormat="false" ht="94" hidden="false" customHeight="true" outlineLevel="0" collapsed="false">
      <c r="A14" s="4" t="s">
        <v>24</v>
      </c>
      <c r="B14" s="4" t="s">
        <v>118</v>
      </c>
      <c r="C14" s="5" t="str">
        <f aca="false">IFERROR(INDEX(TaskStandardTable[工作类型ID],MATCH($D14,TaskStandardTable[工作类型名称],0)),"")</f>
        <v>IN-INTEGRATION</v>
      </c>
      <c r="D14" s="4" t="s">
        <v>115</v>
      </c>
      <c r="E14" s="4" t="s">
        <v>104</v>
      </c>
      <c r="F14" s="4" t="s">
        <v>92</v>
      </c>
      <c r="G14" s="4" t="s">
        <v>116</v>
      </c>
      <c r="H14" s="4" t="s">
        <v>119</v>
      </c>
      <c r="I14" s="6" t="n">
        <f aca="false">IFERROR(IF($E14="新建",IF(INDEX(TaskStandardTable[新建适用],MATCH($C14,TaskStandardTable[工作类型ID],0)),INDEX(TaskStandardTable[新建M档人天],MATCH($C14,TaskStandardTable[工作类型ID],0)),""),IF($E14="调整",IF(INDEX(TaskStandardTable[调整适用],MATCH($C14,TaskStandardTable[工作类型ID],0)),INDEX(TaskStandardTable[调整M档人天],MATCH($C14,TaskStandardTable[工作类型ID],0)),""),IF($E14="接入复用",IF(INDEX(TaskStandardTable[接入复用适用],MATCH($C14,TaskStandardTable[工作类型ID],0)),INDEX(TaskStandardTable[接入复用M档人天],MATCH($C14,TaskStandardTable[工作类型ID],0)),""),""))),"")</f>
        <v>3</v>
      </c>
      <c r="J14" s="6" t="n">
        <f aca="false">IFERROR(INDEX(ProjectParameterTable[值],MATCH("K_COMPLEXITY_"&amp;$F14,ProjectParameterTable[参数代码],0)),"")</f>
        <v>1</v>
      </c>
      <c r="K14" s="6" t="n">
        <f aca="false">IF(OR(NOT(ISNUMBER($I14)),NOT(ISNUMBER($J14))),"",ROUND($I14*$J14,1))</f>
        <v>3</v>
      </c>
      <c r="L14" s="6" t="n">
        <f aca="false">IF(COUNTA($A14:$B14,$D14:$H14)=0,"",IF($G14="",0,IF($G14="内部集成",ROUND(INDEX(ProjectParameterTable[值],MATCH("SIT_INT_SUPPORT",ProjectParameterTable[参数代码],0))*$J14,1),IF($G14="外部集成",ROUND(INDEX(ProjectParameterTable[值],MATCH("SIT_EXT_SUPPORT",ProjectParameterTable[参数代码],0))*$J14,1),""))))</f>
        <v>0.5</v>
      </c>
      <c r="M14" s="5" t="str">
        <f aca="false">IF(COUNTA($A14:$B14,$D14:$H14)=0,"",IF(OR($A14="",$B14="",$C14="",$E14="",$F14=""),"必填项缺失",IF(SUMPRODUCT(--(TaskTable[任务名称]=$B14))&gt;1,"任务名称重复",IF(COUNTIF(SOWStoryTable[故事],$A14)&lt;&gt;1,"所属故事未知",IF(NOT(OR($F14="S",$F14="M",$F14="L")),"复杂度非法",IF(NOT(OR($G14="",$G14="内部集成",$G14="外部集成")),"集成类型非法",IF(AND($G14&lt;&gt;"",NOT(IFERROR(INDEX(TaskStandardTable[SIT支持资格],MATCH($C14,TaskStandardTable[工作类型ID],0)),"")="PER_INTEGRATION")),"非集成任务不应填写集成类型",IF(AND($G14="",IFERROR(INDEX(TaskStandardTable[SIT支持资格],MATCH($C14,TaskStandardTable[工作类型ID],0)),"")="PER_INTEGRATION"),"集成类型缺失",IF(ISNUMBER($I14),"通过","工作类型与工作方式不适用")))))))))</f>
        <v>通过</v>
      </c>
    </row>
    <row r="15" customFormat="false" ht="79" hidden="false" customHeight="true" outlineLevel="0" collapsed="false">
      <c r="A15" s="4" t="s">
        <v>28</v>
      </c>
      <c r="B15" s="4" t="s">
        <v>120</v>
      </c>
      <c r="C15" s="5" t="str">
        <f aca="false">IFERROR(INDEX(TaskStandardTable[工作类型ID],MATCH($D15,TaskStandardTable[工作类型名称],0)),"")</f>
        <v>IN-INTEGRATION</v>
      </c>
      <c r="D15" s="4" t="s">
        <v>115</v>
      </c>
      <c r="E15" s="4" t="s">
        <v>104</v>
      </c>
      <c r="F15" s="4" t="s">
        <v>92</v>
      </c>
      <c r="G15" s="4" t="s">
        <v>121</v>
      </c>
      <c r="H15" s="4" t="s">
        <v>122</v>
      </c>
      <c r="I15" s="6" t="n">
        <f aca="false">IFERROR(IF($E15="新建",IF(INDEX(TaskStandardTable[新建适用],MATCH($C15,TaskStandardTable[工作类型ID],0)),INDEX(TaskStandardTable[新建M档人天],MATCH($C15,TaskStandardTable[工作类型ID],0)),""),IF($E15="调整",IF(INDEX(TaskStandardTable[调整适用],MATCH($C15,TaskStandardTable[工作类型ID],0)),INDEX(TaskStandardTable[调整M档人天],MATCH($C15,TaskStandardTable[工作类型ID],0)),""),IF($E15="接入复用",IF(INDEX(TaskStandardTable[接入复用适用],MATCH($C15,TaskStandardTable[工作类型ID],0)),INDEX(TaskStandardTable[接入复用M档人天],MATCH($C15,TaskStandardTable[工作类型ID],0)),""),""))),"")</f>
        <v>3</v>
      </c>
      <c r="J15" s="6" t="n">
        <f aca="false">IFERROR(INDEX(ProjectParameterTable[值],MATCH("K_COMPLEXITY_"&amp;$F15,ProjectParameterTable[参数代码],0)),"")</f>
        <v>1</v>
      </c>
      <c r="K15" s="6" t="n">
        <f aca="false">IF(OR(NOT(ISNUMBER($I15)),NOT(ISNUMBER($J15))),"",ROUND($I15*$J15,1))</f>
        <v>3</v>
      </c>
      <c r="L15" s="6" t="n">
        <f aca="false">IF(COUNTA($A15:$B15,$D15:$H15)=0,"",IF($G15="",0,IF($G15="内部集成",ROUND(INDEX(ProjectParameterTable[值],MATCH("SIT_INT_SUPPORT",ProjectParameterTable[参数代码],0))*$J15,1),IF($G15="外部集成",ROUND(INDEX(ProjectParameterTable[值],MATCH("SIT_EXT_SUPPORT",ProjectParameterTable[参数代码],0))*$J15,1),""))))</f>
        <v>1</v>
      </c>
      <c r="M15" s="5" t="str">
        <f aca="false">IF(COUNTA($A15:$B15,$D15:$H15)=0,"",IF(OR($A15="",$B15="",$C15="",$E15="",$F15=""),"必填项缺失",IF(SUMPRODUCT(--(TaskTable[任务名称]=$B15))&gt;1,"任务名称重复",IF(COUNTIF(SOWStoryTable[故事],$A15)&lt;&gt;1,"所属故事未知",IF(NOT(OR($F15="S",$F15="M",$F15="L")),"复杂度非法",IF(NOT(OR($G15="",$G15="内部集成",$G15="外部集成")),"集成类型非法",IF(AND($G15&lt;&gt;"",NOT(IFERROR(INDEX(TaskStandardTable[SIT支持资格],MATCH($C15,TaskStandardTable[工作类型ID],0)),"")="PER_INTEGRATION")),"非集成任务不应填写集成类型",IF(AND($G15="",IFERROR(INDEX(TaskStandardTable[SIT支持资格],MATCH($C15,TaskStandardTable[工作类型ID],0)),"")="PER_INTEGRATION"),"集成类型缺失",IF(ISNUMBER($I15),"通过","工作类型与工作方式不适用")))))))))</f>
        <v>通过</v>
      </c>
    </row>
    <row r="16" customFormat="false" ht="79" hidden="false" customHeight="true" outlineLevel="0" collapsed="false">
      <c r="A16" s="4" t="s">
        <v>28</v>
      </c>
      <c r="B16" s="4" t="s">
        <v>123</v>
      </c>
      <c r="C16" s="5" t="str">
        <f aca="false">IFERROR(INDEX(TaskStandardTable[工作类型ID],MATCH($D16,TaskStandardTable[工作类型名称],0)),"")</f>
        <v>FE-VIEW</v>
      </c>
      <c r="D16" s="4" t="s">
        <v>90</v>
      </c>
      <c r="E16" s="4" t="s">
        <v>104</v>
      </c>
      <c r="F16" s="4" t="s">
        <v>124</v>
      </c>
      <c r="G16" s="4"/>
      <c r="H16" s="4" t="s">
        <v>125</v>
      </c>
      <c r="I16" s="6" t="n">
        <f aca="false">IFERROR(IF($E16="新建",IF(INDEX(TaskStandardTable[新建适用],MATCH($C16,TaskStandardTable[工作类型ID],0)),INDEX(TaskStandardTable[新建M档人天],MATCH($C16,TaskStandardTable[工作类型ID],0)),""),IF($E16="调整",IF(INDEX(TaskStandardTable[调整适用],MATCH($C16,TaskStandardTable[工作类型ID],0)),INDEX(TaskStandardTable[调整M档人天],MATCH($C16,TaskStandardTable[工作类型ID],0)),""),IF($E16="接入复用",IF(INDEX(TaskStandardTable[接入复用适用],MATCH($C16,TaskStandardTable[工作类型ID],0)),INDEX(TaskStandardTable[接入复用M档人天],MATCH($C16,TaskStandardTable[工作类型ID],0)),""),""))),"")</f>
        <v>1.5</v>
      </c>
      <c r="J16" s="6" t="n">
        <f aca="false">IFERROR(INDEX(ProjectParameterTable[值],MATCH("K_COMPLEXITY_"&amp;$F16,ProjectParameterTable[参数代码],0)),"")</f>
        <v>0.6</v>
      </c>
      <c r="K16" s="6" t="n">
        <f aca="false">IF(OR(NOT(ISNUMBER($I16)),NOT(ISNUMBER($J16))),"",ROUND($I16*$J16,1))</f>
        <v>0.9</v>
      </c>
      <c r="L16" s="6" t="n">
        <f aca="false">IF(COUNTA($A16:$B16,$D16:$H16)=0,"",IF($G16="",0,IF($G16="内部集成",ROUND(INDEX(ProjectParameterTable[值],MATCH("SIT_INT_SUPPORT",ProjectParameterTable[参数代码],0))*$J16,1),IF($G16="外部集成",ROUND(INDEX(ProjectParameterTable[值],MATCH("SIT_EXT_SUPPORT",ProjectParameterTable[参数代码],0))*$J16,1),""))))</f>
        <v>0</v>
      </c>
      <c r="M16" s="5" t="str">
        <f aca="false">IF(COUNTA($A16:$B16,$D16:$H16)=0,"",IF(OR($A16="",$B16="",$C16="",$E16="",$F16=""),"必填项缺失",IF(SUMPRODUCT(--(TaskTable[任务名称]=$B16))&gt;1,"任务名称重复",IF(COUNTIF(SOWStoryTable[故事],$A16)&lt;&gt;1,"所属故事未知",IF(NOT(OR($F16="S",$F16="M",$F16="L")),"复杂度非法",IF(NOT(OR($G16="",$G16="内部集成",$G16="外部集成")),"集成类型非法",IF(AND($G16&lt;&gt;"",NOT(IFERROR(INDEX(TaskStandardTable[SIT支持资格],MATCH($C16,TaskStandardTable[工作类型ID],0)),"")="PER_INTEGRATION")),"非集成任务不应填写集成类型",IF(AND($G16="",IFERROR(INDEX(TaskStandardTable[SIT支持资格],MATCH($C16,TaskStandardTable[工作类型ID],0)),"")="PER_INTEGRATION"),"集成类型缺失",IF(ISNUMBER($I16),"通过","工作类型与工作方式不适用")))))))))</f>
        <v>通过</v>
      </c>
    </row>
    <row r="17" customFormat="false" ht="109" hidden="false" customHeight="true" outlineLevel="0" collapsed="false">
      <c r="A17" s="4" t="s">
        <v>32</v>
      </c>
      <c r="B17" s="4" t="s">
        <v>126</v>
      </c>
      <c r="C17" s="5" t="str">
        <f aca="false">IFERROR(INDEX(TaskStandardTable[工作类型ID],MATCH($D17,TaskStandardTable[工作类型名称],0)),"")</f>
        <v>FE-FLOW</v>
      </c>
      <c r="D17" s="4" t="s">
        <v>127</v>
      </c>
      <c r="E17" s="4" t="s">
        <v>104</v>
      </c>
      <c r="F17" s="4" t="s">
        <v>92</v>
      </c>
      <c r="G17" s="4"/>
      <c r="H17" s="4" t="s">
        <v>128</v>
      </c>
      <c r="I17" s="6" t="n">
        <f aca="false">IFERROR(IF($E17="新建",IF(INDEX(TaskStandardTable[新建适用],MATCH($C17,TaskStandardTable[工作类型ID],0)),INDEX(TaskStandardTable[新建M档人天],MATCH($C17,TaskStandardTable[工作类型ID],0)),""),IF($E17="调整",IF(INDEX(TaskStandardTable[调整适用],MATCH($C17,TaskStandardTable[工作类型ID],0)),INDEX(TaskStandardTable[调整M档人天],MATCH($C17,TaskStandardTable[工作类型ID],0)),""),IF($E17="接入复用",IF(INDEX(TaskStandardTable[接入复用适用],MATCH($C17,TaskStandardTable[工作类型ID],0)),INDEX(TaskStandardTable[接入复用M档人天],MATCH($C17,TaskStandardTable[工作类型ID],0)),""),""))),"")</f>
        <v>3</v>
      </c>
      <c r="J17" s="6" t="n">
        <f aca="false">IFERROR(INDEX(ProjectParameterTable[值],MATCH("K_COMPLEXITY_"&amp;$F17,ProjectParameterTable[参数代码],0)),"")</f>
        <v>1</v>
      </c>
      <c r="K17" s="6" t="n">
        <f aca="false">IF(OR(NOT(ISNUMBER($I17)),NOT(ISNUMBER($J17))),"",ROUND($I17*$J17,1))</f>
        <v>3</v>
      </c>
      <c r="L17" s="6" t="n">
        <f aca="false">IF(COUNTA($A17:$B17,$D17:$H17)=0,"",IF($G17="",0,IF($G17="内部集成",ROUND(INDEX(ProjectParameterTable[值],MATCH("SIT_INT_SUPPORT",ProjectParameterTable[参数代码],0))*$J17,1),IF($G17="外部集成",ROUND(INDEX(ProjectParameterTable[值],MATCH("SIT_EXT_SUPPORT",ProjectParameterTable[参数代码],0))*$J17,1),""))))</f>
        <v>0</v>
      </c>
      <c r="M17" s="5" t="str">
        <f aca="false">IF(COUNTA($A17:$B17,$D17:$H17)=0,"",IF(OR($A17="",$B17="",$C17="",$E17="",$F17=""),"必填项缺失",IF(SUMPRODUCT(--(TaskTable[任务名称]=$B17))&gt;1,"任务名称重复",IF(COUNTIF(SOWStoryTable[故事],$A17)&lt;&gt;1,"所属故事未知",IF(NOT(OR($F17="S",$F17="M",$F17="L")),"复杂度非法",IF(NOT(OR($G17="",$G17="内部集成",$G17="外部集成")),"集成类型非法",IF(AND($G17&lt;&gt;"",NOT(IFERROR(INDEX(TaskStandardTable[SIT支持资格],MATCH($C17,TaskStandardTable[工作类型ID],0)),"")="PER_INTEGRATION")),"非集成任务不应填写集成类型",IF(AND($G17="",IFERROR(INDEX(TaskStandardTable[SIT支持资格],MATCH($C17,TaskStandardTable[工作类型ID],0)),"")="PER_INTEGRATION"),"集成类型缺失",IF(ISNUMBER($I17),"通过","工作类型与工作方式不适用")))))))))</f>
        <v>通过</v>
      </c>
    </row>
    <row r="18" customFormat="false" ht="94" hidden="false" customHeight="true" outlineLevel="0" collapsed="false">
      <c r="A18" s="4" t="s">
        <v>32</v>
      </c>
      <c r="B18" s="4" t="s">
        <v>129</v>
      </c>
      <c r="C18" s="5" t="str">
        <f aca="false">IFERROR(INDEX(TaskStandardTable[工作类型ID],MATCH($D18,TaskStandardTable[工作类型名称],0)),"")</f>
        <v>FE-COMMAND-API</v>
      </c>
      <c r="D18" s="4" t="s">
        <v>110</v>
      </c>
      <c r="E18" s="4" t="s">
        <v>91</v>
      </c>
      <c r="F18" s="4" t="s">
        <v>92</v>
      </c>
      <c r="G18" s="4"/>
      <c r="H18" s="4" t="s">
        <v>130</v>
      </c>
      <c r="I18" s="6" t="n">
        <f aca="false">IFERROR(IF($E18="新建",IF(INDEX(TaskStandardTable[新建适用],MATCH($C18,TaskStandardTable[工作类型ID],0)),INDEX(TaskStandardTable[新建M档人天],MATCH($C18,TaskStandardTable[工作类型ID],0)),""),IF($E18="调整",IF(INDEX(TaskStandardTable[调整适用],MATCH($C18,TaskStandardTable[工作类型ID],0)),INDEX(TaskStandardTable[调整M档人天],MATCH($C18,TaskStandardTable[工作类型ID],0)),""),IF($E18="接入复用",IF(INDEX(TaskStandardTable[接入复用适用],MATCH($C18,TaskStandardTable[工作类型ID],0)),INDEX(TaskStandardTable[接入复用M档人天],MATCH($C18,TaskStandardTable[工作类型ID],0)),""),""))),"")</f>
        <v>2</v>
      </c>
      <c r="J18" s="6" t="n">
        <f aca="false">IFERROR(INDEX(ProjectParameterTable[值],MATCH("K_COMPLEXITY_"&amp;$F18,ProjectParameterTable[参数代码],0)),"")</f>
        <v>1</v>
      </c>
      <c r="K18" s="6" t="n">
        <f aca="false">IF(OR(NOT(ISNUMBER($I18)),NOT(ISNUMBER($J18))),"",ROUND($I18*$J18,1))</f>
        <v>2</v>
      </c>
      <c r="L18" s="6" t="n">
        <f aca="false">IF(COUNTA($A18:$B18,$D18:$H18)=0,"",IF($G18="",0,IF($G18="内部集成",ROUND(INDEX(ProjectParameterTable[值],MATCH("SIT_INT_SUPPORT",ProjectParameterTable[参数代码],0))*$J18,1),IF($G18="外部集成",ROUND(INDEX(ProjectParameterTable[值],MATCH("SIT_EXT_SUPPORT",ProjectParameterTable[参数代码],0))*$J18,1),""))))</f>
        <v>0</v>
      </c>
      <c r="M18" s="5" t="str">
        <f aca="false">IF(COUNTA($A18:$B18,$D18:$H18)=0,"",IF(OR($A18="",$B18="",$C18="",$E18="",$F18=""),"必填项缺失",IF(SUMPRODUCT(--(TaskTable[任务名称]=$B18))&gt;1,"任务名称重复",IF(COUNTIF(SOWStoryTable[故事],$A18)&lt;&gt;1,"所属故事未知",IF(NOT(OR($F18="S",$F18="M",$F18="L")),"复杂度非法",IF(NOT(OR($G18="",$G18="内部集成",$G18="外部集成")),"集成类型非法",IF(AND($G18&lt;&gt;"",NOT(IFERROR(INDEX(TaskStandardTable[SIT支持资格],MATCH($C18,TaskStandardTable[工作类型ID],0)),"")="PER_INTEGRATION")),"非集成任务不应填写集成类型",IF(AND($G18="",IFERROR(INDEX(TaskStandardTable[SIT支持资格],MATCH($C18,TaskStandardTable[工作类型ID],0)),"")="PER_INTEGRATION"),"集成类型缺失",IF(ISNUMBER($I18),"通过","工作类型与工作方式不适用")))))))))</f>
        <v>通过</v>
      </c>
    </row>
    <row r="19" customFormat="false" ht="79" hidden="false" customHeight="true" outlineLevel="0" collapsed="false">
      <c r="A19" s="4" t="s">
        <v>36</v>
      </c>
      <c r="B19" s="4" t="s">
        <v>131</v>
      </c>
      <c r="C19" s="5" t="str">
        <f aca="false">IFERROR(INDEX(TaskStandardTable[工作类型ID],MATCH($D19,TaskStandardTable[工作类型名称],0)),"")</f>
        <v>FE-EDIT</v>
      </c>
      <c r="D19" s="4" t="s">
        <v>107</v>
      </c>
      <c r="E19" s="4" t="s">
        <v>91</v>
      </c>
      <c r="F19" s="4" t="s">
        <v>92</v>
      </c>
      <c r="G19" s="4"/>
      <c r="H19" s="4" t="s">
        <v>132</v>
      </c>
      <c r="I19" s="6" t="n">
        <f aca="false">IFERROR(IF($E19="新建",IF(INDEX(TaskStandardTable[新建适用],MATCH($C19,TaskStandardTable[工作类型ID],0)),INDEX(TaskStandardTable[新建M档人天],MATCH($C19,TaskStandardTable[工作类型ID],0)),""),IF($E19="调整",IF(INDEX(TaskStandardTable[调整适用],MATCH($C19,TaskStandardTable[工作类型ID],0)),INDEX(TaskStandardTable[调整M档人天],MATCH($C19,TaskStandardTable[工作类型ID],0)),""),IF($E19="接入复用",IF(INDEX(TaskStandardTable[接入复用适用],MATCH($C19,TaskStandardTable[工作类型ID],0)),INDEX(TaskStandardTable[接入复用M档人天],MATCH($C19,TaskStandardTable[工作类型ID],0)),""),""))),"")</f>
        <v>1</v>
      </c>
      <c r="J19" s="6" t="n">
        <f aca="false">IFERROR(INDEX(ProjectParameterTable[值],MATCH("K_COMPLEXITY_"&amp;$F19,ProjectParameterTable[参数代码],0)),"")</f>
        <v>1</v>
      </c>
      <c r="K19" s="6" t="n">
        <f aca="false">IF(OR(NOT(ISNUMBER($I19)),NOT(ISNUMBER($J19))),"",ROUND($I19*$J19,1))</f>
        <v>1</v>
      </c>
      <c r="L19" s="6" t="n">
        <f aca="false">IF(COUNTA($A19:$B19,$D19:$H19)=0,"",IF($G19="",0,IF($G19="内部集成",ROUND(INDEX(ProjectParameterTable[值],MATCH("SIT_INT_SUPPORT",ProjectParameterTable[参数代码],0))*$J19,1),IF($G19="外部集成",ROUND(INDEX(ProjectParameterTable[值],MATCH("SIT_EXT_SUPPORT",ProjectParameterTable[参数代码],0))*$J19,1),""))))</f>
        <v>0</v>
      </c>
      <c r="M19" s="5" t="str">
        <f aca="false">IF(COUNTA($A19:$B19,$D19:$H19)=0,"",IF(OR($A19="",$B19="",$C19="",$E19="",$F19=""),"必填项缺失",IF(SUMPRODUCT(--(TaskTable[任务名称]=$B19))&gt;1,"任务名称重复",IF(COUNTIF(SOWStoryTable[故事],$A19)&lt;&gt;1,"所属故事未知",IF(NOT(OR($F19="S",$F19="M",$F19="L")),"复杂度非法",IF(NOT(OR($G19="",$G19="内部集成",$G19="外部集成")),"集成类型非法",IF(AND($G19&lt;&gt;"",NOT(IFERROR(INDEX(TaskStandardTable[SIT支持资格],MATCH($C19,TaskStandardTable[工作类型ID],0)),"")="PER_INTEGRATION")),"非集成任务不应填写集成类型",IF(AND($G19="",IFERROR(INDEX(TaskStandardTable[SIT支持资格],MATCH($C19,TaskStandardTable[工作类型ID],0)),"")="PER_INTEGRATION"),"集成类型缺失",IF(ISNUMBER($I19),"通过","工作类型与工作方式不适用")))))))))</f>
        <v>通过</v>
      </c>
    </row>
    <row r="20" customFormat="false" ht="79" hidden="false" customHeight="true" outlineLevel="0" collapsed="false">
      <c r="A20" s="4" t="s">
        <v>36</v>
      </c>
      <c r="B20" s="4" t="s">
        <v>133</v>
      </c>
      <c r="C20" s="5" t="str">
        <f aca="false">IFERROR(INDEX(TaskStandardTable[工作类型ID],MATCH($D20,TaskStandardTable[工作类型名称],0)),"")</f>
        <v>FE-COMMAND-API</v>
      </c>
      <c r="D20" s="4" t="s">
        <v>110</v>
      </c>
      <c r="E20" s="4" t="s">
        <v>91</v>
      </c>
      <c r="F20" s="4" t="s">
        <v>92</v>
      </c>
      <c r="G20" s="4"/>
      <c r="H20" s="4" t="s">
        <v>134</v>
      </c>
      <c r="I20" s="6" t="n">
        <f aca="false">IFERROR(IF($E20="新建",IF(INDEX(TaskStandardTable[新建适用],MATCH($C20,TaskStandardTable[工作类型ID],0)),INDEX(TaskStandardTable[新建M档人天],MATCH($C20,TaskStandardTable[工作类型ID],0)),""),IF($E20="调整",IF(INDEX(TaskStandardTable[调整适用],MATCH($C20,TaskStandardTable[工作类型ID],0)),INDEX(TaskStandardTable[调整M档人天],MATCH($C20,TaskStandardTable[工作类型ID],0)),""),IF($E20="接入复用",IF(INDEX(TaskStandardTable[接入复用适用],MATCH($C20,TaskStandardTable[工作类型ID],0)),INDEX(TaskStandardTable[接入复用M档人天],MATCH($C20,TaskStandardTable[工作类型ID],0)),""),""))),"")</f>
        <v>2</v>
      </c>
      <c r="J20" s="6" t="n">
        <f aca="false">IFERROR(INDEX(ProjectParameterTable[值],MATCH("K_COMPLEXITY_"&amp;$F20,ProjectParameterTable[参数代码],0)),"")</f>
        <v>1</v>
      </c>
      <c r="K20" s="6" t="n">
        <f aca="false">IF(OR(NOT(ISNUMBER($I20)),NOT(ISNUMBER($J20))),"",ROUND($I20*$J20,1))</f>
        <v>2</v>
      </c>
      <c r="L20" s="6" t="n">
        <f aca="false">IF(COUNTA($A20:$B20,$D20:$H20)=0,"",IF($G20="",0,IF($G20="内部集成",ROUND(INDEX(ProjectParameterTable[值],MATCH("SIT_INT_SUPPORT",ProjectParameterTable[参数代码],0))*$J20,1),IF($G20="外部集成",ROUND(INDEX(ProjectParameterTable[值],MATCH("SIT_EXT_SUPPORT",ProjectParameterTable[参数代码],0))*$J20,1),""))))</f>
        <v>0</v>
      </c>
      <c r="M20" s="5" t="str">
        <f aca="false">IF(COUNTA($A20:$B20,$D20:$H20)=0,"",IF(OR($A20="",$B20="",$C20="",$E20="",$F20=""),"必填项缺失",IF(SUMPRODUCT(--(TaskTable[任务名称]=$B20))&gt;1,"任务名称重复",IF(COUNTIF(SOWStoryTable[故事],$A20)&lt;&gt;1,"所属故事未知",IF(NOT(OR($F20="S",$F20="M",$F20="L")),"复杂度非法",IF(NOT(OR($G20="",$G20="内部集成",$G20="外部集成")),"集成类型非法",IF(AND($G20&lt;&gt;"",NOT(IFERROR(INDEX(TaskStandardTable[SIT支持资格],MATCH($C20,TaskStandardTable[工作类型ID],0)),"")="PER_INTEGRATION")),"非集成任务不应填写集成类型",IF(AND($G20="",IFERROR(INDEX(TaskStandardTable[SIT支持资格],MATCH($C20,TaskStandardTable[工作类型ID],0)),"")="PER_INTEGRATION"),"集成类型缺失",IF(ISNUMBER($I20),"通过","工作类型与工作方式不适用")))))))))</f>
        <v>通过</v>
      </c>
    </row>
    <row r="21" customFormat="false" ht="94" hidden="false" customHeight="true" outlineLevel="0" collapsed="false">
      <c r="A21" s="4" t="s">
        <v>36</v>
      </c>
      <c r="B21" s="4" t="s">
        <v>135</v>
      </c>
      <c r="C21" s="5" t="str">
        <f aca="false">IFERROR(INDEX(TaskStandardTable[工作类型ID],MATCH($D21,TaskStandardTable[工作类型名称],0)),"")</f>
        <v>GOV-FUNCTION-ACCESS</v>
      </c>
      <c r="D21" s="4" t="s">
        <v>136</v>
      </c>
      <c r="E21" s="4" t="s">
        <v>91</v>
      </c>
      <c r="F21" s="4" t="s">
        <v>92</v>
      </c>
      <c r="G21" s="4"/>
      <c r="H21" s="4" t="s">
        <v>137</v>
      </c>
      <c r="I21" s="6" t="n">
        <f aca="false">IFERROR(IF($E21="新建",IF(INDEX(TaskStandardTable[新建适用],MATCH($C21,TaskStandardTable[工作类型ID],0)),INDEX(TaskStandardTable[新建M档人天],MATCH($C21,TaskStandardTable[工作类型ID],0)),""),IF($E21="调整",IF(INDEX(TaskStandardTable[调整适用],MATCH($C21,TaskStandardTable[工作类型ID],0)),INDEX(TaskStandardTable[调整M档人天],MATCH($C21,TaskStandardTable[工作类型ID],0)),""),IF($E21="接入复用",IF(INDEX(TaskStandardTable[接入复用适用],MATCH($C21,TaskStandardTable[工作类型ID],0)),INDEX(TaskStandardTable[接入复用M档人天],MATCH($C21,TaskStandardTable[工作类型ID],0)),""),""))),"")</f>
        <v>1.5</v>
      </c>
      <c r="J21" s="6" t="n">
        <f aca="false">IFERROR(INDEX(ProjectParameterTable[值],MATCH("K_COMPLEXITY_"&amp;$F21,ProjectParameterTable[参数代码],0)),"")</f>
        <v>1</v>
      </c>
      <c r="K21" s="6" t="n">
        <f aca="false">IF(OR(NOT(ISNUMBER($I21)),NOT(ISNUMBER($J21))),"",ROUND($I21*$J21,1))</f>
        <v>1.5</v>
      </c>
      <c r="L21" s="6" t="n">
        <f aca="false">IF(COUNTA($A21:$B21,$D21:$H21)=0,"",IF($G21="",0,IF($G21="内部集成",ROUND(INDEX(ProjectParameterTable[值],MATCH("SIT_INT_SUPPORT",ProjectParameterTable[参数代码],0))*$J21,1),IF($G21="外部集成",ROUND(INDEX(ProjectParameterTable[值],MATCH("SIT_EXT_SUPPORT",ProjectParameterTable[参数代码],0))*$J21,1),""))))</f>
        <v>0</v>
      </c>
      <c r="M21" s="5" t="str">
        <f aca="false">IF(COUNTA($A21:$B21,$D21:$H21)=0,"",IF(OR($A21="",$B21="",$C21="",$E21="",$F21=""),"必填项缺失",IF(SUMPRODUCT(--(TaskTable[任务名称]=$B21))&gt;1,"任务名称重复",IF(COUNTIF(SOWStoryTable[故事],$A21)&lt;&gt;1,"所属故事未知",IF(NOT(OR($F21="S",$F21="M",$F21="L")),"复杂度非法",IF(NOT(OR($G21="",$G21="内部集成",$G21="外部集成")),"集成类型非法",IF(AND($G21&lt;&gt;"",NOT(IFERROR(INDEX(TaskStandardTable[SIT支持资格],MATCH($C21,TaskStandardTable[工作类型ID],0)),"")="PER_INTEGRATION")),"非集成任务不应填写集成类型",IF(AND($G21="",IFERROR(INDEX(TaskStandardTable[SIT支持资格],MATCH($C21,TaskStandardTable[工作类型ID],0)),"")="PER_INTEGRATION"),"集成类型缺失",IF(ISNUMBER($I21),"通过","工作类型与工作方式不适用")))))))))</f>
        <v>通过</v>
      </c>
    </row>
    <row r="22" customFormat="false" ht="94" hidden="false" customHeight="true" outlineLevel="0" collapsed="false">
      <c r="A22" s="4" t="s">
        <v>39</v>
      </c>
      <c r="B22" s="4" t="s">
        <v>138</v>
      </c>
      <c r="C22" s="5" t="str">
        <f aca="false">IFERROR(INDEX(TaskStandardTable[工作类型ID],MATCH($D22,TaskStandardTable[工作类型名称],0)),"")</f>
        <v>FE-COMMAND-API</v>
      </c>
      <c r="D22" s="4" t="s">
        <v>110</v>
      </c>
      <c r="E22" s="4" t="s">
        <v>104</v>
      </c>
      <c r="F22" s="4" t="s">
        <v>98</v>
      </c>
      <c r="G22" s="4"/>
      <c r="H22" s="4" t="s">
        <v>139</v>
      </c>
      <c r="I22" s="6" t="n">
        <f aca="false">IFERROR(IF($E22="新建",IF(INDEX(TaskStandardTable[新建适用],MATCH($C22,TaskStandardTable[工作类型ID],0)),INDEX(TaskStandardTable[新建M档人天],MATCH($C22,TaskStandardTable[工作类型ID],0)),""),IF($E22="调整",IF(INDEX(TaskStandardTable[调整适用],MATCH($C22,TaskStandardTable[工作类型ID],0)),INDEX(TaskStandardTable[调整M档人天],MATCH($C22,TaskStandardTable[工作类型ID],0)),""),IF($E22="接入复用",IF(INDEX(TaskStandardTable[接入复用适用],MATCH($C22,TaskStandardTable[工作类型ID],0)),INDEX(TaskStandardTable[接入复用M档人天],MATCH($C22,TaskStandardTable[工作类型ID],0)),""),""))),"")</f>
        <v>2.5</v>
      </c>
      <c r="J22" s="6" t="n">
        <f aca="false">IFERROR(INDEX(ProjectParameterTable[值],MATCH("K_COMPLEXITY_"&amp;$F22,ProjectParameterTable[参数代码],0)),"")</f>
        <v>1.5</v>
      </c>
      <c r="K22" s="6" t="n">
        <f aca="false">IF(OR(NOT(ISNUMBER($I22)),NOT(ISNUMBER($J22))),"",ROUND($I22*$J22,1))</f>
        <v>3.8</v>
      </c>
      <c r="L22" s="6" t="n">
        <f aca="false">IF(COUNTA($A22:$B22,$D22:$H22)=0,"",IF($G22="",0,IF($G22="内部集成",ROUND(INDEX(ProjectParameterTable[值],MATCH("SIT_INT_SUPPORT",ProjectParameterTable[参数代码],0))*$J22,1),IF($G22="外部集成",ROUND(INDEX(ProjectParameterTable[值],MATCH("SIT_EXT_SUPPORT",ProjectParameterTable[参数代码],0))*$J22,1),""))))</f>
        <v>0</v>
      </c>
      <c r="M22" s="5" t="str">
        <f aca="false">IF(COUNTA($A22:$B22,$D22:$H22)=0,"",IF(OR($A22="",$B22="",$C22="",$E22="",$F22=""),"必填项缺失",IF(SUMPRODUCT(--(TaskTable[任务名称]=$B22))&gt;1,"任务名称重复",IF(COUNTIF(SOWStoryTable[故事],$A22)&lt;&gt;1,"所属故事未知",IF(NOT(OR($F22="S",$F22="M",$F22="L")),"复杂度非法",IF(NOT(OR($G22="",$G22="内部集成",$G22="外部集成")),"集成类型非法",IF(AND($G22&lt;&gt;"",NOT(IFERROR(INDEX(TaskStandardTable[SIT支持资格],MATCH($C22,TaskStandardTable[工作类型ID],0)),"")="PER_INTEGRATION")),"非集成任务不应填写集成类型",IF(AND($G22="",IFERROR(INDEX(TaskStandardTable[SIT支持资格],MATCH($C22,TaskStandardTable[工作类型ID],0)),"")="PER_INTEGRATION"),"集成类型缺失",IF(ISNUMBER($I22),"通过","工作类型与工作方式不适用")))))))))</f>
        <v>通过</v>
      </c>
    </row>
    <row r="23" customFormat="false" ht="109" hidden="false" customHeight="true" outlineLevel="0" collapsed="false">
      <c r="A23" s="4" t="s">
        <v>39</v>
      </c>
      <c r="B23" s="4" t="s">
        <v>140</v>
      </c>
      <c r="C23" s="5" t="str">
        <f aca="false">IFERROR(INDEX(TaskStandardTable[工作类型ID],MATCH($D23,TaskStandardTable[工作类型名称],0)),"")</f>
        <v>IN-INTEGRATION</v>
      </c>
      <c r="D23" s="4" t="s">
        <v>115</v>
      </c>
      <c r="E23" s="4" t="s">
        <v>141</v>
      </c>
      <c r="F23" s="4" t="s">
        <v>124</v>
      </c>
      <c r="G23" s="4" t="s">
        <v>116</v>
      </c>
      <c r="H23" s="4" t="s">
        <v>142</v>
      </c>
      <c r="I23" s="6" t="n">
        <f aca="false">IFERROR(IF($E23="新建",IF(INDEX(TaskStandardTable[新建适用],MATCH($C23,TaskStandardTable[工作类型ID],0)),INDEX(TaskStandardTable[新建M档人天],MATCH($C23,TaskStandardTable[工作类型ID],0)),""),IF($E23="调整",IF(INDEX(TaskStandardTable[调整适用],MATCH($C23,TaskStandardTable[工作类型ID],0)),INDEX(TaskStandardTable[调整M档人天],MATCH($C23,TaskStandardTable[工作类型ID],0)),""),IF($E23="接入复用",IF(INDEX(TaskStandardTable[接入复用适用],MATCH($C23,TaskStandardTable[工作类型ID],0)),INDEX(TaskStandardTable[接入复用M档人天],MATCH($C23,TaskStandardTable[工作类型ID],0)),""),""))),"")</f>
        <v>1.5</v>
      </c>
      <c r="J23" s="6" t="n">
        <f aca="false">IFERROR(INDEX(ProjectParameterTable[值],MATCH("K_COMPLEXITY_"&amp;$F23,ProjectParameterTable[参数代码],0)),"")</f>
        <v>0.6</v>
      </c>
      <c r="K23" s="6" t="n">
        <f aca="false">IF(OR(NOT(ISNUMBER($I23)),NOT(ISNUMBER($J23))),"",ROUND($I23*$J23,1))</f>
        <v>0.9</v>
      </c>
      <c r="L23" s="6" t="n">
        <f aca="false">IF(COUNTA($A23:$B23,$D23:$H23)=0,"",IF($G23="",0,IF($G23="内部集成",ROUND(INDEX(ProjectParameterTable[值],MATCH("SIT_INT_SUPPORT",ProjectParameterTable[参数代码],0))*$J23,1),IF($G23="外部集成",ROUND(INDEX(ProjectParameterTable[值],MATCH("SIT_EXT_SUPPORT",ProjectParameterTable[参数代码],0))*$J23,1),""))))</f>
        <v>0.3</v>
      </c>
      <c r="M23" s="5" t="str">
        <f aca="false">IF(COUNTA($A23:$B23,$D23:$H23)=0,"",IF(OR($A23="",$B23="",$C23="",$E23="",$F23=""),"必填项缺失",IF(SUMPRODUCT(--(TaskTable[任务名称]=$B23))&gt;1,"任务名称重复",IF(COUNTIF(SOWStoryTable[故事],$A23)&lt;&gt;1,"所属故事未知",IF(NOT(OR($F23="S",$F23="M",$F23="L")),"复杂度非法",IF(NOT(OR($G23="",$G23="内部集成",$G23="外部集成")),"集成类型非法",IF(AND($G23&lt;&gt;"",NOT(IFERROR(INDEX(TaskStandardTable[SIT支持资格],MATCH($C23,TaskStandardTable[工作类型ID],0)),"")="PER_INTEGRATION")),"非集成任务不应填写集成类型",IF(AND($G23="",IFERROR(INDEX(TaskStandardTable[SIT支持资格],MATCH($C23,TaskStandardTable[工作类型ID],0)),"")="PER_INTEGRATION"),"集成类型缺失",IF(ISNUMBER($I23),"通过","工作类型与工作方式不适用")))))))))</f>
        <v>通过</v>
      </c>
    </row>
    <row r="24" customFormat="false" ht="79" hidden="false" customHeight="true" outlineLevel="0" collapsed="false">
      <c r="A24" s="4" t="s">
        <v>39</v>
      </c>
      <c r="B24" s="4" t="s">
        <v>143</v>
      </c>
      <c r="C24" s="5" t="str">
        <f aca="false">IFERROR(INDEX(TaskStandardTable[工作类型ID],MATCH($D24,TaskStandardTable[工作类型名称],0)),"")</f>
        <v>IN-INTEGRATION</v>
      </c>
      <c r="D24" s="4" t="s">
        <v>115</v>
      </c>
      <c r="E24" s="4" t="s">
        <v>104</v>
      </c>
      <c r="F24" s="4" t="s">
        <v>92</v>
      </c>
      <c r="G24" s="4" t="s">
        <v>116</v>
      </c>
      <c r="H24" s="4" t="s">
        <v>144</v>
      </c>
      <c r="I24" s="6" t="n">
        <f aca="false">IFERROR(IF($E24="新建",IF(INDEX(TaskStandardTable[新建适用],MATCH($C24,TaskStandardTable[工作类型ID],0)),INDEX(TaskStandardTable[新建M档人天],MATCH($C24,TaskStandardTable[工作类型ID],0)),""),IF($E24="调整",IF(INDEX(TaskStandardTable[调整适用],MATCH($C24,TaskStandardTable[工作类型ID],0)),INDEX(TaskStandardTable[调整M档人天],MATCH($C24,TaskStandardTable[工作类型ID],0)),""),IF($E24="接入复用",IF(INDEX(TaskStandardTable[接入复用适用],MATCH($C24,TaskStandardTable[工作类型ID],0)),INDEX(TaskStandardTable[接入复用M档人天],MATCH($C24,TaskStandardTable[工作类型ID],0)),""),""))),"")</f>
        <v>3</v>
      </c>
      <c r="J24" s="6" t="n">
        <f aca="false">IFERROR(INDEX(ProjectParameterTable[值],MATCH("K_COMPLEXITY_"&amp;$F24,ProjectParameterTable[参数代码],0)),"")</f>
        <v>1</v>
      </c>
      <c r="K24" s="6" t="n">
        <f aca="false">IF(OR(NOT(ISNUMBER($I24)),NOT(ISNUMBER($J24))),"",ROUND($I24*$J24,1))</f>
        <v>3</v>
      </c>
      <c r="L24" s="6" t="n">
        <f aca="false">IF(COUNTA($A24:$B24,$D24:$H24)=0,"",IF($G24="",0,IF($G24="内部集成",ROUND(INDEX(ProjectParameterTable[值],MATCH("SIT_INT_SUPPORT",ProjectParameterTable[参数代码],0))*$J24,1),IF($G24="外部集成",ROUND(INDEX(ProjectParameterTable[值],MATCH("SIT_EXT_SUPPORT",ProjectParameterTable[参数代码],0))*$J24,1),""))))</f>
        <v>0.5</v>
      </c>
      <c r="M24" s="5" t="str">
        <f aca="false">IF(COUNTA($A24:$B24,$D24:$H24)=0,"",IF(OR($A24="",$B24="",$C24="",$E24="",$F24=""),"必填项缺失",IF(SUMPRODUCT(--(TaskTable[任务名称]=$B24))&gt;1,"任务名称重复",IF(COUNTIF(SOWStoryTable[故事],$A24)&lt;&gt;1,"所属故事未知",IF(NOT(OR($F24="S",$F24="M",$F24="L")),"复杂度非法",IF(NOT(OR($G24="",$G24="内部集成",$G24="外部集成")),"集成类型非法",IF(AND($G24&lt;&gt;"",NOT(IFERROR(INDEX(TaskStandardTable[SIT支持资格],MATCH($C24,TaskStandardTable[工作类型ID],0)),"")="PER_INTEGRATION")),"非集成任务不应填写集成类型",IF(AND($G24="",IFERROR(INDEX(TaskStandardTable[SIT支持资格],MATCH($C24,TaskStandardTable[工作类型ID],0)),"")="PER_INTEGRATION"),"集成类型缺失",IF(ISNUMBER($I24),"通过","工作类型与工作方式不适用")))))))))</f>
        <v>通过</v>
      </c>
    </row>
    <row r="25" customFormat="false" ht="94" hidden="false" customHeight="true" outlineLevel="0" collapsed="false">
      <c r="A25" s="4" t="s">
        <v>39</v>
      </c>
      <c r="B25" s="4" t="s">
        <v>145</v>
      </c>
      <c r="C25" s="5" t="str">
        <f aca="false">IFERROR(INDEX(TaskStandardTable[工作类型ID],MATCH($D25,TaskStandardTable[工作类型名称],0)),"")</f>
        <v>FE-COMPENSATION</v>
      </c>
      <c r="D25" s="4" t="s">
        <v>146</v>
      </c>
      <c r="E25" s="4" t="s">
        <v>104</v>
      </c>
      <c r="F25" s="4" t="s">
        <v>92</v>
      </c>
      <c r="G25" s="4"/>
      <c r="H25" s="4" t="s">
        <v>147</v>
      </c>
      <c r="I25" s="6" t="n">
        <f aca="false">IFERROR(IF($E25="新建",IF(INDEX(TaskStandardTable[新建适用],MATCH($C25,TaskStandardTable[工作类型ID],0)),INDEX(TaskStandardTable[新建M档人天],MATCH($C25,TaskStandardTable[工作类型ID],0)),""),IF($E25="调整",IF(INDEX(TaskStandardTable[调整适用],MATCH($C25,TaskStandardTable[工作类型ID],0)),INDEX(TaskStandardTable[调整M档人天],MATCH($C25,TaskStandardTable[工作类型ID],0)),""),IF($E25="接入复用",IF(INDEX(TaskStandardTable[接入复用适用],MATCH($C25,TaskStandardTable[工作类型ID],0)),INDEX(TaskStandardTable[接入复用M档人天],MATCH($C25,TaskStandardTable[工作类型ID],0)),""),""))),"")</f>
        <v>2</v>
      </c>
      <c r="J25" s="6" t="n">
        <f aca="false">IFERROR(INDEX(ProjectParameterTable[值],MATCH("K_COMPLEXITY_"&amp;$F25,ProjectParameterTable[参数代码],0)),"")</f>
        <v>1</v>
      </c>
      <c r="K25" s="6" t="n">
        <f aca="false">IF(OR(NOT(ISNUMBER($I25)),NOT(ISNUMBER($J25))),"",ROUND($I25*$J25,1))</f>
        <v>2</v>
      </c>
      <c r="L25" s="6" t="n">
        <f aca="false">IF(COUNTA($A25:$B25,$D25:$H25)=0,"",IF($G25="",0,IF($G25="内部集成",ROUND(INDEX(ProjectParameterTable[值],MATCH("SIT_INT_SUPPORT",ProjectParameterTable[参数代码],0))*$J25,1),IF($G25="外部集成",ROUND(INDEX(ProjectParameterTable[值],MATCH("SIT_EXT_SUPPORT",ProjectParameterTable[参数代码],0))*$J25,1),""))))</f>
        <v>0</v>
      </c>
      <c r="M25" s="5" t="str">
        <f aca="false">IF(COUNTA($A25:$B25,$D25:$H25)=0,"",IF(OR($A25="",$B25="",$C25="",$E25="",$F25=""),"必填项缺失",IF(SUMPRODUCT(--(TaskTable[任务名称]=$B25))&gt;1,"任务名称重复",IF(COUNTIF(SOWStoryTable[故事],$A25)&lt;&gt;1,"所属故事未知",IF(NOT(OR($F25="S",$F25="M",$F25="L")),"复杂度非法",IF(NOT(OR($G25="",$G25="内部集成",$G25="外部集成")),"集成类型非法",IF(AND($G25&lt;&gt;"",NOT(IFERROR(INDEX(TaskStandardTable[SIT支持资格],MATCH($C25,TaskStandardTable[工作类型ID],0)),"")="PER_INTEGRATION")),"非集成任务不应填写集成类型",IF(AND($G25="",IFERROR(INDEX(TaskStandardTable[SIT支持资格],MATCH($C25,TaskStandardTable[工作类型ID],0)),"")="PER_INTEGRATION"),"集成类型缺失",IF(ISNUMBER($I25),"通过","工作类型与工作方式不适用")))))))))</f>
        <v>通过</v>
      </c>
    </row>
    <row r="26" customFormat="false" ht="109" hidden="false" customHeight="true" outlineLevel="0" collapsed="false">
      <c r="A26" s="4" t="s">
        <v>42</v>
      </c>
      <c r="B26" s="4" t="s">
        <v>148</v>
      </c>
      <c r="C26" s="5" t="str">
        <f aca="false">IFERROR(INDEX(TaskStandardTable[工作类型ID],MATCH($D26,TaskStandardTable[工作类型名称],0)),"")</f>
        <v>DATA-RECON</v>
      </c>
      <c r="D26" s="4" t="s">
        <v>149</v>
      </c>
      <c r="E26" s="4" t="s">
        <v>104</v>
      </c>
      <c r="F26" s="4" t="s">
        <v>92</v>
      </c>
      <c r="G26" s="4"/>
      <c r="H26" s="4" t="s">
        <v>150</v>
      </c>
      <c r="I26" s="6" t="n">
        <f aca="false">IFERROR(IF($E26="新建",IF(INDEX(TaskStandardTable[新建适用],MATCH($C26,TaskStandardTable[工作类型ID],0)),INDEX(TaskStandardTable[新建M档人天],MATCH($C26,TaskStandardTable[工作类型ID],0)),""),IF($E26="调整",IF(INDEX(TaskStandardTable[调整适用],MATCH($C26,TaskStandardTable[工作类型ID],0)),INDEX(TaskStandardTable[调整M档人天],MATCH($C26,TaskStandardTable[工作类型ID],0)),""),IF($E26="接入复用",IF(INDEX(TaskStandardTable[接入复用适用],MATCH($C26,TaskStandardTable[工作类型ID],0)),INDEX(TaskStandardTable[接入复用M档人天],MATCH($C26,TaskStandardTable[工作类型ID],0)),""),""))),"")</f>
        <v>2</v>
      </c>
      <c r="J26" s="6" t="n">
        <f aca="false">IFERROR(INDEX(ProjectParameterTable[值],MATCH("K_COMPLEXITY_"&amp;$F26,ProjectParameterTable[参数代码],0)),"")</f>
        <v>1</v>
      </c>
      <c r="K26" s="6" t="n">
        <f aca="false">IF(OR(NOT(ISNUMBER($I26)),NOT(ISNUMBER($J26))),"",ROUND($I26*$J26,1))</f>
        <v>2</v>
      </c>
      <c r="L26" s="6" t="n">
        <f aca="false">IF(COUNTA($A26:$B26,$D26:$H26)=0,"",IF($G26="",0,IF($G26="内部集成",ROUND(INDEX(ProjectParameterTable[值],MATCH("SIT_INT_SUPPORT",ProjectParameterTable[参数代码],0))*$J26,1),IF($G26="外部集成",ROUND(INDEX(ProjectParameterTable[值],MATCH("SIT_EXT_SUPPORT",ProjectParameterTable[参数代码],0))*$J26,1),""))))</f>
        <v>0</v>
      </c>
      <c r="M26" s="5" t="str">
        <f aca="false">IF(COUNTA($A26:$B26,$D26:$H26)=0,"",IF(OR($A26="",$B26="",$C26="",$E26="",$F26=""),"必填项缺失",IF(SUMPRODUCT(--(TaskTable[任务名称]=$B26))&gt;1,"任务名称重复",IF(COUNTIF(SOWStoryTable[故事],$A26)&lt;&gt;1,"所属故事未知",IF(NOT(OR($F26="S",$F26="M",$F26="L")),"复杂度非法",IF(NOT(OR($G26="",$G26="内部集成",$G26="外部集成")),"集成类型非法",IF(AND($G26&lt;&gt;"",NOT(IFERROR(INDEX(TaskStandardTable[SIT支持资格],MATCH($C26,TaskStandardTable[工作类型ID],0)),"")="PER_INTEGRATION")),"非集成任务不应填写集成类型",IF(AND($G26="",IFERROR(INDEX(TaskStandardTable[SIT支持资格],MATCH($C26,TaskStandardTable[工作类型ID],0)),"")="PER_INTEGRATION"),"集成类型缺失",IF(ISNUMBER($I26),"通过","工作类型与工作方式不适用")))))))))</f>
        <v>通过</v>
      </c>
    </row>
    <row r="27" customFormat="false" ht="79" hidden="false" customHeight="true" outlineLevel="0" collapsed="false">
      <c r="A27" s="4" t="s">
        <v>42</v>
      </c>
      <c r="B27" s="4" t="s">
        <v>151</v>
      </c>
      <c r="C27" s="5" t="str">
        <f aca="false">IFERROR(INDEX(TaskStandardTable[工作类型ID],MATCH($D27,TaskStandardTable[工作类型名称],0)),"")</f>
        <v>FE-VIEW</v>
      </c>
      <c r="D27" s="4" t="s">
        <v>90</v>
      </c>
      <c r="E27" s="4" t="s">
        <v>104</v>
      </c>
      <c r="F27" s="4" t="s">
        <v>124</v>
      </c>
      <c r="G27" s="4"/>
      <c r="H27" s="4" t="s">
        <v>152</v>
      </c>
      <c r="I27" s="6" t="n">
        <f aca="false">IFERROR(IF($E27="新建",IF(INDEX(TaskStandardTable[新建适用],MATCH($C27,TaskStandardTable[工作类型ID],0)),INDEX(TaskStandardTable[新建M档人天],MATCH($C27,TaskStandardTable[工作类型ID],0)),""),IF($E27="调整",IF(INDEX(TaskStandardTable[调整适用],MATCH($C27,TaskStandardTable[工作类型ID],0)),INDEX(TaskStandardTable[调整M档人天],MATCH($C27,TaskStandardTable[工作类型ID],0)),""),IF($E27="接入复用",IF(INDEX(TaskStandardTable[接入复用适用],MATCH($C27,TaskStandardTable[工作类型ID],0)),INDEX(TaskStandardTable[接入复用M档人天],MATCH($C27,TaskStandardTable[工作类型ID],0)),""),""))),"")</f>
        <v>1.5</v>
      </c>
      <c r="J27" s="6" t="n">
        <f aca="false">IFERROR(INDEX(ProjectParameterTable[值],MATCH("K_COMPLEXITY_"&amp;$F27,ProjectParameterTable[参数代码],0)),"")</f>
        <v>0.6</v>
      </c>
      <c r="K27" s="6" t="n">
        <f aca="false">IF(OR(NOT(ISNUMBER($I27)),NOT(ISNUMBER($J27))),"",ROUND($I27*$J27,1))</f>
        <v>0.9</v>
      </c>
      <c r="L27" s="6" t="n">
        <f aca="false">IF(COUNTA($A27:$B27,$D27:$H27)=0,"",IF($G27="",0,IF($G27="内部集成",ROUND(INDEX(ProjectParameterTable[值],MATCH("SIT_INT_SUPPORT",ProjectParameterTable[参数代码],0))*$J27,1),IF($G27="外部集成",ROUND(INDEX(ProjectParameterTable[值],MATCH("SIT_EXT_SUPPORT",ProjectParameterTable[参数代码],0))*$J27,1),""))))</f>
        <v>0</v>
      </c>
      <c r="M27" s="5" t="str">
        <f aca="false">IF(COUNTA($A27:$B27,$D27:$H27)=0,"",IF(OR($A27="",$B27="",$C27="",$E27="",$F27=""),"必填项缺失",IF(SUMPRODUCT(--(TaskTable[任务名称]=$B27))&gt;1,"任务名称重复",IF(COUNTIF(SOWStoryTable[故事],$A27)&lt;&gt;1,"所属故事未知",IF(NOT(OR($F27="S",$F27="M",$F27="L")),"复杂度非法",IF(NOT(OR($G27="",$G27="内部集成",$G27="外部集成")),"集成类型非法",IF(AND($G27&lt;&gt;"",NOT(IFERROR(INDEX(TaskStandardTable[SIT支持资格],MATCH($C27,TaskStandardTable[工作类型ID],0)),"")="PER_INTEGRATION")),"非集成任务不应填写集成类型",IF(AND($G27="",IFERROR(INDEX(TaskStandardTable[SIT支持资格],MATCH($C27,TaskStandardTable[工作类型ID],0)),"")="PER_INTEGRATION"),"集成类型缺失",IF(ISNUMBER($I27),"通过","工作类型与工作方式不适用")))))))))</f>
        <v>通过</v>
      </c>
    </row>
    <row r="28" customFormat="false" ht="94" hidden="false" customHeight="true" outlineLevel="0" collapsed="false">
      <c r="A28" s="4" t="s">
        <v>42</v>
      </c>
      <c r="B28" s="4" t="s">
        <v>153</v>
      </c>
      <c r="C28" s="5" t="str">
        <f aca="false">IFERROR(INDEX(TaskStandardTable[工作类型ID],MATCH($D28,TaskStandardTable[工作类型名称],0)),"")</f>
        <v>DATA-EXPORT</v>
      </c>
      <c r="D28" s="4" t="s">
        <v>154</v>
      </c>
      <c r="E28" s="4" t="s">
        <v>104</v>
      </c>
      <c r="F28" s="4" t="s">
        <v>124</v>
      </c>
      <c r="G28" s="4"/>
      <c r="H28" s="4" t="s">
        <v>155</v>
      </c>
      <c r="I28" s="6" t="n">
        <f aca="false">IFERROR(IF($E28="新建",IF(INDEX(TaskStandardTable[新建适用],MATCH($C28,TaskStandardTable[工作类型ID],0)),INDEX(TaskStandardTable[新建M档人天],MATCH($C28,TaskStandardTable[工作类型ID],0)),""),IF($E28="调整",IF(INDEX(TaskStandardTable[调整适用],MATCH($C28,TaskStandardTable[工作类型ID],0)),INDEX(TaskStandardTable[调整M档人天],MATCH($C28,TaskStandardTable[工作类型ID],0)),""),IF($E28="接入复用",IF(INDEX(TaskStandardTable[接入复用适用],MATCH($C28,TaskStandardTable[工作类型ID],0)),INDEX(TaskStandardTable[接入复用M档人天],MATCH($C28,TaskStandardTable[工作类型ID],0)),""),""))),"")</f>
        <v>2</v>
      </c>
      <c r="J28" s="6" t="n">
        <f aca="false">IFERROR(INDEX(ProjectParameterTable[值],MATCH("K_COMPLEXITY_"&amp;$F28,ProjectParameterTable[参数代码],0)),"")</f>
        <v>0.6</v>
      </c>
      <c r="K28" s="6" t="n">
        <f aca="false">IF(OR(NOT(ISNUMBER($I28)),NOT(ISNUMBER($J28))),"",ROUND($I28*$J28,1))</f>
        <v>1.2</v>
      </c>
      <c r="L28" s="6" t="n">
        <f aca="false">IF(COUNTA($A28:$B28,$D28:$H28)=0,"",IF($G28="",0,IF($G28="内部集成",ROUND(INDEX(ProjectParameterTable[值],MATCH("SIT_INT_SUPPORT",ProjectParameterTable[参数代码],0))*$J28,1),IF($G28="外部集成",ROUND(INDEX(ProjectParameterTable[值],MATCH("SIT_EXT_SUPPORT",ProjectParameterTable[参数代码],0))*$J28,1),""))))</f>
        <v>0</v>
      </c>
      <c r="M28" s="5" t="str">
        <f aca="false">IF(COUNTA($A28:$B28,$D28:$H28)=0,"",IF(OR($A28="",$B28="",$C28="",$E28="",$F28=""),"必填项缺失",IF(SUMPRODUCT(--(TaskTable[任务名称]=$B28))&gt;1,"任务名称重复",IF(COUNTIF(SOWStoryTable[故事],$A28)&lt;&gt;1,"所属故事未知",IF(NOT(OR($F28="S",$F28="M",$F28="L")),"复杂度非法",IF(NOT(OR($G28="",$G28="内部集成",$G28="外部集成")),"集成类型非法",IF(AND($G28&lt;&gt;"",NOT(IFERROR(INDEX(TaskStandardTable[SIT支持资格],MATCH($C28,TaskStandardTable[工作类型ID],0)),"")="PER_INTEGRATION")),"非集成任务不应填写集成类型",IF(AND($G28="",IFERROR(INDEX(TaskStandardTable[SIT支持资格],MATCH($C28,TaskStandardTable[工作类型ID],0)),"")="PER_INTEGRATION"),"集成类型缺失",IF(ISNUMBER($I28),"通过","工作类型与工作方式不适用")))))))))</f>
        <v>通过</v>
      </c>
    </row>
    <row r="29" customFormat="false" ht="94" hidden="false" customHeight="true" outlineLevel="0" collapsed="false">
      <c r="A29" s="4" t="s">
        <v>46</v>
      </c>
      <c r="B29" s="4" t="s">
        <v>156</v>
      </c>
      <c r="C29" s="5" t="str">
        <f aca="false">IFERROR(INDEX(TaskStandardTable[工作类型ID],MATCH($D29,TaskStandardTable[工作类型名称],0)),"")</f>
        <v>IN-IDENTITY</v>
      </c>
      <c r="D29" s="4" t="s">
        <v>157</v>
      </c>
      <c r="E29" s="4" t="s">
        <v>141</v>
      </c>
      <c r="F29" s="4" t="s">
        <v>92</v>
      </c>
      <c r="G29" s="4" t="s">
        <v>116</v>
      </c>
      <c r="H29" s="4" t="s">
        <v>158</v>
      </c>
      <c r="I29" s="6" t="n">
        <f aca="false">IFERROR(IF($E29="新建",IF(INDEX(TaskStandardTable[新建适用],MATCH($C29,TaskStandardTable[工作类型ID],0)),INDEX(TaskStandardTable[新建M档人天],MATCH($C29,TaskStandardTable[工作类型ID],0)),""),IF($E29="调整",IF(INDEX(TaskStandardTable[调整适用],MATCH($C29,TaskStandardTable[工作类型ID],0)),INDEX(TaskStandardTable[调整M档人天],MATCH($C29,TaskStandardTable[工作类型ID],0)),""),IF($E29="接入复用",IF(INDEX(TaskStandardTable[接入复用适用],MATCH($C29,TaskStandardTable[工作类型ID],0)),INDEX(TaskStandardTable[接入复用M档人天],MATCH($C29,TaskStandardTable[工作类型ID],0)),""),""))),"")</f>
        <v>1.5</v>
      </c>
      <c r="J29" s="6" t="n">
        <f aca="false">IFERROR(INDEX(ProjectParameterTable[值],MATCH("K_COMPLEXITY_"&amp;$F29,ProjectParameterTable[参数代码],0)),"")</f>
        <v>1</v>
      </c>
      <c r="K29" s="6" t="n">
        <f aca="false">IF(OR(NOT(ISNUMBER($I29)),NOT(ISNUMBER($J29))),"",ROUND($I29*$J29,1))</f>
        <v>1.5</v>
      </c>
      <c r="L29" s="6" t="n">
        <f aca="false">IF(COUNTA($A29:$B29,$D29:$H29)=0,"",IF($G29="",0,IF($G29="内部集成",ROUND(INDEX(ProjectParameterTable[值],MATCH("SIT_INT_SUPPORT",ProjectParameterTable[参数代码],0))*$J29,1),IF($G29="外部集成",ROUND(INDEX(ProjectParameterTable[值],MATCH("SIT_EXT_SUPPORT",ProjectParameterTable[参数代码],0))*$J29,1),""))))</f>
        <v>0.5</v>
      </c>
      <c r="M29" s="5" t="str">
        <f aca="false">IF(COUNTA($A29:$B29,$D29:$H29)=0,"",IF(OR($A29="",$B29="",$C29="",$E29="",$F29=""),"必填项缺失",IF(SUMPRODUCT(--(TaskTable[任务名称]=$B29))&gt;1,"任务名称重复",IF(COUNTIF(SOWStoryTable[故事],$A29)&lt;&gt;1,"所属故事未知",IF(NOT(OR($F29="S",$F29="M",$F29="L")),"复杂度非法",IF(NOT(OR($G29="",$G29="内部集成",$G29="外部集成")),"集成类型非法",IF(AND($G29&lt;&gt;"",NOT(IFERROR(INDEX(TaskStandardTable[SIT支持资格],MATCH($C29,TaskStandardTable[工作类型ID],0)),"")="PER_INTEGRATION")),"非集成任务不应填写集成类型",IF(AND($G29="",IFERROR(INDEX(TaskStandardTable[SIT支持资格],MATCH($C29,TaskStandardTable[工作类型ID],0)),"")="PER_INTEGRATION"),"集成类型缺失",IF(ISNUMBER($I29),"通过","工作类型与工作方式不适用")))))))))</f>
        <v>通过</v>
      </c>
    </row>
    <row r="30" customFormat="false" ht="94" hidden="false" customHeight="true" outlineLevel="0" collapsed="false">
      <c r="A30" s="4" t="s">
        <v>48</v>
      </c>
      <c r="B30" s="4" t="s">
        <v>159</v>
      </c>
      <c r="C30" s="5" t="str">
        <f aca="false">IFERROR(INDEX(TaskStandardTable[工作类型ID],MATCH($D30,TaskStandardTable[工作类型名称],0)),"")</f>
        <v>GOV-AUDIT</v>
      </c>
      <c r="D30" s="4" t="s">
        <v>160</v>
      </c>
      <c r="E30" s="4" t="s">
        <v>141</v>
      </c>
      <c r="F30" s="4" t="s">
        <v>92</v>
      </c>
      <c r="G30" s="4"/>
      <c r="H30" s="4" t="s">
        <v>161</v>
      </c>
      <c r="I30" s="6" t="n">
        <f aca="false">IFERROR(IF($E30="新建",IF(INDEX(TaskStandardTable[新建适用],MATCH($C30,TaskStandardTable[工作类型ID],0)),INDEX(TaskStandardTable[新建M档人天],MATCH($C30,TaskStandardTable[工作类型ID],0)),""),IF($E30="调整",IF(INDEX(TaskStandardTable[调整适用],MATCH($C30,TaskStandardTable[工作类型ID],0)),INDEX(TaskStandardTable[调整M档人天],MATCH($C30,TaskStandardTable[工作类型ID],0)),""),IF($E30="接入复用",IF(INDEX(TaskStandardTable[接入复用适用],MATCH($C30,TaskStandardTable[工作类型ID],0)),INDEX(TaskStandardTable[接入复用M档人天],MATCH($C30,TaskStandardTable[工作类型ID],0)),""),""))),"")</f>
        <v>1</v>
      </c>
      <c r="J30" s="6" t="n">
        <f aca="false">IFERROR(INDEX(ProjectParameterTable[值],MATCH("K_COMPLEXITY_"&amp;$F30,ProjectParameterTable[参数代码],0)),"")</f>
        <v>1</v>
      </c>
      <c r="K30" s="6" t="n">
        <f aca="false">IF(OR(NOT(ISNUMBER($I30)),NOT(ISNUMBER($J30))),"",ROUND($I30*$J30,1))</f>
        <v>1</v>
      </c>
      <c r="L30" s="6" t="n">
        <f aca="false">IF(COUNTA($A30:$B30,$D30:$H30)=0,"",IF($G30="",0,IF($G30="内部集成",ROUND(INDEX(ProjectParameterTable[值],MATCH("SIT_INT_SUPPORT",ProjectParameterTable[参数代码],0))*$J30,1),IF($G30="外部集成",ROUND(INDEX(ProjectParameterTable[值],MATCH("SIT_EXT_SUPPORT",ProjectParameterTable[参数代码],0))*$J30,1),""))))</f>
        <v>0</v>
      </c>
      <c r="M30" s="5" t="str">
        <f aca="false">IF(COUNTA($A30:$B30,$D30:$H30)=0,"",IF(OR($A30="",$B30="",$C30="",$E30="",$F30=""),"必填项缺失",IF(SUMPRODUCT(--(TaskTable[任务名称]=$B30))&gt;1,"任务名称重复",IF(COUNTIF(SOWStoryTable[故事],$A30)&lt;&gt;1,"所属故事未知",IF(NOT(OR($F30="S",$F30="M",$F30="L")),"复杂度非法",IF(NOT(OR($G30="",$G30="内部集成",$G30="外部集成")),"集成类型非法",IF(AND($G30&lt;&gt;"",NOT(IFERROR(INDEX(TaskStandardTable[SIT支持资格],MATCH($C30,TaskStandardTable[工作类型ID],0)),"")="PER_INTEGRATION")),"非集成任务不应填写集成类型",IF(AND($G30="",IFERROR(INDEX(TaskStandardTable[SIT支持资格],MATCH($C30,TaskStandardTable[工作类型ID],0)),"")="PER_INTEGRATION"),"集成类型缺失",IF(ISNUMBER($I30),"通过","工作类型与工作方式不适用")))))))))</f>
        <v>通过</v>
      </c>
    </row>
    <row r="31" customFormat="false" ht="94" hidden="false" customHeight="true" outlineLevel="0" collapsed="false">
      <c r="A31" s="4" t="s">
        <v>51</v>
      </c>
      <c r="B31" s="4" t="s">
        <v>162</v>
      </c>
      <c r="C31" s="5" t="str">
        <f aca="false">IFERROR(INDEX(TaskStandardTable[工作类型ID],MATCH($D31,TaskStandardTable[工作类型名称],0)),"")</f>
        <v>DATA-MIGRATION</v>
      </c>
      <c r="D31" s="4" t="s">
        <v>163</v>
      </c>
      <c r="E31" s="4" t="s">
        <v>104</v>
      </c>
      <c r="F31" s="4" t="s">
        <v>92</v>
      </c>
      <c r="G31" s="4"/>
      <c r="H31" s="4" t="s">
        <v>164</v>
      </c>
      <c r="I31" s="6" t="n">
        <f aca="false">IFERROR(IF($E31="新建",IF(INDEX(TaskStandardTable[新建适用],MATCH($C31,TaskStandardTable[工作类型ID],0)),INDEX(TaskStandardTable[新建M档人天],MATCH($C31,TaskStandardTable[工作类型ID],0)),""),IF($E31="调整",IF(INDEX(TaskStandardTable[调整适用],MATCH($C31,TaskStandardTable[工作类型ID],0)),INDEX(TaskStandardTable[调整M档人天],MATCH($C31,TaskStandardTable[工作类型ID],0)),""),IF($E31="接入复用",IF(INDEX(TaskStandardTable[接入复用适用],MATCH($C31,TaskStandardTable[工作类型ID],0)),INDEX(TaskStandardTable[接入复用M档人天],MATCH($C31,TaskStandardTable[工作类型ID],0)),""),""))),"")</f>
        <v>3</v>
      </c>
      <c r="J31" s="6" t="n">
        <f aca="false">IFERROR(INDEX(ProjectParameterTable[值],MATCH("K_COMPLEXITY_"&amp;$F31,ProjectParameterTable[参数代码],0)),"")</f>
        <v>1</v>
      </c>
      <c r="K31" s="6" t="n">
        <f aca="false">IF(OR(NOT(ISNUMBER($I31)),NOT(ISNUMBER($J31))),"",ROUND($I31*$J31,1))</f>
        <v>3</v>
      </c>
      <c r="L31" s="6" t="n">
        <f aca="false">IF(COUNTA($A31:$B31,$D31:$H31)=0,"",IF($G31="",0,IF($G31="内部集成",ROUND(INDEX(ProjectParameterTable[值],MATCH("SIT_INT_SUPPORT",ProjectParameterTable[参数代码],0))*$J31,1),IF($G31="外部集成",ROUND(INDEX(ProjectParameterTable[值],MATCH("SIT_EXT_SUPPORT",ProjectParameterTable[参数代码],0))*$J31,1),""))))</f>
        <v>0</v>
      </c>
      <c r="M31" s="5" t="str">
        <f aca="false">IF(COUNTA($A31:$B31,$D31:$H31)=0,"",IF(OR($A31="",$B31="",$C31="",$E31="",$F31=""),"必填项缺失",IF(SUMPRODUCT(--(TaskTable[任务名称]=$B31))&gt;1,"任务名称重复",IF(COUNTIF(SOWStoryTable[故事],$A31)&lt;&gt;1,"所属故事未知",IF(NOT(OR($F31="S",$F31="M",$F31="L")),"复杂度非法",IF(NOT(OR($G31="",$G31="内部集成",$G31="外部集成")),"集成类型非法",IF(AND($G31&lt;&gt;"",NOT(IFERROR(INDEX(TaskStandardTable[SIT支持资格],MATCH($C31,TaskStandardTable[工作类型ID],0)),"")="PER_INTEGRATION")),"非集成任务不应填写集成类型",IF(AND($G31="",IFERROR(INDEX(TaskStandardTable[SIT支持资格],MATCH($C31,TaskStandardTable[工作类型ID],0)),"")="PER_INTEGRATION"),"集成类型缺失",IF(ISNUMBER($I31),"通过","工作类型与工作方式不适用")))))))))</f>
        <v>通过</v>
      </c>
    </row>
    <row r="32" customFormat="false" ht="79" hidden="false" customHeight="true" outlineLevel="0" collapsed="false">
      <c r="A32" s="4" t="s">
        <v>51</v>
      </c>
      <c r="B32" s="4" t="s">
        <v>165</v>
      </c>
      <c r="C32" s="5" t="str">
        <f aca="false">IFERROR(INDEX(TaskStandardTable[工作类型ID],MATCH($D32,TaskStandardTable[工作类型名称],0)),"")</f>
        <v>REL-MIGRATION-DRYRUN</v>
      </c>
      <c r="D32" s="4" t="s">
        <v>166</v>
      </c>
      <c r="E32" s="4" t="s">
        <v>104</v>
      </c>
      <c r="F32" s="4" t="s">
        <v>92</v>
      </c>
      <c r="G32" s="4"/>
      <c r="H32" s="4" t="s">
        <v>167</v>
      </c>
      <c r="I32" s="6" t="n">
        <f aca="false">IFERROR(IF($E32="新建",IF(INDEX(TaskStandardTable[新建适用],MATCH($C32,TaskStandardTable[工作类型ID],0)),INDEX(TaskStandardTable[新建M档人天],MATCH($C32,TaskStandardTable[工作类型ID],0)),""),IF($E32="调整",IF(INDEX(TaskStandardTable[调整适用],MATCH($C32,TaskStandardTable[工作类型ID],0)),INDEX(TaskStandardTable[调整M档人天],MATCH($C32,TaskStandardTable[工作类型ID],0)),""),IF($E32="接入复用",IF(INDEX(TaskStandardTable[接入复用适用],MATCH($C32,TaskStandardTable[工作类型ID],0)),INDEX(TaskStandardTable[接入复用M档人天],MATCH($C32,TaskStandardTable[工作类型ID],0)),""),""))),"")</f>
        <v>2</v>
      </c>
      <c r="J32" s="6" t="n">
        <f aca="false">IFERROR(INDEX(ProjectParameterTable[值],MATCH("K_COMPLEXITY_"&amp;$F32,ProjectParameterTable[参数代码],0)),"")</f>
        <v>1</v>
      </c>
      <c r="K32" s="6" t="n">
        <f aca="false">IF(OR(NOT(ISNUMBER($I32)),NOT(ISNUMBER($J32))),"",ROUND($I32*$J32,1))</f>
        <v>2</v>
      </c>
      <c r="L32" s="6" t="n">
        <f aca="false">IF(COUNTA($A32:$B32,$D32:$H32)=0,"",IF($G32="",0,IF($G32="内部集成",ROUND(INDEX(ProjectParameterTable[值],MATCH("SIT_INT_SUPPORT",ProjectParameterTable[参数代码],0))*$J32,1),IF($G32="外部集成",ROUND(INDEX(ProjectParameterTable[值],MATCH("SIT_EXT_SUPPORT",ProjectParameterTable[参数代码],0))*$J32,1),""))))</f>
        <v>0</v>
      </c>
      <c r="M32" s="5" t="str">
        <f aca="false">IF(COUNTA($A32:$B32,$D32:$H32)=0,"",IF(OR($A32="",$B32="",$C32="",$E32="",$F32=""),"必填项缺失",IF(SUMPRODUCT(--(TaskTable[任务名称]=$B32))&gt;1,"任务名称重复",IF(COUNTIF(SOWStoryTable[故事],$A32)&lt;&gt;1,"所属故事未知",IF(NOT(OR($F32="S",$F32="M",$F32="L")),"复杂度非法",IF(NOT(OR($G32="",$G32="内部集成",$G32="外部集成")),"集成类型非法",IF(AND($G32&lt;&gt;"",NOT(IFERROR(INDEX(TaskStandardTable[SIT支持资格],MATCH($C32,TaskStandardTable[工作类型ID],0)),"")="PER_INTEGRATION")),"非集成任务不应填写集成类型",IF(AND($G32="",IFERROR(INDEX(TaskStandardTable[SIT支持资格],MATCH($C32,TaskStandardTable[工作类型ID],0)),"")="PER_INTEGRATION"),"集成类型缺失",IF(ISNUMBER($I32),"通过","工作类型与工作方式不适用")))))))))</f>
        <v>通过</v>
      </c>
    </row>
    <row r="33" customFormat="false" ht="94" hidden="false" customHeight="true" outlineLevel="0" collapsed="false">
      <c r="A33" s="4" t="s">
        <v>51</v>
      </c>
      <c r="B33" s="4" t="s">
        <v>168</v>
      </c>
      <c r="C33" s="5" t="str">
        <f aca="false">IFERROR(INDEX(TaskStandardTable[工作类型ID],MATCH($D33,TaskStandardTable[工作类型名称],0)),"")</f>
        <v>REL-MIGRATION-EXECUTION</v>
      </c>
      <c r="D33" s="4" t="s">
        <v>169</v>
      </c>
      <c r="E33" s="4" t="s">
        <v>104</v>
      </c>
      <c r="F33" s="4" t="s">
        <v>92</v>
      </c>
      <c r="G33" s="4"/>
      <c r="H33" s="4" t="s">
        <v>170</v>
      </c>
      <c r="I33" s="6" t="n">
        <f aca="false">IFERROR(IF($E33="新建",IF(INDEX(TaskStandardTable[新建适用],MATCH($C33,TaskStandardTable[工作类型ID],0)),INDEX(TaskStandardTable[新建M档人天],MATCH($C33,TaskStandardTable[工作类型ID],0)),""),IF($E33="调整",IF(INDEX(TaskStandardTable[调整适用],MATCH($C33,TaskStandardTable[工作类型ID],0)),INDEX(TaskStandardTable[调整M档人天],MATCH($C33,TaskStandardTable[工作类型ID],0)),""),IF($E33="接入复用",IF(INDEX(TaskStandardTable[接入复用适用],MATCH($C33,TaskStandardTable[工作类型ID],0)),INDEX(TaskStandardTable[接入复用M档人天],MATCH($C33,TaskStandardTable[工作类型ID],0)),""),""))),"")</f>
        <v>2</v>
      </c>
      <c r="J33" s="6" t="n">
        <f aca="false">IFERROR(INDEX(ProjectParameterTable[值],MATCH("K_COMPLEXITY_"&amp;$F33,ProjectParameterTable[参数代码],0)),"")</f>
        <v>1</v>
      </c>
      <c r="K33" s="6" t="n">
        <f aca="false">IF(OR(NOT(ISNUMBER($I33)),NOT(ISNUMBER($J33))),"",ROUND($I33*$J33,1))</f>
        <v>2</v>
      </c>
      <c r="L33" s="6" t="n">
        <f aca="false">IF(COUNTA($A33:$B33,$D33:$H33)=0,"",IF($G33="",0,IF($G33="内部集成",ROUND(INDEX(ProjectParameterTable[值],MATCH("SIT_INT_SUPPORT",ProjectParameterTable[参数代码],0))*$J33,1),IF($G33="外部集成",ROUND(INDEX(ProjectParameterTable[值],MATCH("SIT_EXT_SUPPORT",ProjectParameterTable[参数代码],0))*$J33,1),""))))</f>
        <v>0</v>
      </c>
      <c r="M33" s="5" t="str">
        <f aca="false">IF(COUNTA($A33:$B33,$D33:$H33)=0,"",IF(OR($A33="",$B33="",$C33="",$E33="",$F33=""),"必填项缺失",IF(SUMPRODUCT(--(TaskTable[任务名称]=$B33))&gt;1,"任务名称重复",IF(COUNTIF(SOWStoryTable[故事],$A33)&lt;&gt;1,"所属故事未知",IF(NOT(OR($F33="S",$F33="M",$F33="L")),"复杂度非法",IF(NOT(OR($G33="",$G33="内部集成",$G33="外部集成")),"集成类型非法",IF(AND($G33&lt;&gt;"",NOT(IFERROR(INDEX(TaskStandardTable[SIT支持资格],MATCH($C33,TaskStandardTable[工作类型ID],0)),"")="PER_INTEGRATION")),"非集成任务不应填写集成类型",IF(AND($G33="",IFERROR(INDEX(TaskStandardTable[SIT支持资格],MATCH($C33,TaskStandardTable[工作类型ID],0)),"")="PER_INTEGRATION"),"集成类型缺失",IF(ISNUMBER($I33),"通过","工作类型与工作方式不适用")))))))))</f>
        <v>通过</v>
      </c>
    </row>
    <row r="34" customFormat="false" ht="94" hidden="false" customHeight="true" outlineLevel="0" collapsed="false">
      <c r="A34" s="4" t="s">
        <v>55</v>
      </c>
      <c r="B34" s="4" t="s">
        <v>171</v>
      </c>
      <c r="C34" s="5" t="str">
        <f aca="false">IFERROR(INDEX(TaskStandardTable[工作类型ID],MATCH($D34,TaskStandardTable[工作类型名称],0)),"")</f>
        <v>TEST-API</v>
      </c>
      <c r="D34" s="4" t="s">
        <v>172</v>
      </c>
      <c r="E34" s="4" t="s">
        <v>104</v>
      </c>
      <c r="F34" s="4" t="s">
        <v>92</v>
      </c>
      <c r="G34" s="4"/>
      <c r="H34" s="4" t="s">
        <v>173</v>
      </c>
      <c r="I34" s="6" t="n">
        <f aca="false">IFERROR(IF($E34="新建",IF(INDEX(TaskStandardTable[新建适用],MATCH($C34,TaskStandardTable[工作类型ID],0)),INDEX(TaskStandardTable[新建M档人天],MATCH($C34,TaskStandardTable[工作类型ID],0)),""),IF($E34="调整",IF(INDEX(TaskStandardTable[调整适用],MATCH($C34,TaskStandardTable[工作类型ID],0)),INDEX(TaskStandardTable[调整M档人天],MATCH($C34,TaskStandardTable[工作类型ID],0)),""),IF($E34="接入复用",IF(INDEX(TaskStandardTable[接入复用适用],MATCH($C34,TaskStandardTable[工作类型ID],0)),INDEX(TaskStandardTable[接入复用M档人天],MATCH($C34,TaskStandardTable[工作类型ID],0)),""),""))),"")</f>
        <v>1.5</v>
      </c>
      <c r="J34" s="6" t="n">
        <f aca="false">IFERROR(INDEX(ProjectParameterTable[值],MATCH("K_COMPLEXITY_"&amp;$F34,ProjectParameterTable[参数代码],0)),"")</f>
        <v>1</v>
      </c>
      <c r="K34" s="6" t="n">
        <f aca="false">IF(OR(NOT(ISNUMBER($I34)),NOT(ISNUMBER($J34))),"",ROUND($I34*$J34,1))</f>
        <v>1.5</v>
      </c>
      <c r="L34" s="6" t="n">
        <f aca="false">IF(COUNTA($A34:$B34,$D34:$H34)=0,"",IF($G34="",0,IF($G34="内部集成",ROUND(INDEX(ProjectParameterTable[值],MATCH("SIT_INT_SUPPORT",ProjectParameterTable[参数代码],0))*$J34,1),IF($G34="外部集成",ROUND(INDEX(ProjectParameterTable[值],MATCH("SIT_EXT_SUPPORT",ProjectParameterTable[参数代码],0))*$J34,1),""))))</f>
        <v>0</v>
      </c>
      <c r="M34" s="5" t="str">
        <f aca="false">IF(COUNTA($A34:$B34,$D34:$H34)=0,"",IF(OR($A34="",$B34="",$C34="",$E34="",$F34=""),"必填项缺失",IF(SUMPRODUCT(--(TaskTable[任务名称]=$B34))&gt;1,"任务名称重复",IF(COUNTIF(SOWStoryTable[故事],$A34)&lt;&gt;1,"所属故事未知",IF(NOT(OR($F34="S",$F34="M",$F34="L")),"复杂度非法",IF(NOT(OR($G34="",$G34="内部集成",$G34="外部集成")),"集成类型非法",IF(AND($G34&lt;&gt;"",NOT(IFERROR(INDEX(TaskStandardTable[SIT支持资格],MATCH($C34,TaskStandardTable[工作类型ID],0)),"")="PER_INTEGRATION")),"非集成任务不应填写集成类型",IF(AND($G34="",IFERROR(INDEX(TaskStandardTable[SIT支持资格],MATCH($C34,TaskStandardTable[工作类型ID],0)),"")="PER_INTEGRATION"),"集成类型缺失",IF(ISNUMBER($I34),"通过","工作类型与工作方式不适用")))))))))</f>
        <v>通过</v>
      </c>
    </row>
    <row r="35" customFormat="false" ht="94" hidden="false" customHeight="true" outlineLevel="0" collapsed="false">
      <c r="A35" s="4" t="s">
        <v>55</v>
      </c>
      <c r="B35" s="4" t="s">
        <v>174</v>
      </c>
      <c r="C35" s="5" t="str">
        <f aca="false">IFERROR(INDEX(TaskStandardTable[工作类型ID],MATCH($D35,TaskStandardTable[工作类型名称],0)),"")</f>
        <v>TEST-API</v>
      </c>
      <c r="D35" s="4" t="s">
        <v>172</v>
      </c>
      <c r="E35" s="4" t="s">
        <v>104</v>
      </c>
      <c r="F35" s="4" t="s">
        <v>98</v>
      </c>
      <c r="G35" s="4"/>
      <c r="H35" s="4" t="s">
        <v>175</v>
      </c>
      <c r="I35" s="6" t="n">
        <f aca="false">IFERROR(IF($E35="新建",IF(INDEX(TaskStandardTable[新建适用],MATCH($C35,TaskStandardTable[工作类型ID],0)),INDEX(TaskStandardTable[新建M档人天],MATCH($C35,TaskStandardTable[工作类型ID],0)),""),IF($E35="调整",IF(INDEX(TaskStandardTable[调整适用],MATCH($C35,TaskStandardTable[工作类型ID],0)),INDEX(TaskStandardTable[调整M档人天],MATCH($C35,TaskStandardTable[工作类型ID],0)),""),IF($E35="接入复用",IF(INDEX(TaskStandardTable[接入复用适用],MATCH($C35,TaskStandardTable[工作类型ID],0)),INDEX(TaskStandardTable[接入复用M档人天],MATCH($C35,TaskStandardTable[工作类型ID],0)),""),""))),"")</f>
        <v>1.5</v>
      </c>
      <c r="J35" s="6" t="n">
        <f aca="false">IFERROR(INDEX(ProjectParameterTable[值],MATCH("K_COMPLEXITY_"&amp;$F35,ProjectParameterTable[参数代码],0)),"")</f>
        <v>1.5</v>
      </c>
      <c r="K35" s="6" t="n">
        <f aca="false">IF(OR(NOT(ISNUMBER($I35)),NOT(ISNUMBER($J35))),"",ROUND($I35*$J35,1))</f>
        <v>2.3</v>
      </c>
      <c r="L35" s="6" t="n">
        <f aca="false">IF(COUNTA($A35:$B35,$D35:$H35)=0,"",IF($G35="",0,IF($G35="内部集成",ROUND(INDEX(ProjectParameterTable[值],MATCH("SIT_INT_SUPPORT",ProjectParameterTable[参数代码],0))*$J35,1),IF($G35="外部集成",ROUND(INDEX(ProjectParameterTable[值],MATCH("SIT_EXT_SUPPORT",ProjectParameterTable[参数代码],0))*$J35,1),""))))</f>
        <v>0</v>
      </c>
      <c r="M35" s="5" t="str">
        <f aca="false">IF(COUNTA($A35:$B35,$D35:$H35)=0,"",IF(OR($A35="",$B35="",$C35="",$E35="",$F35=""),"必填项缺失",IF(SUMPRODUCT(--(TaskTable[任务名称]=$B35))&gt;1,"任务名称重复",IF(COUNTIF(SOWStoryTable[故事],$A35)&lt;&gt;1,"所属故事未知",IF(NOT(OR($F35="S",$F35="M",$F35="L")),"复杂度非法",IF(NOT(OR($G35="",$G35="内部集成",$G35="外部集成")),"集成类型非法",IF(AND($G35&lt;&gt;"",NOT(IFERROR(INDEX(TaskStandardTable[SIT支持资格],MATCH($C35,TaskStandardTable[工作类型ID],0)),"")="PER_INTEGRATION")),"非集成任务不应填写集成类型",IF(AND($G35="",IFERROR(INDEX(TaskStandardTable[SIT支持资格],MATCH($C35,TaskStandardTable[工作类型ID],0)),"")="PER_INTEGRATION"),"集成类型缺失",IF(ISNUMBER($I35),"通过","工作类型与工作方式不适用")))))))))</f>
        <v>通过</v>
      </c>
    </row>
    <row r="36" customFormat="false" ht="94" hidden="false" customHeight="true" outlineLevel="0" collapsed="false">
      <c r="A36" s="4" t="s">
        <v>55</v>
      </c>
      <c r="B36" s="4" t="s">
        <v>176</v>
      </c>
      <c r="C36" s="5" t="str">
        <f aca="false">IFERROR(INDEX(TaskStandardTable[工作类型ID],MATCH($D36,TaskStandardTable[工作类型名称],0)),"")</f>
        <v>TEST-UI-E2E</v>
      </c>
      <c r="D36" s="4" t="s">
        <v>177</v>
      </c>
      <c r="E36" s="4" t="s">
        <v>104</v>
      </c>
      <c r="F36" s="4" t="s">
        <v>92</v>
      </c>
      <c r="G36" s="4"/>
      <c r="H36" s="4" t="s">
        <v>178</v>
      </c>
      <c r="I36" s="6" t="n">
        <f aca="false">IFERROR(IF($E36="新建",IF(INDEX(TaskStandardTable[新建适用],MATCH($C36,TaskStandardTable[工作类型ID],0)),INDEX(TaskStandardTable[新建M档人天],MATCH($C36,TaskStandardTable[工作类型ID],0)),""),IF($E36="调整",IF(INDEX(TaskStandardTable[调整适用],MATCH($C36,TaskStandardTable[工作类型ID],0)),INDEX(TaskStandardTable[调整M档人天],MATCH($C36,TaskStandardTable[工作类型ID],0)),""),IF($E36="接入复用",IF(INDEX(TaskStandardTable[接入复用适用],MATCH($C36,TaskStandardTable[工作类型ID],0)),INDEX(TaskStandardTable[接入复用M档人天],MATCH($C36,TaskStandardTable[工作类型ID],0)),""),""))),"")</f>
        <v>1.5</v>
      </c>
      <c r="J36" s="6" t="n">
        <f aca="false">IFERROR(INDEX(ProjectParameterTable[值],MATCH("K_COMPLEXITY_"&amp;$F36,ProjectParameterTable[参数代码],0)),"")</f>
        <v>1</v>
      </c>
      <c r="K36" s="6" t="n">
        <f aca="false">IF(OR(NOT(ISNUMBER($I36)),NOT(ISNUMBER($J36))),"",ROUND($I36*$J36,1))</f>
        <v>1.5</v>
      </c>
      <c r="L36" s="6" t="n">
        <f aca="false">IF(COUNTA($A36:$B36,$D36:$H36)=0,"",IF($G36="",0,IF($G36="内部集成",ROUND(INDEX(ProjectParameterTable[值],MATCH("SIT_INT_SUPPORT",ProjectParameterTable[参数代码],0))*$J36,1),IF($G36="外部集成",ROUND(INDEX(ProjectParameterTable[值],MATCH("SIT_EXT_SUPPORT",ProjectParameterTable[参数代码],0))*$J36,1),""))))</f>
        <v>0</v>
      </c>
      <c r="M36" s="5" t="str">
        <f aca="false">IF(COUNTA($A36:$B36,$D36:$H36)=0,"",IF(OR($A36="",$B36="",$C36="",$E36="",$F36=""),"必填项缺失",IF(SUMPRODUCT(--(TaskTable[任务名称]=$B36))&gt;1,"任务名称重复",IF(COUNTIF(SOWStoryTable[故事],$A36)&lt;&gt;1,"所属故事未知",IF(NOT(OR($F36="S",$F36="M",$F36="L")),"复杂度非法",IF(NOT(OR($G36="",$G36="内部集成",$G36="外部集成")),"集成类型非法",IF(AND($G36&lt;&gt;"",NOT(IFERROR(INDEX(TaskStandardTable[SIT支持资格],MATCH($C36,TaskStandardTable[工作类型ID],0)),"")="PER_INTEGRATION")),"非集成任务不应填写集成类型",IF(AND($G36="",IFERROR(INDEX(TaskStandardTable[SIT支持资格],MATCH($C36,TaskStandardTable[工作类型ID],0)),"")="PER_INTEGRATION"),"集成类型缺失",IF(ISNUMBER($I36),"通过","工作类型与工作方式不适用")))))))))</f>
        <v>通过</v>
      </c>
    </row>
    <row r="37" customFormat="false" ht="79" hidden="false" customHeight="true" outlineLevel="0" collapsed="false">
      <c r="A37" s="4" t="s">
        <v>55</v>
      </c>
      <c r="B37" s="4" t="s">
        <v>179</v>
      </c>
      <c r="C37" s="5" t="str">
        <f aca="false">IFERROR(INDEX(TaskStandardTable[工作类型ID],MATCH($D37,TaskStandardTable[工作类型名称],0)),"")</f>
        <v>TEST-UI-E2E</v>
      </c>
      <c r="D37" s="4" t="s">
        <v>177</v>
      </c>
      <c r="E37" s="4" t="s">
        <v>104</v>
      </c>
      <c r="F37" s="4" t="s">
        <v>92</v>
      </c>
      <c r="G37" s="4"/>
      <c r="H37" s="4" t="s">
        <v>180</v>
      </c>
      <c r="I37" s="6" t="n">
        <f aca="false">IFERROR(IF($E37="新建",IF(INDEX(TaskStandardTable[新建适用],MATCH($C37,TaskStandardTable[工作类型ID],0)),INDEX(TaskStandardTable[新建M档人天],MATCH($C37,TaskStandardTable[工作类型ID],0)),""),IF($E37="调整",IF(INDEX(TaskStandardTable[调整适用],MATCH($C37,TaskStandardTable[工作类型ID],0)),INDEX(TaskStandardTable[调整M档人天],MATCH($C37,TaskStandardTable[工作类型ID],0)),""),IF($E37="接入复用",IF(INDEX(TaskStandardTable[接入复用适用],MATCH($C37,TaskStandardTable[工作类型ID],0)),INDEX(TaskStandardTable[接入复用M档人天],MATCH($C37,TaskStandardTable[工作类型ID],0)),""),""))),"")</f>
        <v>1.5</v>
      </c>
      <c r="J37" s="6" t="n">
        <f aca="false">IFERROR(INDEX(ProjectParameterTable[值],MATCH("K_COMPLEXITY_"&amp;$F37,ProjectParameterTable[参数代码],0)),"")</f>
        <v>1</v>
      </c>
      <c r="K37" s="6" t="n">
        <f aca="false">IF(OR(NOT(ISNUMBER($I37)),NOT(ISNUMBER($J37))),"",ROUND($I37*$J37,1))</f>
        <v>1.5</v>
      </c>
      <c r="L37" s="6" t="n">
        <f aca="false">IF(COUNTA($A37:$B37,$D37:$H37)=0,"",IF($G37="",0,IF($G37="内部集成",ROUND(INDEX(ProjectParameterTable[值],MATCH("SIT_INT_SUPPORT",ProjectParameterTable[参数代码],0))*$J37,1),IF($G37="外部集成",ROUND(INDEX(ProjectParameterTable[值],MATCH("SIT_EXT_SUPPORT",ProjectParameterTable[参数代码],0))*$J37,1),""))))</f>
        <v>0</v>
      </c>
      <c r="M37" s="5" t="str">
        <f aca="false">IF(COUNTA($A37:$B37,$D37:$H37)=0,"",IF(OR($A37="",$B37="",$C37="",$E37="",$F37=""),"必填项缺失",IF(SUMPRODUCT(--(TaskTable[任务名称]=$B37))&gt;1,"任务名称重复",IF(COUNTIF(SOWStoryTable[故事],$A37)&lt;&gt;1,"所属故事未知",IF(NOT(OR($F37="S",$F37="M",$F37="L")),"复杂度非法",IF(NOT(OR($G37="",$G37="内部集成",$G37="外部集成")),"集成类型非法",IF(AND($G37&lt;&gt;"",NOT(IFERROR(INDEX(TaskStandardTable[SIT支持资格],MATCH($C37,TaskStandardTable[工作类型ID],0)),"")="PER_INTEGRATION")),"非集成任务不应填写集成类型",IF(AND($G37="",IFERROR(INDEX(TaskStandardTable[SIT支持资格],MATCH($C37,TaskStandardTable[工作类型ID],0)),"")="PER_INTEGRATION"),"集成类型缺失",IF(ISNUMBER($I37),"通过","工作类型与工作方式不适用")))))))))</f>
        <v>通过</v>
      </c>
    </row>
    <row r="38" customFormat="false" ht="94" hidden="false" customHeight="true" outlineLevel="0" collapsed="false">
      <c r="A38" s="4" t="s">
        <v>55</v>
      </c>
      <c r="B38" s="4" t="s">
        <v>181</v>
      </c>
      <c r="C38" s="5" t="str">
        <f aca="false">IFERROR(INDEX(TaskStandardTable[工作类型ID],MATCH($D38,TaskStandardTable[工作类型名称],0)),"")</f>
        <v>TEST-CONTRACT</v>
      </c>
      <c r="D38" s="4" t="s">
        <v>182</v>
      </c>
      <c r="E38" s="4" t="s">
        <v>104</v>
      </c>
      <c r="F38" s="4" t="s">
        <v>92</v>
      </c>
      <c r="G38" s="4"/>
      <c r="H38" s="4" t="s">
        <v>183</v>
      </c>
      <c r="I38" s="6" t="n">
        <f aca="false">IFERROR(IF($E38="新建",IF(INDEX(TaskStandardTable[新建适用],MATCH($C38,TaskStandardTable[工作类型ID],0)),INDEX(TaskStandardTable[新建M档人天],MATCH($C38,TaskStandardTable[工作类型ID],0)),""),IF($E38="调整",IF(INDEX(TaskStandardTable[调整适用],MATCH($C38,TaskStandardTable[工作类型ID],0)),INDEX(TaskStandardTable[调整M档人天],MATCH($C38,TaskStandardTable[工作类型ID],0)),""),IF($E38="接入复用",IF(INDEX(TaskStandardTable[接入复用适用],MATCH($C38,TaskStandardTable[工作类型ID],0)),INDEX(TaskStandardTable[接入复用M档人天],MATCH($C38,TaskStandardTable[工作类型ID],0)),""),""))),"")</f>
        <v>1.5</v>
      </c>
      <c r="J38" s="6" t="n">
        <f aca="false">IFERROR(INDEX(ProjectParameterTable[值],MATCH("K_COMPLEXITY_"&amp;$F38,ProjectParameterTable[参数代码],0)),"")</f>
        <v>1</v>
      </c>
      <c r="K38" s="6" t="n">
        <f aca="false">IF(OR(NOT(ISNUMBER($I38)),NOT(ISNUMBER($J38))),"",ROUND($I38*$J38,1))</f>
        <v>1.5</v>
      </c>
      <c r="L38" s="6" t="n">
        <f aca="false">IF(COUNTA($A38:$B38,$D38:$H38)=0,"",IF($G38="",0,IF($G38="内部集成",ROUND(INDEX(ProjectParameterTable[值],MATCH("SIT_INT_SUPPORT",ProjectParameterTable[参数代码],0))*$J38,1),IF($G38="外部集成",ROUND(INDEX(ProjectParameterTable[值],MATCH("SIT_EXT_SUPPORT",ProjectParameterTable[参数代码],0))*$J38,1),""))))</f>
        <v>0</v>
      </c>
      <c r="M38" s="5" t="str">
        <f aca="false">IF(COUNTA($A38:$B38,$D38:$H38)=0,"",IF(OR($A38="",$B38="",$C38="",$E38="",$F38=""),"必填项缺失",IF(SUMPRODUCT(--(TaskTable[任务名称]=$B38))&gt;1,"任务名称重复",IF(COUNTIF(SOWStoryTable[故事],$A38)&lt;&gt;1,"所属故事未知",IF(NOT(OR($F38="S",$F38="M",$F38="L")),"复杂度非法",IF(NOT(OR($G38="",$G38="内部集成",$G38="外部集成")),"集成类型非法",IF(AND($G38&lt;&gt;"",NOT(IFERROR(INDEX(TaskStandardTable[SIT支持资格],MATCH($C38,TaskStandardTable[工作类型ID],0)),"")="PER_INTEGRATION")),"非集成任务不应填写集成类型",IF(AND($G38="",IFERROR(INDEX(TaskStandardTable[SIT支持资格],MATCH($C38,TaskStandardTable[工作类型ID],0)),"")="PER_INTEGRATION"),"集成类型缺失",IF(ISNUMBER($I38),"通过","工作类型与工作方式不适用")))))))))</f>
        <v>通过</v>
      </c>
    </row>
    <row r="39" customFormat="false" ht="94" hidden="false" customHeight="true" outlineLevel="0" collapsed="false">
      <c r="A39" s="4" t="s">
        <v>55</v>
      </c>
      <c r="B39" s="4" t="s">
        <v>184</v>
      </c>
      <c r="C39" s="5" t="str">
        <f aca="false">IFERROR(INDEX(TaskStandardTable[工作类型ID],MATCH($D39,TaskStandardTable[工作类型名称],0)),"")</f>
        <v>TEST-SUPPORT-ASSET</v>
      </c>
      <c r="D39" s="4" t="s">
        <v>185</v>
      </c>
      <c r="E39" s="4" t="s">
        <v>141</v>
      </c>
      <c r="F39" s="4" t="s">
        <v>92</v>
      </c>
      <c r="G39" s="4"/>
      <c r="H39" s="4" t="s">
        <v>186</v>
      </c>
      <c r="I39" s="6" t="n">
        <f aca="false">IFERROR(IF($E39="新建",IF(INDEX(TaskStandardTable[新建适用],MATCH($C39,TaskStandardTable[工作类型ID],0)),INDEX(TaskStandardTable[新建M档人天],MATCH($C39,TaskStandardTable[工作类型ID],0)),""),IF($E39="调整",IF(INDEX(TaskStandardTable[调整适用],MATCH($C39,TaskStandardTable[工作类型ID],0)),INDEX(TaskStandardTable[调整M档人天],MATCH($C39,TaskStandardTable[工作类型ID],0)),""),IF($E39="接入复用",IF(INDEX(TaskStandardTable[接入复用适用],MATCH($C39,TaskStandardTable[工作类型ID],0)),INDEX(TaskStandardTable[接入复用M档人天],MATCH($C39,TaskStandardTable[工作类型ID],0)),""),""))),"")</f>
        <v>1</v>
      </c>
      <c r="J39" s="6" t="n">
        <f aca="false">IFERROR(INDEX(ProjectParameterTable[值],MATCH("K_COMPLEXITY_"&amp;$F39,ProjectParameterTable[参数代码],0)),"")</f>
        <v>1</v>
      </c>
      <c r="K39" s="6" t="n">
        <f aca="false">IF(OR(NOT(ISNUMBER($I39)),NOT(ISNUMBER($J39))),"",ROUND($I39*$J39,1))</f>
        <v>1</v>
      </c>
      <c r="L39" s="6" t="n">
        <f aca="false">IF(COUNTA($A39:$B39,$D39:$H39)=0,"",IF($G39="",0,IF($G39="内部集成",ROUND(INDEX(ProjectParameterTable[值],MATCH("SIT_INT_SUPPORT",ProjectParameterTable[参数代码],0))*$J39,1),IF($G39="外部集成",ROUND(INDEX(ProjectParameterTable[值],MATCH("SIT_EXT_SUPPORT",ProjectParameterTable[参数代码],0))*$J39,1),""))))</f>
        <v>0</v>
      </c>
      <c r="M39" s="5" t="str">
        <f aca="false">IF(COUNTA($A39:$B39,$D39:$H39)=0,"",IF(OR($A39="",$B39="",$C39="",$E39="",$F39=""),"必填项缺失",IF(SUMPRODUCT(--(TaskTable[任务名称]=$B39))&gt;1,"任务名称重复",IF(COUNTIF(SOWStoryTable[故事],$A39)&lt;&gt;1,"所属故事未知",IF(NOT(OR($F39="S",$F39="M",$F39="L")),"复杂度非法",IF(NOT(OR($G39="",$G39="内部集成",$G39="外部集成")),"集成类型非法",IF(AND($G39&lt;&gt;"",NOT(IFERROR(INDEX(TaskStandardTable[SIT支持资格],MATCH($C39,TaskStandardTable[工作类型ID],0)),"")="PER_INTEGRATION")),"非集成任务不应填写集成类型",IF(AND($G39="",IFERROR(INDEX(TaskStandardTable[SIT支持资格],MATCH($C39,TaskStandardTable[工作类型ID],0)),"")="PER_INTEGRATION"),"集成类型缺失",IF(ISNUMBER($I39),"通过","工作类型与工作方式不适用")))))))))</f>
        <v>通过</v>
      </c>
    </row>
    <row r="40" customFormat="false" ht="94" hidden="false" customHeight="true" outlineLevel="0" collapsed="false">
      <c r="A40" s="4" t="s">
        <v>58</v>
      </c>
      <c r="B40" s="4" t="s">
        <v>187</v>
      </c>
      <c r="C40" s="5" t="str">
        <f aca="false">IFERROR(INDEX(TaskStandardTable[工作类型ID],MATCH($D40,TaskStandardTable[工作类型名称],0)),"")</f>
        <v>CO-PERF-RELIABILITY</v>
      </c>
      <c r="D40" s="4" t="s">
        <v>188</v>
      </c>
      <c r="E40" s="4" t="s">
        <v>91</v>
      </c>
      <c r="F40" s="4" t="s">
        <v>98</v>
      </c>
      <c r="G40" s="4"/>
      <c r="H40" s="4" t="s">
        <v>189</v>
      </c>
      <c r="I40" s="6" t="n">
        <f aca="false">IFERROR(IF($E40="新建",IF(INDEX(TaskStandardTable[新建适用],MATCH($C40,TaskStandardTable[工作类型ID],0)),INDEX(TaskStandardTable[新建M档人天],MATCH($C40,TaskStandardTable[工作类型ID],0)),""),IF($E40="调整",IF(INDEX(TaskStandardTable[调整适用],MATCH($C40,TaskStandardTable[工作类型ID],0)),INDEX(TaskStandardTable[调整M档人天],MATCH($C40,TaskStandardTable[工作类型ID],0)),""),IF($E40="接入复用",IF(INDEX(TaskStandardTable[接入复用适用],MATCH($C40,TaskStandardTable[工作类型ID],0)),INDEX(TaskStandardTable[接入复用M档人天],MATCH($C40,TaskStandardTable[工作类型ID],0)),""),""))),"")</f>
        <v>2</v>
      </c>
      <c r="J40" s="6" t="n">
        <f aca="false">IFERROR(INDEX(ProjectParameterTable[值],MATCH("K_COMPLEXITY_"&amp;$F40,ProjectParameterTable[参数代码],0)),"")</f>
        <v>1.5</v>
      </c>
      <c r="K40" s="6" t="n">
        <f aca="false">IF(OR(NOT(ISNUMBER($I40)),NOT(ISNUMBER($J40))),"",ROUND($I40*$J40,1))</f>
        <v>3</v>
      </c>
      <c r="L40" s="6" t="n">
        <f aca="false">IF(COUNTA($A40:$B40,$D40:$H40)=0,"",IF($G40="",0,IF($G40="内部集成",ROUND(INDEX(ProjectParameterTable[值],MATCH("SIT_INT_SUPPORT",ProjectParameterTable[参数代码],0))*$J40,1),IF($G40="外部集成",ROUND(INDEX(ProjectParameterTable[值],MATCH("SIT_EXT_SUPPORT",ProjectParameterTable[参数代码],0))*$J40,1),""))))</f>
        <v>0</v>
      </c>
      <c r="M40" s="5" t="str">
        <f aca="false">IF(COUNTA($A40:$B40,$D40:$H40)=0,"",IF(OR($A40="",$B40="",$C40="",$E40="",$F40=""),"必填项缺失",IF(SUMPRODUCT(--(TaskTable[任务名称]=$B40))&gt;1,"任务名称重复",IF(COUNTIF(SOWStoryTable[故事],$A40)&lt;&gt;1,"所属故事未知",IF(NOT(OR($F40="S",$F40="M",$F40="L")),"复杂度非法",IF(NOT(OR($G40="",$G40="内部集成",$G40="外部集成")),"集成类型非法",IF(AND($G40&lt;&gt;"",NOT(IFERROR(INDEX(TaskStandardTable[SIT支持资格],MATCH($C40,TaskStandardTable[工作类型ID],0)),"")="PER_INTEGRATION")),"非集成任务不应填写集成类型",IF(AND($G40="",IFERROR(INDEX(TaskStandardTable[SIT支持资格],MATCH($C40,TaskStandardTable[工作类型ID],0)),"")="PER_INTEGRATION"),"集成类型缺失",IF(ISNUMBER($I40),"通过","工作类型与工作方式不适用")))))))))</f>
        <v>通过</v>
      </c>
    </row>
    <row r="41" customFormat="false" ht="94" hidden="false" customHeight="true" outlineLevel="0" collapsed="false">
      <c r="A41" s="4" t="s">
        <v>58</v>
      </c>
      <c r="B41" s="4" t="s">
        <v>190</v>
      </c>
      <c r="C41" s="5" t="str">
        <f aca="false">IFERROR(INDEX(TaskStandardTable[工作类型ID],MATCH($D41,TaskStandardTable[工作类型名称],0)),"")</f>
        <v>TEST-PERF</v>
      </c>
      <c r="D41" s="4" t="s">
        <v>191</v>
      </c>
      <c r="E41" s="4" t="s">
        <v>104</v>
      </c>
      <c r="F41" s="4" t="s">
        <v>92</v>
      </c>
      <c r="G41" s="4"/>
      <c r="H41" s="4" t="s">
        <v>192</v>
      </c>
      <c r="I41" s="6" t="n">
        <f aca="false">IFERROR(IF($E41="新建",IF(INDEX(TaskStandardTable[新建适用],MATCH($C41,TaskStandardTable[工作类型ID],0)),INDEX(TaskStandardTable[新建M档人天],MATCH($C41,TaskStandardTable[工作类型ID],0)),""),IF($E41="调整",IF(INDEX(TaskStandardTable[调整适用],MATCH($C41,TaskStandardTable[工作类型ID],0)),INDEX(TaskStandardTable[调整M档人天],MATCH($C41,TaskStandardTable[工作类型ID],0)),""),IF($E41="接入复用",IF(INDEX(TaskStandardTable[接入复用适用],MATCH($C41,TaskStandardTable[工作类型ID],0)),INDEX(TaskStandardTable[接入复用M档人天],MATCH($C41,TaskStandardTable[工作类型ID],0)),""),""))),"")</f>
        <v>2</v>
      </c>
      <c r="J41" s="6" t="n">
        <f aca="false">IFERROR(INDEX(ProjectParameterTable[值],MATCH("K_COMPLEXITY_"&amp;$F41,ProjectParameterTable[参数代码],0)),"")</f>
        <v>1</v>
      </c>
      <c r="K41" s="6" t="n">
        <f aca="false">IF(OR(NOT(ISNUMBER($I41)),NOT(ISNUMBER($J41))),"",ROUND($I41*$J41,1))</f>
        <v>2</v>
      </c>
      <c r="L41" s="6" t="n">
        <f aca="false">IF(COUNTA($A41:$B41,$D41:$H41)=0,"",IF($G41="",0,IF($G41="内部集成",ROUND(INDEX(ProjectParameterTable[值],MATCH("SIT_INT_SUPPORT",ProjectParameterTable[参数代码],0))*$J41,1),IF($G41="外部集成",ROUND(INDEX(ProjectParameterTable[值],MATCH("SIT_EXT_SUPPORT",ProjectParameterTable[参数代码],0))*$J41,1),""))))</f>
        <v>0</v>
      </c>
      <c r="M41" s="5" t="str">
        <f aca="false">IF(COUNTA($A41:$B41,$D41:$H41)=0,"",IF(OR($A41="",$B41="",$C41="",$E41="",$F41=""),"必填项缺失",IF(SUMPRODUCT(--(TaskTable[任务名称]=$B41))&gt;1,"任务名称重复",IF(COUNTIF(SOWStoryTable[故事],$A41)&lt;&gt;1,"所属故事未知",IF(NOT(OR($F41="S",$F41="M",$F41="L")),"复杂度非法",IF(NOT(OR($G41="",$G41="内部集成",$G41="外部集成")),"集成类型非法",IF(AND($G41&lt;&gt;"",NOT(IFERROR(INDEX(TaskStandardTable[SIT支持资格],MATCH($C41,TaskStandardTable[工作类型ID],0)),"")="PER_INTEGRATION")),"非集成任务不应填写集成类型",IF(AND($G41="",IFERROR(INDEX(TaskStandardTable[SIT支持资格],MATCH($C41,TaskStandardTable[工作类型ID],0)),"")="PER_INTEGRATION"),"集成类型缺失",IF(ISNUMBER($I41),"通过","工作类型与工作方式不适用")))))))))</f>
        <v>通过</v>
      </c>
    </row>
    <row r="42" customFormat="false" ht="94" hidden="false" customHeight="true" outlineLevel="0" collapsed="false">
      <c r="A42" s="4" t="s">
        <v>60</v>
      </c>
      <c r="B42" s="4" t="s">
        <v>193</v>
      </c>
      <c r="C42" s="5" t="str">
        <f aca="false">IFERROR(INDEX(TaskStandardTable[工作类型ID],MATCH($D42,TaskStandardTable[工作类型名称],0)),"")</f>
        <v>TEST-SECURITY</v>
      </c>
      <c r="D42" s="4" t="s">
        <v>194</v>
      </c>
      <c r="E42" s="4" t="s">
        <v>104</v>
      </c>
      <c r="F42" s="4" t="s">
        <v>92</v>
      </c>
      <c r="G42" s="4"/>
      <c r="H42" s="4" t="s">
        <v>195</v>
      </c>
      <c r="I42" s="6" t="n">
        <f aca="false">IFERROR(IF($E42="新建",IF(INDEX(TaskStandardTable[新建适用],MATCH($C42,TaskStandardTable[工作类型ID],0)),INDEX(TaskStandardTable[新建M档人天],MATCH($C42,TaskStandardTable[工作类型ID],0)),""),IF($E42="调整",IF(INDEX(TaskStandardTable[调整适用],MATCH($C42,TaskStandardTable[工作类型ID],0)),INDEX(TaskStandardTable[调整M档人天],MATCH($C42,TaskStandardTable[工作类型ID],0)),""),IF($E42="接入复用",IF(INDEX(TaskStandardTable[接入复用适用],MATCH($C42,TaskStandardTable[工作类型ID],0)),INDEX(TaskStandardTable[接入复用M档人天],MATCH($C42,TaskStandardTable[工作类型ID],0)),""),""))),"")</f>
        <v>2</v>
      </c>
      <c r="J42" s="6" t="n">
        <f aca="false">IFERROR(INDEX(ProjectParameterTable[值],MATCH("K_COMPLEXITY_"&amp;$F42,ProjectParameterTable[参数代码],0)),"")</f>
        <v>1</v>
      </c>
      <c r="K42" s="6" t="n">
        <f aca="false">IF(OR(NOT(ISNUMBER($I42)),NOT(ISNUMBER($J42))),"",ROUND($I42*$J42,1))</f>
        <v>2</v>
      </c>
      <c r="L42" s="6" t="n">
        <f aca="false">IF(COUNTA($A42:$B42,$D42:$H42)=0,"",IF($G42="",0,IF($G42="内部集成",ROUND(INDEX(ProjectParameterTable[值],MATCH("SIT_INT_SUPPORT",ProjectParameterTable[参数代码],0))*$J42,1),IF($G42="外部集成",ROUND(INDEX(ProjectParameterTable[值],MATCH("SIT_EXT_SUPPORT",ProjectParameterTable[参数代码],0))*$J42,1),""))))</f>
        <v>0</v>
      </c>
      <c r="M42" s="5" t="str">
        <f aca="false">IF(COUNTA($A42:$B42,$D42:$H42)=0,"",IF(OR($A42="",$B42="",$C42="",$E42="",$F42=""),"必填项缺失",IF(SUMPRODUCT(--(TaskTable[任务名称]=$B42))&gt;1,"任务名称重复",IF(COUNTIF(SOWStoryTable[故事],$A42)&lt;&gt;1,"所属故事未知",IF(NOT(OR($F42="S",$F42="M",$F42="L")),"复杂度非法",IF(NOT(OR($G42="",$G42="内部集成",$G42="外部集成")),"集成类型非法",IF(AND($G42&lt;&gt;"",NOT(IFERROR(INDEX(TaskStandardTable[SIT支持资格],MATCH($C42,TaskStandardTable[工作类型ID],0)),"")="PER_INTEGRATION")),"非集成任务不应填写集成类型",IF(AND($G42="",IFERROR(INDEX(TaskStandardTable[SIT支持资格],MATCH($C42,TaskStandardTable[工作类型ID],0)),"")="PER_INTEGRATION"),"集成类型缺失",IF(ISNUMBER($I42),"通过","工作类型与工作方式不适用")))))))))</f>
        <v>通过</v>
      </c>
    </row>
    <row r="43" customFormat="false" ht="94" hidden="false" customHeight="true" outlineLevel="0" collapsed="false">
      <c r="A43" s="4" t="s">
        <v>63</v>
      </c>
      <c r="B43" s="4" t="s">
        <v>196</v>
      </c>
      <c r="C43" s="5" t="str">
        <f aca="false">IFERROR(INDEX(TaskStandardTable[工作类型ID],MATCH($D43,TaskStandardTable[工作类型名称],0)),"")</f>
        <v>ENG-PIPELINE</v>
      </c>
      <c r="D43" s="4" t="s">
        <v>197</v>
      </c>
      <c r="E43" s="4" t="s">
        <v>141</v>
      </c>
      <c r="F43" s="4" t="s">
        <v>92</v>
      </c>
      <c r="G43" s="4"/>
      <c r="H43" s="4" t="s">
        <v>198</v>
      </c>
      <c r="I43" s="6" t="n">
        <f aca="false">IFERROR(IF($E43="新建",IF(INDEX(TaskStandardTable[新建适用],MATCH($C43,TaskStandardTable[工作类型ID],0)),INDEX(TaskStandardTable[新建M档人天],MATCH($C43,TaskStandardTable[工作类型ID],0)),""),IF($E43="调整",IF(INDEX(TaskStandardTable[调整适用],MATCH($C43,TaskStandardTable[工作类型ID],0)),INDEX(TaskStandardTable[调整M档人天],MATCH($C43,TaskStandardTable[工作类型ID],0)),""),IF($E43="接入复用",IF(INDEX(TaskStandardTable[接入复用适用],MATCH($C43,TaskStandardTable[工作类型ID],0)),INDEX(TaskStandardTable[接入复用M档人天],MATCH($C43,TaskStandardTable[工作类型ID],0)),""),""))),"")</f>
        <v>1</v>
      </c>
      <c r="J43" s="6" t="n">
        <f aca="false">IFERROR(INDEX(ProjectParameterTable[值],MATCH("K_COMPLEXITY_"&amp;$F43,ProjectParameterTable[参数代码],0)),"")</f>
        <v>1</v>
      </c>
      <c r="K43" s="6" t="n">
        <f aca="false">IF(OR(NOT(ISNUMBER($I43)),NOT(ISNUMBER($J43))),"",ROUND($I43*$J43,1))</f>
        <v>1</v>
      </c>
      <c r="L43" s="6" t="n">
        <f aca="false">IF(COUNTA($A43:$B43,$D43:$H43)=0,"",IF($G43="",0,IF($G43="内部集成",ROUND(INDEX(ProjectParameterTable[值],MATCH("SIT_INT_SUPPORT",ProjectParameterTable[参数代码],0))*$J43,1),IF($G43="外部集成",ROUND(INDEX(ProjectParameterTable[值],MATCH("SIT_EXT_SUPPORT",ProjectParameterTable[参数代码],0))*$J43,1),""))))</f>
        <v>0</v>
      </c>
      <c r="M43" s="5" t="str">
        <f aca="false">IF(COUNTA($A43:$B43,$D43:$H43)=0,"",IF(OR($A43="",$B43="",$C43="",$E43="",$F43=""),"必填项缺失",IF(SUMPRODUCT(--(TaskTable[任务名称]=$B43))&gt;1,"任务名称重复",IF(COUNTIF(SOWStoryTable[故事],$A43)&lt;&gt;1,"所属故事未知",IF(NOT(OR($F43="S",$F43="M",$F43="L")),"复杂度非法",IF(NOT(OR($G43="",$G43="内部集成",$G43="外部集成")),"集成类型非法",IF(AND($G43&lt;&gt;"",NOT(IFERROR(INDEX(TaskStandardTable[SIT支持资格],MATCH($C43,TaskStandardTable[工作类型ID],0)),"")="PER_INTEGRATION")),"非集成任务不应填写集成类型",IF(AND($G43="",IFERROR(INDEX(TaskStandardTable[SIT支持资格],MATCH($C43,TaskStandardTable[工作类型ID],0)),"")="PER_INTEGRATION"),"集成类型缺失",IF(ISNUMBER($I43),"通过","工作类型与工作方式不适用")))))))))</f>
        <v>通过</v>
      </c>
    </row>
    <row r="44" customFormat="false" ht="79" hidden="false" customHeight="true" outlineLevel="0" collapsed="false">
      <c r="A44" s="4" t="s">
        <v>63</v>
      </c>
      <c r="B44" s="4" t="s">
        <v>199</v>
      </c>
      <c r="C44" s="5" t="str">
        <f aca="false">IFERROR(INDEX(TaskStandardTable[工作类型ID],MATCH($D44,TaskStandardTable[工作类型名称],0)),"")</f>
        <v>ENG-PIPELINE</v>
      </c>
      <c r="D44" s="4" t="s">
        <v>197</v>
      </c>
      <c r="E44" s="4" t="s">
        <v>141</v>
      </c>
      <c r="F44" s="4" t="s">
        <v>92</v>
      </c>
      <c r="G44" s="4"/>
      <c r="H44" s="4" t="s">
        <v>200</v>
      </c>
      <c r="I44" s="6" t="n">
        <f aca="false">IFERROR(IF($E44="新建",IF(INDEX(TaskStandardTable[新建适用],MATCH($C44,TaskStandardTable[工作类型ID],0)),INDEX(TaskStandardTable[新建M档人天],MATCH($C44,TaskStandardTable[工作类型ID],0)),""),IF($E44="调整",IF(INDEX(TaskStandardTable[调整适用],MATCH($C44,TaskStandardTable[工作类型ID],0)),INDEX(TaskStandardTable[调整M档人天],MATCH($C44,TaskStandardTable[工作类型ID],0)),""),IF($E44="接入复用",IF(INDEX(TaskStandardTable[接入复用适用],MATCH($C44,TaskStandardTable[工作类型ID],0)),INDEX(TaskStandardTable[接入复用M档人天],MATCH($C44,TaskStandardTable[工作类型ID],0)),""),""))),"")</f>
        <v>1</v>
      </c>
      <c r="J44" s="6" t="n">
        <f aca="false">IFERROR(INDEX(ProjectParameterTable[值],MATCH("K_COMPLEXITY_"&amp;$F44,ProjectParameterTable[参数代码],0)),"")</f>
        <v>1</v>
      </c>
      <c r="K44" s="6" t="n">
        <f aca="false">IF(OR(NOT(ISNUMBER($I44)),NOT(ISNUMBER($J44))),"",ROUND($I44*$J44,1))</f>
        <v>1</v>
      </c>
      <c r="L44" s="6" t="n">
        <f aca="false">IF(COUNTA($A44:$B44,$D44:$H44)=0,"",IF($G44="",0,IF($G44="内部集成",ROUND(INDEX(ProjectParameterTable[值],MATCH("SIT_INT_SUPPORT",ProjectParameterTable[参数代码],0))*$J44,1),IF($G44="外部集成",ROUND(INDEX(ProjectParameterTable[值],MATCH("SIT_EXT_SUPPORT",ProjectParameterTable[参数代码],0))*$J44,1),""))))</f>
        <v>0</v>
      </c>
      <c r="M44" s="5" t="str">
        <f aca="false">IF(COUNTA($A44:$B44,$D44:$H44)=0,"",IF(OR($A44="",$B44="",$C44="",$E44="",$F44=""),"必填项缺失",IF(SUMPRODUCT(--(TaskTable[任务名称]=$B44))&gt;1,"任务名称重复",IF(COUNTIF(SOWStoryTable[故事],$A44)&lt;&gt;1,"所属故事未知",IF(NOT(OR($F44="S",$F44="M",$F44="L")),"复杂度非法",IF(NOT(OR($G44="",$G44="内部集成",$G44="外部集成")),"集成类型非法",IF(AND($G44&lt;&gt;"",NOT(IFERROR(INDEX(TaskStandardTable[SIT支持资格],MATCH($C44,TaskStandardTable[工作类型ID],0)),"")="PER_INTEGRATION")),"非集成任务不应填写集成类型",IF(AND($G44="",IFERROR(INDEX(TaskStandardTable[SIT支持资格],MATCH($C44,TaskStandardTable[工作类型ID],0)),"")="PER_INTEGRATION"),"集成类型缺失",IF(ISNUMBER($I44),"通过","工作类型与工作方式不适用")))))))))</f>
        <v>通过</v>
      </c>
    </row>
    <row r="45" customFormat="false" ht="79" hidden="false" customHeight="true" outlineLevel="0" collapsed="false">
      <c r="A45" s="4" t="s">
        <v>63</v>
      </c>
      <c r="B45" s="4" t="s">
        <v>201</v>
      </c>
      <c r="C45" s="5" t="str">
        <f aca="false">IFERROR(INDEX(TaskStandardTable[工作类型ID],MATCH($D45,TaskStandardTable[工作类型名称],0)),"")</f>
        <v>ENG-PIPELINE</v>
      </c>
      <c r="D45" s="4" t="s">
        <v>197</v>
      </c>
      <c r="E45" s="4" t="s">
        <v>141</v>
      </c>
      <c r="F45" s="4" t="s">
        <v>92</v>
      </c>
      <c r="G45" s="4"/>
      <c r="H45" s="4" t="s">
        <v>202</v>
      </c>
      <c r="I45" s="6" t="n">
        <f aca="false">IFERROR(IF($E45="新建",IF(INDEX(TaskStandardTable[新建适用],MATCH($C45,TaskStandardTable[工作类型ID],0)),INDEX(TaskStandardTable[新建M档人天],MATCH($C45,TaskStandardTable[工作类型ID],0)),""),IF($E45="调整",IF(INDEX(TaskStandardTable[调整适用],MATCH($C45,TaskStandardTable[工作类型ID],0)),INDEX(TaskStandardTable[调整M档人天],MATCH($C45,TaskStandardTable[工作类型ID],0)),""),IF($E45="接入复用",IF(INDEX(TaskStandardTable[接入复用适用],MATCH($C45,TaskStandardTable[工作类型ID],0)),INDEX(TaskStandardTable[接入复用M档人天],MATCH($C45,TaskStandardTable[工作类型ID],0)),""),""))),"")</f>
        <v>1</v>
      </c>
      <c r="J45" s="6" t="n">
        <f aca="false">IFERROR(INDEX(ProjectParameterTable[值],MATCH("K_COMPLEXITY_"&amp;$F45,ProjectParameterTable[参数代码],0)),"")</f>
        <v>1</v>
      </c>
      <c r="K45" s="6" t="n">
        <f aca="false">IF(OR(NOT(ISNUMBER($I45)),NOT(ISNUMBER($J45))),"",ROUND($I45*$J45,1))</f>
        <v>1</v>
      </c>
      <c r="L45" s="6" t="n">
        <f aca="false">IF(COUNTA($A45:$B45,$D45:$H45)=0,"",IF($G45="",0,IF($G45="内部集成",ROUND(INDEX(ProjectParameterTable[值],MATCH("SIT_INT_SUPPORT",ProjectParameterTable[参数代码],0))*$J45,1),IF($G45="外部集成",ROUND(INDEX(ProjectParameterTable[值],MATCH("SIT_EXT_SUPPORT",ProjectParameterTable[参数代码],0))*$J45,1),""))))</f>
        <v>0</v>
      </c>
      <c r="M45" s="5" t="str">
        <f aca="false">IF(COUNTA($A45:$B45,$D45:$H45)=0,"",IF(OR($A45="",$B45="",$C45="",$E45="",$F45=""),"必填项缺失",IF(SUMPRODUCT(--(TaskTable[任务名称]=$B45))&gt;1,"任务名称重复",IF(COUNTIF(SOWStoryTable[故事],$A45)&lt;&gt;1,"所属故事未知",IF(NOT(OR($F45="S",$F45="M",$F45="L")),"复杂度非法",IF(NOT(OR($G45="",$G45="内部集成",$G45="外部集成")),"集成类型非法",IF(AND($G45&lt;&gt;"",NOT(IFERROR(INDEX(TaskStandardTable[SIT支持资格],MATCH($C45,TaskStandardTable[工作类型ID],0)),"")="PER_INTEGRATION")),"非集成任务不应填写集成类型",IF(AND($G45="",IFERROR(INDEX(TaskStandardTable[SIT支持资格],MATCH($C45,TaskStandardTable[工作类型ID],0)),"")="PER_INTEGRATION"),"集成类型缺失",IF(ISNUMBER($I45),"通过","工作类型与工作方式不适用")))))))))</f>
        <v>通过</v>
      </c>
    </row>
    <row r="46" customFormat="false" ht="94" hidden="false" customHeight="true" outlineLevel="0" collapsed="false">
      <c r="A46" s="4" t="s">
        <v>65</v>
      </c>
      <c r="B46" s="4" t="s">
        <v>203</v>
      </c>
      <c r="C46" s="5" t="str">
        <f aca="false">IFERROR(INDEX(TaskStandardTable[工作类型ID],MATCH($D46,TaskStandardTable[工作类型名称],0)),"")</f>
        <v>ENG-RUNTIME</v>
      </c>
      <c r="D46" s="4" t="s">
        <v>204</v>
      </c>
      <c r="E46" s="4" t="s">
        <v>141</v>
      </c>
      <c r="F46" s="4" t="s">
        <v>92</v>
      </c>
      <c r="G46" s="4"/>
      <c r="H46" s="4" t="s">
        <v>205</v>
      </c>
      <c r="I46" s="6" t="n">
        <f aca="false">IFERROR(IF($E46="新建",IF(INDEX(TaskStandardTable[新建适用],MATCH($C46,TaskStandardTable[工作类型ID],0)),INDEX(TaskStandardTable[新建M档人天],MATCH($C46,TaskStandardTable[工作类型ID],0)),""),IF($E46="调整",IF(INDEX(TaskStandardTable[调整适用],MATCH($C46,TaskStandardTable[工作类型ID],0)),INDEX(TaskStandardTable[调整M档人天],MATCH($C46,TaskStandardTable[工作类型ID],0)),""),IF($E46="接入复用",IF(INDEX(TaskStandardTable[接入复用适用],MATCH($C46,TaskStandardTable[工作类型ID],0)),INDEX(TaskStandardTable[接入复用M档人天],MATCH($C46,TaskStandardTable[工作类型ID],0)),""),""))),"")</f>
        <v>1</v>
      </c>
      <c r="J46" s="6" t="n">
        <f aca="false">IFERROR(INDEX(ProjectParameterTable[值],MATCH("K_COMPLEXITY_"&amp;$F46,ProjectParameterTable[参数代码],0)),"")</f>
        <v>1</v>
      </c>
      <c r="K46" s="6" t="n">
        <f aca="false">IF(OR(NOT(ISNUMBER($I46)),NOT(ISNUMBER($J46))),"",ROUND($I46*$J46,1))</f>
        <v>1</v>
      </c>
      <c r="L46" s="6" t="n">
        <f aca="false">IF(COUNTA($A46:$B46,$D46:$H46)=0,"",IF($G46="",0,IF($G46="内部集成",ROUND(INDEX(ProjectParameterTable[值],MATCH("SIT_INT_SUPPORT",ProjectParameterTable[参数代码],0))*$J46,1),IF($G46="外部集成",ROUND(INDEX(ProjectParameterTable[值],MATCH("SIT_EXT_SUPPORT",ProjectParameterTable[参数代码],0))*$J46,1),""))))</f>
        <v>0</v>
      </c>
      <c r="M46" s="5" t="str">
        <f aca="false">IF(COUNTA($A46:$B46,$D46:$H46)=0,"",IF(OR($A46="",$B46="",$C46="",$E46="",$F46=""),"必填项缺失",IF(SUMPRODUCT(--(TaskTable[任务名称]=$B46))&gt;1,"任务名称重复",IF(COUNTIF(SOWStoryTable[故事],$A46)&lt;&gt;1,"所属故事未知",IF(NOT(OR($F46="S",$F46="M",$F46="L")),"复杂度非法",IF(NOT(OR($G46="",$G46="内部集成",$G46="外部集成")),"集成类型非法",IF(AND($G46&lt;&gt;"",NOT(IFERROR(INDEX(TaskStandardTable[SIT支持资格],MATCH($C46,TaskStandardTable[工作类型ID],0)),"")="PER_INTEGRATION")),"非集成任务不应填写集成类型",IF(AND($G46="",IFERROR(INDEX(TaskStandardTable[SIT支持资格],MATCH($C46,TaskStandardTable[工作类型ID],0)),"")="PER_INTEGRATION"),"集成类型缺失",IF(ISNUMBER($I46),"通过","工作类型与工作方式不适用")))))))))</f>
        <v>通过</v>
      </c>
    </row>
    <row r="47" customFormat="false" ht="94" hidden="false" customHeight="true" outlineLevel="0" collapsed="false">
      <c r="A47" s="4" t="s">
        <v>65</v>
      </c>
      <c r="B47" s="4" t="s">
        <v>206</v>
      </c>
      <c r="C47" s="5" t="str">
        <f aca="false">IFERROR(INDEX(TaskStandardTable[工作类型ID],MATCH($D47,TaskStandardTable[工作类型名称],0)),"")</f>
        <v>ENG-RUNTIME</v>
      </c>
      <c r="D47" s="4" t="s">
        <v>204</v>
      </c>
      <c r="E47" s="4" t="s">
        <v>141</v>
      </c>
      <c r="F47" s="4" t="s">
        <v>92</v>
      </c>
      <c r="G47" s="4"/>
      <c r="H47" s="4" t="s">
        <v>207</v>
      </c>
      <c r="I47" s="6" t="n">
        <f aca="false">IFERROR(IF($E47="新建",IF(INDEX(TaskStandardTable[新建适用],MATCH($C47,TaskStandardTable[工作类型ID],0)),INDEX(TaskStandardTable[新建M档人天],MATCH($C47,TaskStandardTable[工作类型ID],0)),""),IF($E47="调整",IF(INDEX(TaskStandardTable[调整适用],MATCH($C47,TaskStandardTable[工作类型ID],0)),INDEX(TaskStandardTable[调整M档人天],MATCH($C47,TaskStandardTable[工作类型ID],0)),""),IF($E47="接入复用",IF(INDEX(TaskStandardTable[接入复用适用],MATCH($C47,TaskStandardTable[工作类型ID],0)),INDEX(TaskStandardTable[接入复用M档人天],MATCH($C47,TaskStandardTable[工作类型ID],0)),""),""))),"")</f>
        <v>1</v>
      </c>
      <c r="J47" s="6" t="n">
        <f aca="false">IFERROR(INDEX(ProjectParameterTable[值],MATCH("K_COMPLEXITY_"&amp;$F47,ProjectParameterTable[参数代码],0)),"")</f>
        <v>1</v>
      </c>
      <c r="K47" s="6" t="n">
        <f aca="false">IF(OR(NOT(ISNUMBER($I47)),NOT(ISNUMBER($J47))),"",ROUND($I47*$J47,1))</f>
        <v>1</v>
      </c>
      <c r="L47" s="6" t="n">
        <f aca="false">IF(COUNTA($A47:$B47,$D47:$H47)=0,"",IF($G47="",0,IF($G47="内部集成",ROUND(INDEX(ProjectParameterTable[值],MATCH("SIT_INT_SUPPORT",ProjectParameterTable[参数代码],0))*$J47,1),IF($G47="外部集成",ROUND(INDEX(ProjectParameterTable[值],MATCH("SIT_EXT_SUPPORT",ProjectParameterTable[参数代码],0))*$J47,1),""))))</f>
        <v>0</v>
      </c>
      <c r="M47" s="5" t="str">
        <f aca="false">IF(COUNTA($A47:$B47,$D47:$H47)=0,"",IF(OR($A47="",$B47="",$C47="",$E47="",$F47=""),"必填项缺失",IF(SUMPRODUCT(--(TaskTable[任务名称]=$B47))&gt;1,"任务名称重复",IF(COUNTIF(SOWStoryTable[故事],$A47)&lt;&gt;1,"所属故事未知",IF(NOT(OR($F47="S",$F47="M",$F47="L")),"复杂度非法",IF(NOT(OR($G47="",$G47="内部集成",$G47="外部集成")),"集成类型非法",IF(AND($G47&lt;&gt;"",NOT(IFERROR(INDEX(TaskStandardTable[SIT支持资格],MATCH($C47,TaskStandardTable[工作类型ID],0)),"")="PER_INTEGRATION")),"非集成任务不应填写集成类型",IF(AND($G47="",IFERROR(INDEX(TaskStandardTable[SIT支持资格],MATCH($C47,TaskStandardTable[工作类型ID],0)),"")="PER_INTEGRATION"),"集成类型缺失",IF(ISNUMBER($I47),"通过","工作类型与工作方式不适用")))))))))</f>
        <v>通过</v>
      </c>
    </row>
    <row r="48" customFormat="false" ht="94" hidden="false" customHeight="true" outlineLevel="0" collapsed="false">
      <c r="A48" s="4" t="s">
        <v>65</v>
      </c>
      <c r="B48" s="4" t="s">
        <v>208</v>
      </c>
      <c r="C48" s="5" t="str">
        <f aca="false">IFERROR(INDEX(TaskStandardTable[工作类型ID],MATCH($D48,TaskStandardTable[工作类型名称],0)),"")</f>
        <v>ENG-RUNTIME</v>
      </c>
      <c r="D48" s="4" t="s">
        <v>204</v>
      </c>
      <c r="E48" s="4" t="s">
        <v>141</v>
      </c>
      <c r="F48" s="4" t="s">
        <v>92</v>
      </c>
      <c r="G48" s="4"/>
      <c r="H48" s="4" t="s">
        <v>209</v>
      </c>
      <c r="I48" s="6" t="n">
        <f aca="false">IFERROR(IF($E48="新建",IF(INDEX(TaskStandardTable[新建适用],MATCH($C48,TaskStandardTable[工作类型ID],0)),INDEX(TaskStandardTable[新建M档人天],MATCH($C48,TaskStandardTable[工作类型ID],0)),""),IF($E48="调整",IF(INDEX(TaskStandardTable[调整适用],MATCH($C48,TaskStandardTable[工作类型ID],0)),INDEX(TaskStandardTable[调整M档人天],MATCH($C48,TaskStandardTable[工作类型ID],0)),""),IF($E48="接入复用",IF(INDEX(TaskStandardTable[接入复用适用],MATCH($C48,TaskStandardTable[工作类型ID],0)),INDEX(TaskStandardTable[接入复用M档人天],MATCH($C48,TaskStandardTable[工作类型ID],0)),""),""))),"")</f>
        <v>1</v>
      </c>
      <c r="J48" s="6" t="n">
        <f aca="false">IFERROR(INDEX(ProjectParameterTable[值],MATCH("K_COMPLEXITY_"&amp;$F48,ProjectParameterTable[参数代码],0)),"")</f>
        <v>1</v>
      </c>
      <c r="K48" s="6" t="n">
        <f aca="false">IF(OR(NOT(ISNUMBER($I48)),NOT(ISNUMBER($J48))),"",ROUND($I48*$J48,1))</f>
        <v>1</v>
      </c>
      <c r="L48" s="6" t="n">
        <f aca="false">IF(COUNTA($A48:$B48,$D48:$H48)=0,"",IF($G48="",0,IF($G48="内部集成",ROUND(INDEX(ProjectParameterTable[值],MATCH("SIT_INT_SUPPORT",ProjectParameterTable[参数代码],0))*$J48,1),IF($G48="外部集成",ROUND(INDEX(ProjectParameterTable[值],MATCH("SIT_EXT_SUPPORT",ProjectParameterTable[参数代码],0))*$J48,1),""))))</f>
        <v>0</v>
      </c>
      <c r="M48" s="5" t="str">
        <f aca="false">IF(COUNTA($A48:$B48,$D48:$H48)=0,"",IF(OR($A48="",$B48="",$C48="",$E48="",$F48=""),"必填项缺失",IF(SUMPRODUCT(--(TaskTable[任务名称]=$B48))&gt;1,"任务名称重复",IF(COUNTIF(SOWStoryTable[故事],$A48)&lt;&gt;1,"所属故事未知",IF(NOT(OR($F48="S",$F48="M",$F48="L")),"复杂度非法",IF(NOT(OR($G48="",$G48="内部集成",$G48="外部集成")),"集成类型非法",IF(AND($G48&lt;&gt;"",NOT(IFERROR(INDEX(TaskStandardTable[SIT支持资格],MATCH($C48,TaskStandardTable[工作类型ID],0)),"")="PER_INTEGRATION")),"非集成任务不应填写集成类型",IF(AND($G48="",IFERROR(INDEX(TaskStandardTable[SIT支持资格],MATCH($C48,TaskStandardTable[工作类型ID],0)),"")="PER_INTEGRATION"),"集成类型缺失",IF(ISNUMBER($I48),"通过","工作类型与工作方式不适用")))))))))</f>
        <v>通过</v>
      </c>
    </row>
    <row r="49" customFormat="false" ht="94" hidden="false" customHeight="true" outlineLevel="0" collapsed="false">
      <c r="A49" s="4" t="s">
        <v>65</v>
      </c>
      <c r="B49" s="4" t="s">
        <v>210</v>
      </c>
      <c r="C49" s="5" t="str">
        <f aca="false">IFERROR(INDEX(TaskStandardTable[工作类型ID],MATCH($D49,TaskStandardTable[工作类型名称],0)),"")</f>
        <v>ENG-RUNTIME</v>
      </c>
      <c r="D49" s="4" t="s">
        <v>204</v>
      </c>
      <c r="E49" s="4" t="s">
        <v>141</v>
      </c>
      <c r="F49" s="4" t="s">
        <v>92</v>
      </c>
      <c r="G49" s="4"/>
      <c r="H49" s="4" t="s">
        <v>211</v>
      </c>
      <c r="I49" s="6" t="n">
        <f aca="false">IFERROR(IF($E49="新建",IF(INDEX(TaskStandardTable[新建适用],MATCH($C49,TaskStandardTable[工作类型ID],0)),INDEX(TaskStandardTable[新建M档人天],MATCH($C49,TaskStandardTable[工作类型ID],0)),""),IF($E49="调整",IF(INDEX(TaskStandardTable[调整适用],MATCH($C49,TaskStandardTable[工作类型ID],0)),INDEX(TaskStandardTable[调整M档人天],MATCH($C49,TaskStandardTable[工作类型ID],0)),""),IF($E49="接入复用",IF(INDEX(TaskStandardTable[接入复用适用],MATCH($C49,TaskStandardTable[工作类型ID],0)),INDEX(TaskStandardTable[接入复用M档人天],MATCH($C49,TaskStandardTable[工作类型ID],0)),""),""))),"")</f>
        <v>1</v>
      </c>
      <c r="J49" s="6" t="n">
        <f aca="false">IFERROR(INDEX(ProjectParameterTable[值],MATCH("K_COMPLEXITY_"&amp;$F49,ProjectParameterTable[参数代码],0)),"")</f>
        <v>1</v>
      </c>
      <c r="K49" s="6" t="n">
        <f aca="false">IF(OR(NOT(ISNUMBER($I49)),NOT(ISNUMBER($J49))),"",ROUND($I49*$J49,1))</f>
        <v>1</v>
      </c>
      <c r="L49" s="6" t="n">
        <f aca="false">IF(COUNTA($A49:$B49,$D49:$H49)=0,"",IF($G49="",0,IF($G49="内部集成",ROUND(INDEX(ProjectParameterTable[值],MATCH("SIT_INT_SUPPORT",ProjectParameterTable[参数代码],0))*$J49,1),IF($G49="外部集成",ROUND(INDEX(ProjectParameterTable[值],MATCH("SIT_EXT_SUPPORT",ProjectParameterTable[参数代码],0))*$J49,1),""))))</f>
        <v>0</v>
      </c>
      <c r="M49" s="5" t="str">
        <f aca="false">IF(COUNTA($A49:$B49,$D49:$H49)=0,"",IF(OR($A49="",$B49="",$C49="",$E49="",$F49=""),"必填项缺失",IF(SUMPRODUCT(--(TaskTable[任务名称]=$B49))&gt;1,"任务名称重复",IF(COUNTIF(SOWStoryTable[故事],$A49)&lt;&gt;1,"所属故事未知",IF(NOT(OR($F49="S",$F49="M",$F49="L")),"复杂度非法",IF(NOT(OR($G49="",$G49="内部集成",$G49="外部集成")),"集成类型非法",IF(AND($G49&lt;&gt;"",NOT(IFERROR(INDEX(TaskStandardTable[SIT支持资格],MATCH($C49,TaskStandardTable[工作类型ID],0)),"")="PER_INTEGRATION")),"非集成任务不应填写集成类型",IF(AND($G49="",IFERROR(INDEX(TaskStandardTable[SIT支持资格],MATCH($C49,TaskStandardTable[工作类型ID],0)),"")="PER_INTEGRATION"),"集成类型缺失",IF(ISNUMBER($I49),"通过","工作类型与工作方式不适用")))))))))</f>
        <v>通过</v>
      </c>
    </row>
    <row r="50" customFormat="false" ht="94" hidden="false" customHeight="true" outlineLevel="0" collapsed="false">
      <c r="A50" s="4" t="s">
        <v>65</v>
      </c>
      <c r="B50" s="4" t="s">
        <v>212</v>
      </c>
      <c r="C50" s="5" t="str">
        <f aca="false">IFERROR(INDEX(TaskStandardTable[工作类型ID],MATCH($D50,TaskStandardTable[工作类型名称],0)),"")</f>
        <v>ENG-RUNTIME</v>
      </c>
      <c r="D50" s="4" t="s">
        <v>204</v>
      </c>
      <c r="E50" s="4" t="s">
        <v>141</v>
      </c>
      <c r="F50" s="4" t="s">
        <v>92</v>
      </c>
      <c r="G50" s="4"/>
      <c r="H50" s="4" t="s">
        <v>213</v>
      </c>
      <c r="I50" s="6" t="n">
        <f aca="false">IFERROR(IF($E50="新建",IF(INDEX(TaskStandardTable[新建适用],MATCH($C50,TaskStandardTable[工作类型ID],0)),INDEX(TaskStandardTable[新建M档人天],MATCH($C50,TaskStandardTable[工作类型ID],0)),""),IF($E50="调整",IF(INDEX(TaskStandardTable[调整适用],MATCH($C50,TaskStandardTable[工作类型ID],0)),INDEX(TaskStandardTable[调整M档人天],MATCH($C50,TaskStandardTable[工作类型ID],0)),""),IF($E50="接入复用",IF(INDEX(TaskStandardTable[接入复用适用],MATCH($C50,TaskStandardTable[工作类型ID],0)),INDEX(TaskStandardTable[接入复用M档人天],MATCH($C50,TaskStandardTable[工作类型ID],0)),""),""))),"")</f>
        <v>1</v>
      </c>
      <c r="J50" s="6" t="n">
        <f aca="false">IFERROR(INDEX(ProjectParameterTable[值],MATCH("K_COMPLEXITY_"&amp;$F50,ProjectParameterTable[参数代码],0)),"")</f>
        <v>1</v>
      </c>
      <c r="K50" s="6" t="n">
        <f aca="false">IF(OR(NOT(ISNUMBER($I50)),NOT(ISNUMBER($J50))),"",ROUND($I50*$J50,1))</f>
        <v>1</v>
      </c>
      <c r="L50" s="6" t="n">
        <f aca="false">IF(COUNTA($A50:$B50,$D50:$H50)=0,"",IF($G50="",0,IF($G50="内部集成",ROUND(INDEX(ProjectParameterTable[值],MATCH("SIT_INT_SUPPORT",ProjectParameterTable[参数代码],0))*$J50,1),IF($G50="外部集成",ROUND(INDEX(ProjectParameterTable[值],MATCH("SIT_EXT_SUPPORT",ProjectParameterTable[参数代码],0))*$J50,1),""))))</f>
        <v>0</v>
      </c>
      <c r="M50" s="5" t="str">
        <f aca="false">IF(COUNTA($A50:$B50,$D50:$H50)=0,"",IF(OR($A50="",$B50="",$C50="",$E50="",$F50=""),"必填项缺失",IF(SUMPRODUCT(--(TaskTable[任务名称]=$B50))&gt;1,"任务名称重复",IF(COUNTIF(SOWStoryTable[故事],$A50)&lt;&gt;1,"所属故事未知",IF(NOT(OR($F50="S",$F50="M",$F50="L")),"复杂度非法",IF(NOT(OR($G50="",$G50="内部集成",$G50="外部集成")),"集成类型非法",IF(AND($G50&lt;&gt;"",NOT(IFERROR(INDEX(TaskStandardTable[SIT支持资格],MATCH($C50,TaskStandardTable[工作类型ID],0)),"")="PER_INTEGRATION")),"非集成任务不应填写集成类型",IF(AND($G50="",IFERROR(INDEX(TaskStandardTable[SIT支持资格],MATCH($C50,TaskStandardTable[工作类型ID],0)),"")="PER_INTEGRATION"),"集成类型缺失",IF(ISNUMBER($I50),"通过","工作类型与工作方式不适用")))))))))</f>
        <v>通过</v>
      </c>
    </row>
    <row r="51" customFormat="false" ht="94" hidden="false" customHeight="true" outlineLevel="0" collapsed="false">
      <c r="A51" s="4" t="s">
        <v>65</v>
      </c>
      <c r="B51" s="4" t="s">
        <v>214</v>
      </c>
      <c r="C51" s="5" t="str">
        <f aca="false">IFERROR(INDEX(TaskStandardTable[工作类型ID],MATCH($D51,TaskStandardTable[工作类型名称],0)),"")</f>
        <v>ENG-RUNTIME</v>
      </c>
      <c r="D51" s="4" t="s">
        <v>204</v>
      </c>
      <c r="E51" s="4" t="s">
        <v>141</v>
      </c>
      <c r="F51" s="4" t="s">
        <v>92</v>
      </c>
      <c r="G51" s="4"/>
      <c r="H51" s="4" t="s">
        <v>215</v>
      </c>
      <c r="I51" s="6" t="n">
        <f aca="false">IFERROR(IF($E51="新建",IF(INDEX(TaskStandardTable[新建适用],MATCH($C51,TaskStandardTable[工作类型ID],0)),INDEX(TaskStandardTable[新建M档人天],MATCH($C51,TaskStandardTable[工作类型ID],0)),""),IF($E51="调整",IF(INDEX(TaskStandardTable[调整适用],MATCH($C51,TaskStandardTable[工作类型ID],0)),INDEX(TaskStandardTable[调整M档人天],MATCH($C51,TaskStandardTable[工作类型ID],0)),""),IF($E51="接入复用",IF(INDEX(TaskStandardTable[接入复用适用],MATCH($C51,TaskStandardTable[工作类型ID],0)),INDEX(TaskStandardTable[接入复用M档人天],MATCH($C51,TaskStandardTable[工作类型ID],0)),""),""))),"")</f>
        <v>1</v>
      </c>
      <c r="J51" s="6" t="n">
        <f aca="false">IFERROR(INDEX(ProjectParameterTable[值],MATCH("K_COMPLEXITY_"&amp;$F51,ProjectParameterTable[参数代码],0)),"")</f>
        <v>1</v>
      </c>
      <c r="K51" s="6" t="n">
        <f aca="false">IF(OR(NOT(ISNUMBER($I51)),NOT(ISNUMBER($J51))),"",ROUND($I51*$J51,1))</f>
        <v>1</v>
      </c>
      <c r="L51" s="6" t="n">
        <f aca="false">IF(COUNTA($A51:$B51,$D51:$H51)=0,"",IF($G51="",0,IF($G51="内部集成",ROUND(INDEX(ProjectParameterTable[值],MATCH("SIT_INT_SUPPORT",ProjectParameterTable[参数代码],0))*$J51,1),IF($G51="外部集成",ROUND(INDEX(ProjectParameterTable[值],MATCH("SIT_EXT_SUPPORT",ProjectParameterTable[参数代码],0))*$J51,1),""))))</f>
        <v>0</v>
      </c>
      <c r="M51" s="5" t="str">
        <f aca="false">IF(COUNTA($A51:$B51,$D51:$H51)=0,"",IF(OR($A51="",$B51="",$C51="",$E51="",$F51=""),"必填项缺失",IF(SUMPRODUCT(--(TaskTable[任务名称]=$B51))&gt;1,"任务名称重复",IF(COUNTIF(SOWStoryTable[故事],$A51)&lt;&gt;1,"所属故事未知",IF(NOT(OR($F51="S",$F51="M",$F51="L")),"复杂度非法",IF(NOT(OR($G51="",$G51="内部集成",$G51="外部集成")),"集成类型非法",IF(AND($G51&lt;&gt;"",NOT(IFERROR(INDEX(TaskStandardTable[SIT支持资格],MATCH($C51,TaskStandardTable[工作类型ID],0)),"")="PER_INTEGRATION")),"非集成任务不应填写集成类型",IF(AND($G51="",IFERROR(INDEX(TaskStandardTable[SIT支持资格],MATCH($C51,TaskStandardTable[工作类型ID],0)),"")="PER_INTEGRATION"),"集成类型缺失",IF(ISNUMBER($I51),"通过","工作类型与工作方式不适用")))))))))</f>
        <v>通过</v>
      </c>
    </row>
    <row r="52" customFormat="false" ht="94" hidden="false" customHeight="true" outlineLevel="0" collapsed="false">
      <c r="A52" s="4" t="s">
        <v>67</v>
      </c>
      <c r="B52" s="4" t="s">
        <v>216</v>
      </c>
      <c r="C52" s="5" t="str">
        <f aca="false">IFERROR(INDEX(TaskStandardTable[工作类型ID],MATCH($D52,TaskStandardTable[工作类型名称],0)),"")</f>
        <v>ENG-OBSERVABILITY</v>
      </c>
      <c r="D52" s="4" t="s">
        <v>217</v>
      </c>
      <c r="E52" s="4" t="s">
        <v>141</v>
      </c>
      <c r="F52" s="4" t="s">
        <v>124</v>
      </c>
      <c r="G52" s="4"/>
      <c r="H52" s="4" t="s">
        <v>218</v>
      </c>
      <c r="I52" s="6" t="n">
        <f aca="false">IFERROR(IF($E52="新建",IF(INDEX(TaskStandardTable[新建适用],MATCH($C52,TaskStandardTable[工作类型ID],0)),INDEX(TaskStandardTable[新建M档人天],MATCH($C52,TaskStandardTable[工作类型ID],0)),""),IF($E52="调整",IF(INDEX(TaskStandardTable[调整适用],MATCH($C52,TaskStandardTable[工作类型ID],0)),INDEX(TaskStandardTable[调整M档人天],MATCH($C52,TaskStandardTable[工作类型ID],0)),""),IF($E52="接入复用",IF(INDEX(TaskStandardTable[接入复用适用],MATCH($C52,TaskStandardTable[工作类型ID],0)),INDEX(TaskStandardTable[接入复用M档人天],MATCH($C52,TaskStandardTable[工作类型ID],0)),""),""))),"")</f>
        <v>1</v>
      </c>
      <c r="J52" s="6" t="n">
        <f aca="false">IFERROR(INDEX(ProjectParameterTable[值],MATCH("K_COMPLEXITY_"&amp;$F52,ProjectParameterTable[参数代码],0)),"")</f>
        <v>0.6</v>
      </c>
      <c r="K52" s="6" t="n">
        <f aca="false">IF(OR(NOT(ISNUMBER($I52)),NOT(ISNUMBER($J52))),"",ROUND($I52*$J52,1))</f>
        <v>0.6</v>
      </c>
      <c r="L52" s="6" t="n">
        <f aca="false">IF(COUNTA($A52:$B52,$D52:$H52)=0,"",IF($G52="",0,IF($G52="内部集成",ROUND(INDEX(ProjectParameterTable[值],MATCH("SIT_INT_SUPPORT",ProjectParameterTable[参数代码],0))*$J52,1),IF($G52="外部集成",ROUND(INDEX(ProjectParameterTable[值],MATCH("SIT_EXT_SUPPORT",ProjectParameterTable[参数代码],0))*$J52,1),""))))</f>
        <v>0</v>
      </c>
      <c r="M52" s="5" t="str">
        <f aca="false">IF(COUNTA($A52:$B52,$D52:$H52)=0,"",IF(OR($A52="",$B52="",$C52="",$E52="",$F52=""),"必填项缺失",IF(SUMPRODUCT(--(TaskTable[任务名称]=$B52))&gt;1,"任务名称重复",IF(COUNTIF(SOWStoryTable[故事],$A52)&lt;&gt;1,"所属故事未知",IF(NOT(OR($F52="S",$F52="M",$F52="L")),"复杂度非法",IF(NOT(OR($G52="",$G52="内部集成",$G52="外部集成")),"集成类型非法",IF(AND($G52&lt;&gt;"",NOT(IFERROR(INDEX(TaskStandardTable[SIT支持资格],MATCH($C52,TaskStandardTable[工作类型ID],0)),"")="PER_INTEGRATION")),"非集成任务不应填写集成类型",IF(AND($G52="",IFERROR(INDEX(TaskStandardTable[SIT支持资格],MATCH($C52,TaskStandardTable[工作类型ID],0)),"")="PER_INTEGRATION"),"集成类型缺失",IF(ISNUMBER($I52),"通过","工作类型与工作方式不适用")))))))))</f>
        <v>通过</v>
      </c>
    </row>
    <row r="53" customFormat="false" ht="79" hidden="false" customHeight="true" outlineLevel="0" collapsed="false">
      <c r="A53" s="4" t="s">
        <v>67</v>
      </c>
      <c r="B53" s="4" t="s">
        <v>219</v>
      </c>
      <c r="C53" s="5" t="str">
        <f aca="false">IFERROR(INDEX(TaskStandardTable[工作类型ID],MATCH($D53,TaskStandardTable[工作类型名称],0)),"")</f>
        <v>ENG-ALERT</v>
      </c>
      <c r="D53" s="4" t="s">
        <v>220</v>
      </c>
      <c r="E53" s="4" t="s">
        <v>141</v>
      </c>
      <c r="F53" s="4" t="s">
        <v>92</v>
      </c>
      <c r="G53" s="4"/>
      <c r="H53" s="4" t="s">
        <v>221</v>
      </c>
      <c r="I53" s="6" t="n">
        <f aca="false">IFERROR(IF($E53="新建",IF(INDEX(TaskStandardTable[新建适用],MATCH($C53,TaskStandardTable[工作类型ID],0)),INDEX(TaskStandardTable[新建M档人天],MATCH($C53,TaskStandardTable[工作类型ID],0)),""),IF($E53="调整",IF(INDEX(TaskStandardTable[调整适用],MATCH($C53,TaskStandardTable[工作类型ID],0)),INDEX(TaskStandardTable[调整M档人天],MATCH($C53,TaskStandardTable[工作类型ID],0)),""),IF($E53="接入复用",IF(INDEX(TaskStandardTable[接入复用适用],MATCH($C53,TaskStandardTable[工作类型ID],0)),INDEX(TaskStandardTable[接入复用M档人天],MATCH($C53,TaskStandardTable[工作类型ID],0)),""),""))),"")</f>
        <v>1</v>
      </c>
      <c r="J53" s="6" t="n">
        <f aca="false">IFERROR(INDEX(ProjectParameterTable[值],MATCH("K_COMPLEXITY_"&amp;$F53,ProjectParameterTable[参数代码],0)),"")</f>
        <v>1</v>
      </c>
      <c r="K53" s="6" t="n">
        <f aca="false">IF(OR(NOT(ISNUMBER($I53)),NOT(ISNUMBER($J53))),"",ROUND($I53*$J53,1))</f>
        <v>1</v>
      </c>
      <c r="L53" s="6" t="n">
        <f aca="false">IF(COUNTA($A53:$B53,$D53:$H53)=0,"",IF($G53="",0,IF($G53="内部集成",ROUND(INDEX(ProjectParameterTable[值],MATCH("SIT_INT_SUPPORT",ProjectParameterTable[参数代码],0))*$J53,1),IF($G53="外部集成",ROUND(INDEX(ProjectParameterTable[值],MATCH("SIT_EXT_SUPPORT",ProjectParameterTable[参数代码],0))*$J53,1),""))))</f>
        <v>0</v>
      </c>
      <c r="M53" s="5" t="str">
        <f aca="false">IF(COUNTA($A53:$B53,$D53:$H53)=0,"",IF(OR($A53="",$B53="",$C53="",$E53="",$F53=""),"必填项缺失",IF(SUMPRODUCT(--(TaskTable[任务名称]=$B53))&gt;1,"任务名称重复",IF(COUNTIF(SOWStoryTable[故事],$A53)&lt;&gt;1,"所属故事未知",IF(NOT(OR($F53="S",$F53="M",$F53="L")),"复杂度非法",IF(NOT(OR($G53="",$G53="内部集成",$G53="外部集成")),"集成类型非法",IF(AND($G53&lt;&gt;"",NOT(IFERROR(INDEX(TaskStandardTable[SIT支持资格],MATCH($C53,TaskStandardTable[工作类型ID],0)),"")="PER_INTEGRATION")),"非集成任务不应填写集成类型",IF(AND($G53="",IFERROR(INDEX(TaskStandardTable[SIT支持资格],MATCH($C53,TaskStandardTable[工作类型ID],0)),"")="PER_INTEGRATION"),"集成类型缺失",IF(ISNUMBER($I53),"通过","工作类型与工作方式不适用")))))))))</f>
        <v>通过</v>
      </c>
    </row>
    <row r="54" customFormat="false" ht="94" hidden="false" customHeight="true" outlineLevel="0" collapsed="false">
      <c r="A54" s="4" t="s">
        <v>67</v>
      </c>
      <c r="B54" s="4" t="s">
        <v>222</v>
      </c>
      <c r="C54" s="5" t="str">
        <f aca="false">IFERROR(INDEX(TaskStandardTable[工作类型ID],MATCH($D54,TaskStandardTable[工作类型名称],0)),"")</f>
        <v>CO-CONFIG</v>
      </c>
      <c r="D54" s="4" t="s">
        <v>223</v>
      </c>
      <c r="E54" s="4" t="s">
        <v>141</v>
      </c>
      <c r="F54" s="4" t="s">
        <v>92</v>
      </c>
      <c r="G54" s="4"/>
      <c r="H54" s="4" t="s">
        <v>224</v>
      </c>
      <c r="I54" s="6" t="n">
        <f aca="false">IFERROR(IF($E54="新建",IF(INDEX(TaskStandardTable[新建适用],MATCH($C54,TaskStandardTable[工作类型ID],0)),INDEX(TaskStandardTable[新建M档人天],MATCH($C54,TaskStandardTable[工作类型ID],0)),""),IF($E54="调整",IF(INDEX(TaskStandardTable[调整适用],MATCH($C54,TaskStandardTable[工作类型ID],0)),INDEX(TaskStandardTable[调整M档人天],MATCH($C54,TaskStandardTable[工作类型ID],0)),""),IF($E54="接入复用",IF(INDEX(TaskStandardTable[接入复用适用],MATCH($C54,TaskStandardTable[工作类型ID],0)),INDEX(TaskStandardTable[接入复用M档人天],MATCH($C54,TaskStandardTable[工作类型ID],0)),""),""))),"")</f>
        <v>1</v>
      </c>
      <c r="J54" s="6" t="n">
        <f aca="false">IFERROR(INDEX(ProjectParameterTable[值],MATCH("K_COMPLEXITY_"&amp;$F54,ProjectParameterTable[参数代码],0)),"")</f>
        <v>1</v>
      </c>
      <c r="K54" s="6" t="n">
        <f aca="false">IF(OR(NOT(ISNUMBER($I54)),NOT(ISNUMBER($J54))),"",ROUND($I54*$J54,1))</f>
        <v>1</v>
      </c>
      <c r="L54" s="6" t="n">
        <f aca="false">IF(COUNTA($A54:$B54,$D54:$H54)=0,"",IF($G54="",0,IF($G54="内部集成",ROUND(INDEX(ProjectParameterTable[值],MATCH("SIT_INT_SUPPORT",ProjectParameterTable[参数代码],0))*$J54,1),IF($G54="外部集成",ROUND(INDEX(ProjectParameterTable[值],MATCH("SIT_EXT_SUPPORT",ProjectParameterTable[参数代码],0))*$J54,1),""))))</f>
        <v>0</v>
      </c>
      <c r="M54" s="5" t="str">
        <f aca="false">IF(COUNTA($A54:$B54,$D54:$H54)=0,"",IF(OR($A54="",$B54="",$C54="",$E54="",$F54=""),"必填项缺失",IF(SUMPRODUCT(--(TaskTable[任务名称]=$B54))&gt;1,"任务名称重复",IF(COUNTIF(SOWStoryTable[故事],$A54)&lt;&gt;1,"所属故事未知",IF(NOT(OR($F54="S",$F54="M",$F54="L")),"复杂度非法",IF(NOT(OR($G54="",$G54="内部集成",$G54="外部集成")),"集成类型非法",IF(AND($G54&lt;&gt;"",NOT(IFERROR(INDEX(TaskStandardTable[SIT支持资格],MATCH($C54,TaskStandardTable[工作类型ID],0)),"")="PER_INTEGRATION")),"非集成任务不应填写集成类型",IF(AND($G54="",IFERROR(INDEX(TaskStandardTable[SIT支持资格],MATCH($C54,TaskStandardTable[工作类型ID],0)),"")="PER_INTEGRATION"),"集成类型缺失",IF(ISNUMBER($I54),"通过","工作类型与工作方式不适用")))))))))</f>
        <v>通过</v>
      </c>
    </row>
    <row r="55" customFormat="false" ht="109" hidden="false" customHeight="true" outlineLevel="0" collapsed="false">
      <c r="A55" s="4" t="s">
        <v>67</v>
      </c>
      <c r="B55" s="4" t="s">
        <v>225</v>
      </c>
      <c r="C55" s="5" t="str">
        <f aca="false">IFERROR(INDEX(TaskStandardTable[工作类型ID],MATCH($D55,TaskStandardTable[工作类型名称],0)),"")</f>
        <v>HAND-RUNBOOK</v>
      </c>
      <c r="D55" s="4" t="s">
        <v>226</v>
      </c>
      <c r="E55" s="4" t="s">
        <v>104</v>
      </c>
      <c r="F55" s="4" t="s">
        <v>92</v>
      </c>
      <c r="G55" s="4"/>
      <c r="H55" s="4" t="s">
        <v>227</v>
      </c>
      <c r="I55" s="6" t="n">
        <f aca="false">IFERROR(IF($E55="新建",IF(INDEX(TaskStandardTable[新建适用],MATCH($C55,TaskStandardTable[工作类型ID],0)),INDEX(TaskStandardTable[新建M档人天],MATCH($C55,TaskStandardTable[工作类型ID],0)),""),IF($E55="调整",IF(INDEX(TaskStandardTable[调整适用],MATCH($C55,TaskStandardTable[工作类型ID],0)),INDEX(TaskStandardTable[调整M档人天],MATCH($C55,TaskStandardTable[工作类型ID],0)),""),IF($E55="接入复用",IF(INDEX(TaskStandardTable[接入复用适用],MATCH($C55,TaskStandardTable[工作类型ID],0)),INDEX(TaskStandardTable[接入复用M档人天],MATCH($C55,TaskStandardTable[工作类型ID],0)),""),""))),"")</f>
        <v>1.5</v>
      </c>
      <c r="J55" s="6" t="n">
        <f aca="false">IFERROR(INDEX(ProjectParameterTable[值],MATCH("K_COMPLEXITY_"&amp;$F55,ProjectParameterTable[参数代码],0)),"")</f>
        <v>1</v>
      </c>
      <c r="K55" s="6" t="n">
        <f aca="false">IF(OR(NOT(ISNUMBER($I55)),NOT(ISNUMBER($J55))),"",ROUND($I55*$J55,1))</f>
        <v>1.5</v>
      </c>
      <c r="L55" s="6" t="n">
        <f aca="false">IF(COUNTA($A55:$B55,$D55:$H55)=0,"",IF($G55="",0,IF($G55="内部集成",ROUND(INDEX(ProjectParameterTable[值],MATCH("SIT_INT_SUPPORT",ProjectParameterTable[参数代码],0))*$J55,1),IF($G55="外部集成",ROUND(INDEX(ProjectParameterTable[值],MATCH("SIT_EXT_SUPPORT",ProjectParameterTable[参数代码],0))*$J55,1),""))))</f>
        <v>0</v>
      </c>
      <c r="M55" s="5" t="str">
        <f aca="false">IF(COUNTA($A55:$B55,$D55:$H55)=0,"",IF(OR($A55="",$B55="",$C55="",$E55="",$F55=""),"必填项缺失",IF(SUMPRODUCT(--(TaskTable[任务名称]=$B55))&gt;1,"任务名称重复",IF(COUNTIF(SOWStoryTable[故事],$A55)&lt;&gt;1,"所属故事未知",IF(NOT(OR($F55="S",$F55="M",$F55="L")),"复杂度非法",IF(NOT(OR($G55="",$G55="内部集成",$G55="外部集成")),"集成类型非法",IF(AND($G55&lt;&gt;"",NOT(IFERROR(INDEX(TaskStandardTable[SIT支持资格],MATCH($C55,TaskStandardTable[工作类型ID],0)),"")="PER_INTEGRATION")),"非集成任务不应填写集成类型",IF(AND($G55="",IFERROR(INDEX(TaskStandardTable[SIT支持资格],MATCH($C55,TaskStandardTable[工作类型ID],0)),"")="PER_INTEGRATION"),"集成类型缺失",IF(ISNUMBER($I55),"通过","工作类型与工作方式不适用")))))))))</f>
        <v>通过</v>
      </c>
    </row>
    <row r="56" customFormat="false" ht="79" hidden="false" customHeight="true" outlineLevel="0" collapsed="false">
      <c r="A56" s="4" t="s">
        <v>69</v>
      </c>
      <c r="B56" s="4" t="s">
        <v>228</v>
      </c>
      <c r="C56" s="5" t="str">
        <f aca="false">IFERROR(INDEX(TaskStandardTable[工作类型ID],MATCH($D56,TaskStandardTable[工作类型名称],0)),"")</f>
        <v>REL-PLAN</v>
      </c>
      <c r="D56" s="4" t="s">
        <v>229</v>
      </c>
      <c r="E56" s="4" t="s">
        <v>104</v>
      </c>
      <c r="F56" s="4" t="s">
        <v>92</v>
      </c>
      <c r="G56" s="4"/>
      <c r="H56" s="4" t="s">
        <v>230</v>
      </c>
      <c r="I56" s="6" t="n">
        <f aca="false">IFERROR(IF($E56="新建",IF(INDEX(TaskStandardTable[新建适用],MATCH($C56,TaskStandardTable[工作类型ID],0)),INDEX(TaskStandardTable[新建M档人天],MATCH($C56,TaskStandardTable[工作类型ID],0)),""),IF($E56="调整",IF(INDEX(TaskStandardTable[调整适用],MATCH($C56,TaskStandardTable[工作类型ID],0)),INDEX(TaskStandardTable[调整M档人天],MATCH($C56,TaskStandardTable[工作类型ID],0)),""),IF($E56="接入复用",IF(INDEX(TaskStandardTable[接入复用适用],MATCH($C56,TaskStandardTable[工作类型ID],0)),INDEX(TaskStandardTable[接入复用M档人天],MATCH($C56,TaskStandardTable[工作类型ID],0)),""),""))),"")</f>
        <v>2</v>
      </c>
      <c r="J56" s="6" t="n">
        <f aca="false">IFERROR(INDEX(ProjectParameterTable[值],MATCH("K_COMPLEXITY_"&amp;$F56,ProjectParameterTable[参数代码],0)),"")</f>
        <v>1</v>
      </c>
      <c r="K56" s="6" t="n">
        <f aca="false">IF(OR(NOT(ISNUMBER($I56)),NOT(ISNUMBER($J56))),"",ROUND($I56*$J56,1))</f>
        <v>2</v>
      </c>
      <c r="L56" s="6" t="n">
        <f aca="false">IF(COUNTA($A56:$B56,$D56:$H56)=0,"",IF($G56="",0,IF($G56="内部集成",ROUND(INDEX(ProjectParameterTable[值],MATCH("SIT_INT_SUPPORT",ProjectParameterTable[参数代码],0))*$J56,1),IF($G56="外部集成",ROUND(INDEX(ProjectParameterTable[值],MATCH("SIT_EXT_SUPPORT",ProjectParameterTable[参数代码],0))*$J56,1),""))))</f>
        <v>0</v>
      </c>
      <c r="M56" s="5" t="str">
        <f aca="false">IF(COUNTA($A56:$B56,$D56:$H56)=0,"",IF(OR($A56="",$B56="",$C56="",$E56="",$F56=""),"必填项缺失",IF(SUMPRODUCT(--(TaskTable[任务名称]=$B56))&gt;1,"任务名称重复",IF(COUNTIF(SOWStoryTable[故事],$A56)&lt;&gt;1,"所属故事未知",IF(NOT(OR($F56="S",$F56="M",$F56="L")),"复杂度非法",IF(NOT(OR($G56="",$G56="内部集成",$G56="外部集成")),"集成类型非法",IF(AND($G56&lt;&gt;"",NOT(IFERROR(INDEX(TaskStandardTable[SIT支持资格],MATCH($C56,TaskStandardTable[工作类型ID],0)),"")="PER_INTEGRATION")),"非集成任务不应填写集成类型",IF(AND($G56="",IFERROR(INDEX(TaskStandardTable[SIT支持资格],MATCH($C56,TaskStandardTable[工作类型ID],0)),"")="PER_INTEGRATION"),"集成类型缺失",IF(ISNUMBER($I56),"通过","工作类型与工作方式不适用")))))))))</f>
        <v>通过</v>
      </c>
    </row>
    <row r="57" customFormat="false" ht="79" hidden="false" customHeight="true" outlineLevel="0" collapsed="false">
      <c r="A57" s="4" t="s">
        <v>69</v>
      </c>
      <c r="B57" s="4" t="s">
        <v>231</v>
      </c>
      <c r="C57" s="5" t="str">
        <f aca="false">IFERROR(INDEX(TaskStandardTable[工作类型ID],MATCH($D57,TaskStandardTable[工作类型名称],0)),"")</f>
        <v>REL-REHEARSAL</v>
      </c>
      <c r="D57" s="4" t="s">
        <v>232</v>
      </c>
      <c r="E57" s="4" t="s">
        <v>104</v>
      </c>
      <c r="F57" s="4" t="s">
        <v>92</v>
      </c>
      <c r="G57" s="4"/>
      <c r="H57" s="4" t="s">
        <v>233</v>
      </c>
      <c r="I57" s="6" t="n">
        <f aca="false">IFERROR(IF($E57="新建",IF(INDEX(TaskStandardTable[新建适用],MATCH($C57,TaskStandardTable[工作类型ID],0)),INDEX(TaskStandardTable[新建M档人天],MATCH($C57,TaskStandardTable[工作类型ID],0)),""),IF($E57="调整",IF(INDEX(TaskStandardTable[调整适用],MATCH($C57,TaskStandardTable[工作类型ID],0)),INDEX(TaskStandardTable[调整M档人天],MATCH($C57,TaskStandardTable[工作类型ID],0)),""),IF($E57="接入复用",IF(INDEX(TaskStandardTable[接入复用适用],MATCH($C57,TaskStandardTable[工作类型ID],0)),INDEX(TaskStandardTable[接入复用M档人天],MATCH($C57,TaskStandardTable[工作类型ID],0)),""),""))),"")</f>
        <v>1.5</v>
      </c>
      <c r="J57" s="6" t="n">
        <f aca="false">IFERROR(INDEX(ProjectParameterTable[值],MATCH("K_COMPLEXITY_"&amp;$F57,ProjectParameterTable[参数代码],0)),"")</f>
        <v>1</v>
      </c>
      <c r="K57" s="6" t="n">
        <f aca="false">IF(OR(NOT(ISNUMBER($I57)),NOT(ISNUMBER($J57))),"",ROUND($I57*$J57,1))</f>
        <v>1.5</v>
      </c>
      <c r="L57" s="6" t="n">
        <f aca="false">IF(COUNTA($A57:$B57,$D57:$H57)=0,"",IF($G57="",0,IF($G57="内部集成",ROUND(INDEX(ProjectParameterTable[值],MATCH("SIT_INT_SUPPORT",ProjectParameterTable[参数代码],0))*$J57,1),IF($G57="外部集成",ROUND(INDEX(ProjectParameterTable[值],MATCH("SIT_EXT_SUPPORT",ProjectParameterTable[参数代码],0))*$J57,1),""))))</f>
        <v>0</v>
      </c>
      <c r="M57" s="5" t="str">
        <f aca="false">IF(COUNTA($A57:$B57,$D57:$H57)=0,"",IF(OR($A57="",$B57="",$C57="",$E57="",$F57=""),"必填项缺失",IF(SUMPRODUCT(--(TaskTable[任务名称]=$B57))&gt;1,"任务名称重复",IF(COUNTIF(SOWStoryTable[故事],$A57)&lt;&gt;1,"所属故事未知",IF(NOT(OR($F57="S",$F57="M",$F57="L")),"复杂度非法",IF(NOT(OR($G57="",$G57="内部集成",$G57="外部集成")),"集成类型非法",IF(AND($G57&lt;&gt;"",NOT(IFERROR(INDEX(TaskStandardTable[SIT支持资格],MATCH($C57,TaskStandardTable[工作类型ID],0)),"")="PER_INTEGRATION")),"非集成任务不应填写集成类型",IF(AND($G57="",IFERROR(INDEX(TaskStandardTable[SIT支持资格],MATCH($C57,TaskStandardTable[工作类型ID],0)),"")="PER_INTEGRATION"),"集成类型缺失",IF(ISNUMBER($I57),"通过","工作类型与工作方式不适用")))))))))</f>
        <v>通过</v>
      </c>
    </row>
    <row r="58" customFormat="false" ht="79" hidden="false" customHeight="true" outlineLevel="0" collapsed="false">
      <c r="A58" s="4" t="s">
        <v>69</v>
      </c>
      <c r="B58" s="4" t="s">
        <v>234</v>
      </c>
      <c r="C58" s="5" t="str">
        <f aca="false">IFERROR(INDEX(TaskStandardTable[工作类型ID],MATCH($D58,TaskStandardTable[工作类型名称],0)),"")</f>
        <v>REL-EXECUTION</v>
      </c>
      <c r="D58" s="4" t="s">
        <v>235</v>
      </c>
      <c r="E58" s="4" t="s">
        <v>104</v>
      </c>
      <c r="F58" s="4" t="s">
        <v>124</v>
      </c>
      <c r="G58" s="4"/>
      <c r="H58" s="4" t="s">
        <v>236</v>
      </c>
      <c r="I58" s="6" t="n">
        <f aca="false">IFERROR(IF($E58="新建",IF(INDEX(TaskStandardTable[新建适用],MATCH($C58,TaskStandardTable[工作类型ID],0)),INDEX(TaskStandardTable[新建M档人天],MATCH($C58,TaskStandardTable[工作类型ID],0)),""),IF($E58="调整",IF(INDEX(TaskStandardTable[调整适用],MATCH($C58,TaskStandardTable[工作类型ID],0)),INDEX(TaskStandardTable[调整M档人天],MATCH($C58,TaskStandardTable[工作类型ID],0)),""),IF($E58="接入复用",IF(INDEX(TaskStandardTable[接入复用适用],MATCH($C58,TaskStandardTable[工作类型ID],0)),INDEX(TaskStandardTable[接入复用M档人天],MATCH($C58,TaskStandardTable[工作类型ID],0)),""),""))),"")</f>
        <v>1.5</v>
      </c>
      <c r="J58" s="6" t="n">
        <f aca="false">IFERROR(INDEX(ProjectParameterTable[值],MATCH("K_COMPLEXITY_"&amp;$F58,ProjectParameterTable[参数代码],0)),"")</f>
        <v>0.6</v>
      </c>
      <c r="K58" s="6" t="n">
        <f aca="false">IF(OR(NOT(ISNUMBER($I58)),NOT(ISNUMBER($J58))),"",ROUND($I58*$J58,1))</f>
        <v>0.9</v>
      </c>
      <c r="L58" s="6" t="n">
        <f aca="false">IF(COUNTA($A58:$B58,$D58:$H58)=0,"",IF($G58="",0,IF($G58="内部集成",ROUND(INDEX(ProjectParameterTable[值],MATCH("SIT_INT_SUPPORT",ProjectParameterTable[参数代码],0))*$J58,1),IF($G58="外部集成",ROUND(INDEX(ProjectParameterTable[值],MATCH("SIT_EXT_SUPPORT",ProjectParameterTable[参数代码],0))*$J58,1),""))))</f>
        <v>0</v>
      </c>
      <c r="M58" s="5" t="str">
        <f aca="false">IF(COUNTA($A58:$B58,$D58:$H58)=0,"",IF(OR($A58="",$B58="",$C58="",$E58="",$F58=""),"必填项缺失",IF(SUMPRODUCT(--(TaskTable[任务名称]=$B58))&gt;1,"任务名称重复",IF(COUNTIF(SOWStoryTable[故事],$A58)&lt;&gt;1,"所属故事未知",IF(NOT(OR($F58="S",$F58="M",$F58="L")),"复杂度非法",IF(NOT(OR($G58="",$G58="内部集成",$G58="外部集成")),"集成类型非法",IF(AND($G58&lt;&gt;"",NOT(IFERROR(INDEX(TaskStandardTable[SIT支持资格],MATCH($C58,TaskStandardTable[工作类型ID],0)),"")="PER_INTEGRATION")),"非集成任务不应填写集成类型",IF(AND($G58="",IFERROR(INDEX(TaskStandardTable[SIT支持资格],MATCH($C58,TaskStandardTable[工作类型ID],0)),"")="PER_INTEGRATION"),"集成类型缺失",IF(ISNUMBER($I58),"通过","工作类型与工作方式不适用")))))))))</f>
        <v>通过</v>
      </c>
    </row>
    <row r="59" customFormat="false" ht="79" hidden="false" customHeight="true" outlineLevel="0" collapsed="false">
      <c r="A59" s="4" t="s">
        <v>69</v>
      </c>
      <c r="B59" s="4" t="s">
        <v>237</v>
      </c>
      <c r="C59" s="5" t="str">
        <f aca="false">IFERROR(INDEX(TaskStandardTable[工作类型ID],MATCH($D59,TaskStandardTable[工作类型名称],0)),"")</f>
        <v>REL-EXECUTION</v>
      </c>
      <c r="D59" s="4" t="s">
        <v>235</v>
      </c>
      <c r="E59" s="4" t="s">
        <v>104</v>
      </c>
      <c r="F59" s="4" t="s">
        <v>124</v>
      </c>
      <c r="G59" s="4"/>
      <c r="H59" s="4" t="s">
        <v>238</v>
      </c>
      <c r="I59" s="6" t="n">
        <f aca="false">IFERROR(IF($E59="新建",IF(INDEX(TaskStandardTable[新建适用],MATCH($C59,TaskStandardTable[工作类型ID],0)),INDEX(TaskStandardTable[新建M档人天],MATCH($C59,TaskStandardTable[工作类型ID],0)),""),IF($E59="调整",IF(INDEX(TaskStandardTable[调整适用],MATCH($C59,TaskStandardTable[工作类型ID],0)),INDEX(TaskStandardTable[调整M档人天],MATCH($C59,TaskStandardTable[工作类型ID],0)),""),IF($E59="接入复用",IF(INDEX(TaskStandardTable[接入复用适用],MATCH($C59,TaskStandardTable[工作类型ID],0)),INDEX(TaskStandardTable[接入复用M档人天],MATCH($C59,TaskStandardTable[工作类型ID],0)),""),""))),"")</f>
        <v>1.5</v>
      </c>
      <c r="J59" s="6" t="n">
        <f aca="false">IFERROR(INDEX(ProjectParameterTable[值],MATCH("K_COMPLEXITY_"&amp;$F59,ProjectParameterTable[参数代码],0)),"")</f>
        <v>0.6</v>
      </c>
      <c r="K59" s="6" t="n">
        <f aca="false">IF(OR(NOT(ISNUMBER($I59)),NOT(ISNUMBER($J59))),"",ROUND($I59*$J59,1))</f>
        <v>0.9</v>
      </c>
      <c r="L59" s="6" t="n">
        <f aca="false">IF(COUNTA($A59:$B59,$D59:$H59)=0,"",IF($G59="",0,IF($G59="内部集成",ROUND(INDEX(ProjectParameterTable[值],MATCH("SIT_INT_SUPPORT",ProjectParameterTable[参数代码],0))*$J59,1),IF($G59="外部集成",ROUND(INDEX(ProjectParameterTable[值],MATCH("SIT_EXT_SUPPORT",ProjectParameterTable[参数代码],0))*$J59,1),""))))</f>
        <v>0</v>
      </c>
      <c r="M59" s="5" t="str">
        <f aca="false">IF(COUNTA($A59:$B59,$D59:$H59)=0,"",IF(OR($A59="",$B59="",$C59="",$E59="",$F59=""),"必填项缺失",IF(SUMPRODUCT(--(TaskTable[任务名称]=$B59))&gt;1,"任务名称重复",IF(COUNTIF(SOWStoryTable[故事],$A59)&lt;&gt;1,"所属故事未知",IF(NOT(OR($F59="S",$F59="M",$F59="L")),"复杂度非法",IF(NOT(OR($G59="",$G59="内部集成",$G59="外部集成")),"集成类型非法",IF(AND($G59&lt;&gt;"",NOT(IFERROR(INDEX(TaskStandardTable[SIT支持资格],MATCH($C59,TaskStandardTable[工作类型ID],0)),"")="PER_INTEGRATION")),"非集成任务不应填写集成类型",IF(AND($G59="",IFERROR(INDEX(TaskStandardTable[SIT支持资格],MATCH($C59,TaskStandardTable[工作类型ID],0)),"")="PER_INTEGRATION"),"集成类型缺失",IF(ISNUMBER($I59),"通过","工作类型与工作方式不适用")))))))))</f>
        <v>通过</v>
      </c>
    </row>
    <row r="60" customFormat="false" ht="79" hidden="false" customHeight="true" outlineLevel="0" collapsed="false">
      <c r="A60" s="4" t="s">
        <v>69</v>
      </c>
      <c r="B60" s="4" t="s">
        <v>239</v>
      </c>
      <c r="C60" s="5" t="str">
        <f aca="false">IFERROR(INDEX(TaskStandardTable[工作类型ID],MATCH($D60,TaskStandardTable[工作类型名称],0)),"")</f>
        <v>REL-EXECUTION</v>
      </c>
      <c r="D60" s="4" t="s">
        <v>235</v>
      </c>
      <c r="E60" s="4" t="s">
        <v>104</v>
      </c>
      <c r="F60" s="4" t="s">
        <v>124</v>
      </c>
      <c r="G60" s="4"/>
      <c r="H60" s="4" t="s">
        <v>240</v>
      </c>
      <c r="I60" s="6" t="n">
        <f aca="false">IFERROR(IF($E60="新建",IF(INDEX(TaskStandardTable[新建适用],MATCH($C60,TaskStandardTable[工作类型ID],0)),INDEX(TaskStandardTable[新建M档人天],MATCH($C60,TaskStandardTable[工作类型ID],0)),""),IF($E60="调整",IF(INDEX(TaskStandardTable[调整适用],MATCH($C60,TaskStandardTable[工作类型ID],0)),INDEX(TaskStandardTable[调整M档人天],MATCH($C60,TaskStandardTable[工作类型ID],0)),""),IF($E60="接入复用",IF(INDEX(TaskStandardTable[接入复用适用],MATCH($C60,TaskStandardTable[工作类型ID],0)),INDEX(TaskStandardTable[接入复用M档人天],MATCH($C60,TaskStandardTable[工作类型ID],0)),""),""))),"")</f>
        <v>1.5</v>
      </c>
      <c r="J60" s="6" t="n">
        <f aca="false">IFERROR(INDEX(ProjectParameterTable[值],MATCH("K_COMPLEXITY_"&amp;$F60,ProjectParameterTable[参数代码],0)),"")</f>
        <v>0.6</v>
      </c>
      <c r="K60" s="6" t="n">
        <f aca="false">IF(OR(NOT(ISNUMBER($I60)),NOT(ISNUMBER($J60))),"",ROUND($I60*$J60,1))</f>
        <v>0.9</v>
      </c>
      <c r="L60" s="6" t="n">
        <f aca="false">IF(COUNTA($A60:$B60,$D60:$H60)=0,"",IF($G60="",0,IF($G60="内部集成",ROUND(INDEX(ProjectParameterTable[值],MATCH("SIT_INT_SUPPORT",ProjectParameterTable[参数代码],0))*$J60,1),IF($G60="外部集成",ROUND(INDEX(ProjectParameterTable[值],MATCH("SIT_EXT_SUPPORT",ProjectParameterTable[参数代码],0))*$J60,1),""))))</f>
        <v>0</v>
      </c>
      <c r="M60" s="5" t="str">
        <f aca="false">IF(COUNTA($A60:$B60,$D60:$H60)=0,"",IF(OR($A60="",$B60="",$C60="",$E60="",$F60=""),"必填项缺失",IF(SUMPRODUCT(--(TaskTable[任务名称]=$B60))&gt;1,"任务名称重复",IF(COUNTIF(SOWStoryTable[故事],$A60)&lt;&gt;1,"所属故事未知",IF(NOT(OR($F60="S",$F60="M",$F60="L")),"复杂度非法",IF(NOT(OR($G60="",$G60="内部集成",$G60="外部集成")),"集成类型非法",IF(AND($G60&lt;&gt;"",NOT(IFERROR(INDEX(TaskStandardTable[SIT支持资格],MATCH($C60,TaskStandardTable[工作类型ID],0)),"")="PER_INTEGRATION")),"非集成任务不应填写集成类型",IF(AND($G60="",IFERROR(INDEX(TaskStandardTable[SIT支持资格],MATCH($C60,TaskStandardTable[工作类型ID],0)),"")="PER_INTEGRATION"),"集成类型缺失",IF(ISNUMBER($I60),"通过","工作类型与工作方式不适用")))))))))</f>
        <v>通过</v>
      </c>
    </row>
    <row r="61" customFormat="false" ht="94" hidden="false" customHeight="true" outlineLevel="0" collapsed="false">
      <c r="A61" s="4" t="s">
        <v>71</v>
      </c>
      <c r="B61" s="4" t="s">
        <v>241</v>
      </c>
      <c r="C61" s="5" t="str">
        <f aca="false">IFERROR(INDEX(TaskStandardTable[工作类型ID],MATCH($D61,TaskStandardTable[工作类型名称],0)),"")</f>
        <v>HAND-KT</v>
      </c>
      <c r="D61" s="4" t="s">
        <v>242</v>
      </c>
      <c r="E61" s="4" t="s">
        <v>104</v>
      </c>
      <c r="F61" s="4" t="s">
        <v>92</v>
      </c>
      <c r="G61" s="4"/>
      <c r="H61" s="4" t="s">
        <v>243</v>
      </c>
      <c r="I61" s="6" t="n">
        <f aca="false">IFERROR(IF($E61="新建",IF(INDEX(TaskStandardTable[新建适用],MATCH($C61,TaskStandardTable[工作类型ID],0)),INDEX(TaskStandardTable[新建M档人天],MATCH($C61,TaskStandardTable[工作类型ID],0)),""),IF($E61="调整",IF(INDEX(TaskStandardTable[调整适用],MATCH($C61,TaskStandardTable[工作类型ID],0)),INDEX(TaskStandardTable[调整M档人天],MATCH($C61,TaskStandardTable[工作类型ID],0)),""),IF($E61="接入复用",IF(INDEX(TaskStandardTable[接入复用适用],MATCH($C61,TaskStandardTable[工作类型ID],0)),INDEX(TaskStandardTable[接入复用M档人天],MATCH($C61,TaskStandardTable[工作类型ID],0)),""),""))),"")</f>
        <v>1.5</v>
      </c>
      <c r="J61" s="6" t="n">
        <f aca="false">IFERROR(INDEX(ProjectParameterTable[值],MATCH("K_COMPLEXITY_"&amp;$F61,ProjectParameterTable[参数代码],0)),"")</f>
        <v>1</v>
      </c>
      <c r="K61" s="6" t="n">
        <f aca="false">IF(OR(NOT(ISNUMBER($I61)),NOT(ISNUMBER($J61))),"",ROUND($I61*$J61,1))</f>
        <v>1.5</v>
      </c>
      <c r="L61" s="6" t="n">
        <f aca="false">IF(COUNTA($A61:$B61,$D61:$H61)=0,"",IF($G61="",0,IF($G61="内部集成",ROUND(INDEX(ProjectParameterTable[值],MATCH("SIT_INT_SUPPORT",ProjectParameterTable[参数代码],0))*$J61,1),IF($G61="外部集成",ROUND(INDEX(ProjectParameterTable[值],MATCH("SIT_EXT_SUPPORT",ProjectParameterTable[参数代码],0))*$J61,1),""))))</f>
        <v>0</v>
      </c>
      <c r="M61" s="5" t="str">
        <f aca="false">IF(COUNTA($A61:$B61,$D61:$H61)=0,"",IF(OR($A61="",$B61="",$C61="",$E61="",$F61=""),"必填项缺失",IF(SUMPRODUCT(--(TaskTable[任务名称]=$B61))&gt;1,"任务名称重复",IF(COUNTIF(SOWStoryTable[故事],$A61)&lt;&gt;1,"所属故事未知",IF(NOT(OR($F61="S",$F61="M",$F61="L")),"复杂度非法",IF(NOT(OR($G61="",$G61="内部集成",$G61="外部集成")),"集成类型非法",IF(AND($G61&lt;&gt;"",NOT(IFERROR(INDEX(TaskStandardTable[SIT支持资格],MATCH($C61,TaskStandardTable[工作类型ID],0)),"")="PER_INTEGRATION")),"非集成任务不应填写集成类型",IF(AND($G61="",IFERROR(INDEX(TaskStandardTable[SIT支持资格],MATCH($C61,TaskStandardTable[工作类型ID],0)),"")="PER_INTEGRATION"),"集成类型缺失",IF(ISNUMBER($I61),"通过","工作类型与工作方式不适用")))))))))</f>
        <v>通过</v>
      </c>
    </row>
    <row r="62" customFormat="false" ht="94" hidden="false" customHeight="true" outlineLevel="0" collapsed="false">
      <c r="A62" s="4" t="s">
        <v>74</v>
      </c>
      <c r="B62" s="4" t="s">
        <v>244</v>
      </c>
      <c r="C62" s="5" t="str">
        <f aca="false">IFERROR(INDEX(TaskStandardTable[工作类型ID],MATCH($D62,TaskStandardTable[工作类型名称],0)),"")</f>
        <v>AN-IMPACT</v>
      </c>
      <c r="D62" s="4" t="s">
        <v>245</v>
      </c>
      <c r="E62" s="4" t="s">
        <v>104</v>
      </c>
      <c r="F62" s="4" t="s">
        <v>92</v>
      </c>
      <c r="G62" s="4"/>
      <c r="H62" s="4" t="s">
        <v>246</v>
      </c>
      <c r="I62" s="6" t="n">
        <f aca="false">IFERROR(IF($E62="新建",IF(INDEX(TaskStandardTable[新建适用],MATCH($C62,TaskStandardTable[工作类型ID],0)),INDEX(TaskStandardTable[新建M档人天],MATCH($C62,TaskStandardTable[工作类型ID],0)),""),IF($E62="调整",IF(INDEX(TaskStandardTable[调整适用],MATCH($C62,TaskStandardTable[工作类型ID],0)),INDEX(TaskStandardTable[调整M档人天],MATCH($C62,TaskStandardTable[工作类型ID],0)),""),IF($E62="接入复用",IF(INDEX(TaskStandardTable[接入复用适用],MATCH($C62,TaskStandardTable[工作类型ID],0)),INDEX(TaskStandardTable[接入复用M档人天],MATCH($C62,TaskStandardTable[工作类型ID],0)),""),""))),"")</f>
        <v>1</v>
      </c>
      <c r="J62" s="6" t="n">
        <f aca="false">IFERROR(INDEX(ProjectParameterTable[值],MATCH("K_COMPLEXITY_"&amp;$F62,ProjectParameterTable[参数代码],0)),"")</f>
        <v>1</v>
      </c>
      <c r="K62" s="6" t="n">
        <f aca="false">IF(OR(NOT(ISNUMBER($I62)),NOT(ISNUMBER($J62))),"",ROUND($I62*$J62,1))</f>
        <v>1</v>
      </c>
      <c r="L62" s="6" t="n">
        <f aca="false">IF(COUNTA($A62:$B62,$D62:$H62)=0,"",IF($G62="",0,IF($G62="内部集成",ROUND(INDEX(ProjectParameterTable[值],MATCH("SIT_INT_SUPPORT",ProjectParameterTable[参数代码],0))*$J62,1),IF($G62="外部集成",ROUND(INDEX(ProjectParameterTable[值],MATCH("SIT_EXT_SUPPORT",ProjectParameterTable[参数代码],0))*$J62,1),""))))</f>
        <v>0</v>
      </c>
      <c r="M62" s="5" t="str">
        <f aca="false">IF(COUNTA($A62:$B62,$D62:$H62)=0,"",IF(OR($A62="",$B62="",$C62="",$E62="",$F62=""),"必填项缺失",IF(SUMPRODUCT(--(TaskTable[任务名称]=$B62))&gt;1,"任务名称重复",IF(COUNTIF(SOWStoryTable[故事],$A62)&lt;&gt;1,"所属故事未知",IF(NOT(OR($F62="S",$F62="M",$F62="L")),"复杂度非法",IF(NOT(OR($G62="",$G62="内部集成",$G62="外部集成")),"集成类型非法",IF(AND($G62&lt;&gt;"",NOT(IFERROR(INDEX(TaskStandardTable[SIT支持资格],MATCH($C62,TaskStandardTable[工作类型ID],0)),"")="PER_INTEGRATION")),"非集成任务不应填写集成类型",IF(AND($G62="",IFERROR(INDEX(TaskStandardTable[SIT支持资格],MATCH($C62,TaskStandardTable[工作类型ID],0)),"")="PER_INTEGRATION"),"集成类型缺失",IF(ISNUMBER($I62),"通过","工作类型与工作方式不适用")))))))))</f>
        <v>通过</v>
      </c>
    </row>
    <row r="63" customFormat="false" ht="94" hidden="false" customHeight="true" outlineLevel="0" collapsed="false">
      <c r="A63" s="4" t="s">
        <v>74</v>
      </c>
      <c r="B63" s="4" t="s">
        <v>247</v>
      </c>
      <c r="C63" s="5" t="str">
        <f aca="false">IFERROR(INDEX(TaskStandardTable[工作类型ID],MATCH($D63,TaskStandardTable[工作类型名称],0)),"")</f>
        <v>AN-DESIGN</v>
      </c>
      <c r="D63" s="4" t="s">
        <v>248</v>
      </c>
      <c r="E63" s="4" t="s">
        <v>104</v>
      </c>
      <c r="F63" s="4" t="s">
        <v>92</v>
      </c>
      <c r="G63" s="4"/>
      <c r="H63" s="4" t="s">
        <v>249</v>
      </c>
      <c r="I63" s="6" t="n">
        <f aca="false">IFERROR(IF($E63="新建",IF(INDEX(TaskStandardTable[新建适用],MATCH($C63,TaskStandardTable[工作类型ID],0)),INDEX(TaskStandardTable[新建M档人天],MATCH($C63,TaskStandardTable[工作类型ID],0)),""),IF($E63="调整",IF(INDEX(TaskStandardTable[调整适用],MATCH($C63,TaskStandardTable[工作类型ID],0)),INDEX(TaskStandardTable[调整M档人天],MATCH($C63,TaskStandardTable[工作类型ID],0)),""),IF($E63="接入复用",IF(INDEX(TaskStandardTable[接入复用适用],MATCH($C63,TaskStandardTable[工作类型ID],0)),INDEX(TaskStandardTable[接入复用M档人天],MATCH($C63,TaskStandardTable[工作类型ID],0)),""),""))),"")</f>
        <v>2</v>
      </c>
      <c r="J63" s="6" t="n">
        <f aca="false">IFERROR(INDEX(ProjectParameterTable[值],MATCH("K_COMPLEXITY_"&amp;$F63,ProjectParameterTable[参数代码],0)),"")</f>
        <v>1</v>
      </c>
      <c r="K63" s="6" t="n">
        <f aca="false">IF(OR(NOT(ISNUMBER($I63)),NOT(ISNUMBER($J63))),"",ROUND($I63*$J63,1))</f>
        <v>2</v>
      </c>
      <c r="L63" s="6" t="n">
        <f aca="false">IF(COUNTA($A63:$B63,$D63:$H63)=0,"",IF($G63="",0,IF($G63="内部集成",ROUND(INDEX(ProjectParameterTable[值],MATCH("SIT_INT_SUPPORT",ProjectParameterTable[参数代码],0))*$J63,1),IF($G63="外部集成",ROUND(INDEX(ProjectParameterTable[值],MATCH("SIT_EXT_SUPPORT",ProjectParameterTable[参数代码],0))*$J63,1),""))))</f>
        <v>0</v>
      </c>
      <c r="M63" s="5" t="str">
        <f aca="false">IF(COUNTA($A63:$B63,$D63:$H63)=0,"",IF(OR($A63="",$B63="",$C63="",$E63="",$F63=""),"必填项缺失",IF(SUMPRODUCT(--(TaskTable[任务名称]=$B63))&gt;1,"任务名称重复",IF(COUNTIF(SOWStoryTable[故事],$A63)&lt;&gt;1,"所属故事未知",IF(NOT(OR($F63="S",$F63="M",$F63="L")),"复杂度非法",IF(NOT(OR($G63="",$G63="内部集成",$G63="外部集成")),"集成类型非法",IF(AND($G63&lt;&gt;"",NOT(IFERROR(INDEX(TaskStandardTable[SIT支持资格],MATCH($C63,TaskStandardTable[工作类型ID],0)),"")="PER_INTEGRATION")),"非集成任务不应填写集成类型",IF(AND($G63="",IFERROR(INDEX(TaskStandardTable[SIT支持资格],MATCH($C63,TaskStandardTable[工作类型ID],0)),"")="PER_INTEGRATION"),"集成类型缺失",IF(ISNUMBER($I63),"通过","工作类型与工作方式不适用")))))))))</f>
        <v>通过</v>
      </c>
    </row>
  </sheetData>
  <sheetProtection sheet="true" formatColumns="false" formatRows="false" insertRows="false" deleteRows="false" sort="false" autoFilter="false"/>
  <mergeCells count="2">
    <mergeCell ref="A1:M1"/>
    <mergeCell ref="A2:M2"/>
  </mergeCells>
  <conditionalFormatting sqref="M5:M1048576">
    <cfRule type="expression" priority="2" aboveAverage="0" equalAverage="0" bottom="0" percent="0" rank="0" text="" dxfId="4">
      <formula>AND($M5&lt;&gt;"",$M5&lt;&gt;"通过")</formula>
    </cfRule>
  </conditionalFormatting>
  <dataValidations count="6">
    <dataValidation sqref="A5:A1048576" showDropDown="0" showInputMessage="1" showErrorMessage="1" allowBlank="1" errorTitle="值无效" error="请选择受支持的值；粘贴数据后仍需运行补全 Skill 严格校验。" promptTitle="请选择" prompt="请从下拉选项中选择。" type="list" errorStyle="stop">
      <formula1>=INDIRECT("SOWStoryTable[故事]")</formula1>
    </dataValidation>
    <dataValidation sqref="D5:D1048576" showDropDown="0" showInputMessage="1" showErrorMessage="1" allowBlank="1" errorTitle="工作类型名称无效" error="请从工作类型名称下拉选择目录内的名称。" promptTitle="选择工作类型名称" prompt="直接选择名称，系统自动匹配内部工作类型 ID；切换后请复核工作方式与复杂度。" type="list" errorStyle="stop">
      <formula1>=INDIRECT("TaskStandardTable[工作类型名称]")</formula1>
    </dataValidation>
    <dataValidation sqref="E5:E1048576" showDropDown="0" showInputMessage="1" showErrorMessage="1" allowBlank="1" errorTitle="值无效" error="请选择受支持的值；粘贴数据后仍需运行补全 Skill 严格校验。" promptTitle="请选择" prompt="请从下拉选项中选择。" type="list" errorStyle="stop">
      <formula1>"新建,调整,接入复用"</formula1>
    </dataValidation>
    <dataValidation sqref="F5:F1048576" showDropDown="0" showInputMessage="1" showErrorMessage="1" allowBlank="1" errorTitle="值无效" error="请选择受支持的值；粘贴数据后仍需运行补全 Skill 严格校验。" promptTitle="请选择" prompt="请从下拉选项中选择。" type="list" errorStyle="stop">
      <formula1>"S,M,L"</formula1>
    </dataValidation>
    <dataValidation sqref="G5:G1048576" showDropDown="0" showInputMessage="1" showErrorMessage="1" allowBlank="1" errorTitle="集成类型不适用" error="请先选择集成类工作类型，或清空本列。" promptTitle="集成类型" prompt="仅集成类工作类型可选内部集成或外部集成；其他任务留空。" type="list" errorStyle="stop">
      <formula1>IF(IFERROR(INDEX(INDIRECT("TaskStandardTable[SIT支持资格]"),MATCH($C5,INDIRECT("TaskStandardTable[工作类型ID]"),0)),"")="PER_INTEGRATION",AiSowIntegrationTypes,AiSowNoIntegrationType)</formula1>
    </dataValidation>
    <dataValidation sqref="B5:B1048576" showDropDown="0" showInputMessage="0" showErrorMessage="1" allowBlank="1" errorTitle="任务名称重复" error="任务名称必须全表唯一，请补充业务对象或集成方向。" type="custom" errorStyle="stop">
      <formula1>COUNTIF($B:$B,"="&amp;SUBSTITUTE(SUBSTITUTE(SUBSTITUTE(B5,"~","~~"),"*","~*"),"?","~?"))=1</formula1>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100"/>
  </cols>
  <sheetData>
    <row r="1" customFormat="false" ht="30" hidden="false" customHeight="true" outlineLevel="0" collapsed="false">
      <c r="A1" s="1" t="s">
        <v>250</v>
      </c>
      <c r="B1" s="1"/>
      <c r="C1" s="1"/>
    </row>
    <row r="2" customFormat="false" ht="36" hidden="false" customHeight="true" outlineLevel="0" collapsed="false">
      <c r="A2" s="2" t="s">
        <v>251</v>
      </c>
      <c r="B2" s="2"/>
      <c r="C2" s="2"/>
    </row>
    <row r="4" customFormat="false" ht="30" hidden="false" customHeight="true" outlineLevel="0" collapsed="false">
      <c r="A4" s="3" t="s">
        <v>252</v>
      </c>
      <c r="B4" s="3" t="s">
        <v>253</v>
      </c>
    </row>
    <row r="5" customFormat="false" ht="42" hidden="false" customHeight="true" outlineLevel="0" collapsed="false">
      <c r="A5" s="7" t="s">
        <v>254</v>
      </c>
      <c r="B5" s="8" t="n">
        <f aca="false">SUM(TaskTable[任务人天])</f>
        <v>97.3</v>
      </c>
    </row>
    <row r="6" customFormat="false" ht="42" hidden="false" customHeight="true" outlineLevel="0" collapsed="false">
      <c r="A6" s="7" t="s">
        <v>88</v>
      </c>
      <c r="B6" s="8" t="n">
        <f aca="false">CEILING(SUMIFS(TaskTable[SIT支持人天],TaskTable[集成类型],"内部集成"),INDEX(ProjectParameterTable[值],MATCH("ROUND_PROJECT",ProjectParameterTable[参数代码],0)))+CEILING(SUMIFS(TaskTable[SIT支持人天],TaskTable[集成类型],"外部集成"),INDEX(ProjectParameterTable[值],MATCH("ROUND_PROJECT",ProjectParameterTable[参数代码],0)))</f>
        <v>3.5</v>
      </c>
    </row>
    <row r="7" customFormat="false" ht="42" hidden="false" customHeight="true" outlineLevel="0" collapsed="false">
      <c r="A7" s="7" t="s">
        <v>255</v>
      </c>
      <c r="B7" s="8" t="n">
        <f aca="false">CEILING(SUMPRODUCT((SOWStoryTable[UAT适用]="是")*SUMIF(TaskTable[所属故事],SOWStoryTable[故事],TaskTable[任务人天]))*INDEX(ProjectParameterTable[值],MATCH("K_UAT",ProjectParameterTable[参数代码],0)),INDEX(ProjectParameterTable[值],MATCH("ROUND_PROJECT",ProjectParameterTable[参数代码],0)))</f>
        <v>3</v>
      </c>
    </row>
    <row r="8" customFormat="false" ht="42" hidden="false" customHeight="true" outlineLevel="0" collapsed="false">
      <c r="A8" s="7" t="s">
        <v>256</v>
      </c>
      <c r="B8" s="8" t="n">
        <f aca="false">B5+B6+B7</f>
        <v>103.8</v>
      </c>
    </row>
    <row r="11" customFormat="false" ht="30" hidden="false" customHeight="true" outlineLevel="0" collapsed="false">
      <c r="A11" s="9" t="s">
        <v>257</v>
      </c>
      <c r="B11" s="9"/>
      <c r="C11" s="10" t="s">
        <v>258</v>
      </c>
    </row>
    <row r="12" customFormat="false" ht="28" hidden="false" customHeight="true" outlineLevel="0" collapsed="false">
      <c r="A12" s="11" t="s">
        <v>259</v>
      </c>
      <c r="B12" s="11" t="s">
        <v>260</v>
      </c>
      <c r="C12" s="11" t="s">
        <v>261</v>
      </c>
    </row>
    <row r="13" customFormat="false" ht="37" hidden="false" customHeight="true" outlineLevel="0" collapsed="false">
      <c r="A13" s="12" t="str">
        <f aca="false">INDEX(ProjectParameterTable[名称],MATCH("K_COMPLEXITY_S",ProjectParameterTable[参数代码],0))</f>
        <v>S档复杂度系数</v>
      </c>
      <c r="B13" s="13" t="n">
        <f aca="false">INDEX(ProjectParameterTable[值],MATCH("K_COMPLEXITY_S",ProjectParameterTable[参数代码],0))</f>
        <v>0.6</v>
      </c>
      <c r="C13" s="12" t="str">
        <f aca="false">INDEX(ProjectParameterTable[单位],MATCH("K_COMPLEXITY_S",ProjectParameterTable[参数代码],0))&amp;"；"&amp;INDEX(ProjectParameterTable[适用范围],MATCH("K_COMPLEXITY_S",ProjectParameterTable[参数代码],0))&amp;"；"&amp;INDEX(ProjectParameterTable[验证状态/说明],MATCH("K_COMPLEXITY_S",ProjectParameterTable[参数代码],0))</f>
        <v>倍；任务人天；固定规则</v>
      </c>
    </row>
    <row r="14" customFormat="false" ht="37" hidden="false" customHeight="true" outlineLevel="0" collapsed="false">
      <c r="A14" s="14" t="str">
        <f aca="false">INDEX(ProjectParameterTable[名称],MATCH("K_COMPLEXITY_M",ProjectParameterTable[参数代码],0))</f>
        <v>M档复杂度系数</v>
      </c>
      <c r="B14" s="15" t="n">
        <f aca="false">INDEX(ProjectParameterTable[值],MATCH("K_COMPLEXITY_M",ProjectParameterTable[参数代码],0))</f>
        <v>1</v>
      </c>
      <c r="C14" s="14" t="str">
        <f aca="false">INDEX(ProjectParameterTable[单位],MATCH("K_COMPLEXITY_M",ProjectParameterTable[参数代码],0))&amp;"；"&amp;INDEX(ProjectParameterTable[适用范围],MATCH("K_COMPLEXITY_M",ProjectParameterTable[参数代码],0))&amp;"；"&amp;INDEX(ProjectParameterTable[验证状态/说明],MATCH("K_COMPLEXITY_M",ProjectParameterTable[参数代码],0))</f>
        <v>倍；任务人天；固定规则</v>
      </c>
    </row>
    <row r="15" customFormat="false" ht="37" hidden="false" customHeight="true" outlineLevel="0" collapsed="false">
      <c r="A15" s="12" t="str">
        <f aca="false">INDEX(ProjectParameterTable[名称],MATCH("K_COMPLEXITY_L",ProjectParameterTable[参数代码],0))</f>
        <v>L档复杂度系数</v>
      </c>
      <c r="B15" s="13" t="n">
        <f aca="false">INDEX(ProjectParameterTable[值],MATCH("K_COMPLEXITY_L",ProjectParameterTable[参数代码],0))</f>
        <v>1.5</v>
      </c>
      <c r="C15" s="12" t="str">
        <f aca="false">INDEX(ProjectParameterTable[单位],MATCH("K_COMPLEXITY_L",ProjectParameterTable[参数代码],0))&amp;"；"&amp;INDEX(ProjectParameterTable[适用范围],MATCH("K_COMPLEXITY_L",ProjectParameterTable[参数代码],0))&amp;"；"&amp;INDEX(ProjectParameterTable[验证状态/说明],MATCH("K_COMPLEXITY_L",ProjectParameterTable[参数代码],0))</f>
        <v>倍；任务人天；固定规则</v>
      </c>
    </row>
    <row r="16" customFormat="false" ht="37" hidden="false" customHeight="true" outlineLevel="0" collapsed="false">
      <c r="A16" s="14" t="str">
        <f aca="false">INDEX(ProjectParameterTable[名称],MATCH("K_UAT",ProjectParameterTable[参数代码],0))</f>
        <v>UAT支持系数</v>
      </c>
      <c r="B16" s="16" t="n">
        <f aca="false">INDEX(ProjectParameterTable[值],MATCH("K_UAT",ProjectParameterTable[参数代码],0))</f>
        <v>0.05</v>
      </c>
      <c r="C16" s="14" t="str">
        <f aca="false">INDEX(ProjectParameterTable[单位],MATCH("K_UAT",ProjectParameterTable[参数代码],0))&amp;"；"&amp;INDEX(ProjectParameterTable[适用范围],MATCH("K_UAT",ProjectParameterTable[参数代码],0))&amp;"；"&amp;INDEX(ProjectParameterTable[验证状态/说明],MATCH("K_UAT",ProjectParameterTable[参数代码],0))</f>
        <v>%；显式标记 UAT 适用的故事直接人天；待样本校准</v>
      </c>
    </row>
    <row r="17" customFormat="false" ht="37" hidden="false" customHeight="true" outlineLevel="0" collapsed="false">
      <c r="A17" s="12" t="str">
        <f aca="false">INDEX(ProjectParameterTable[名称],MATCH("SIT_INT_SUPPORT",ProjectParameterTable[参数代码],0))</f>
        <v>内部集成点SIT支持</v>
      </c>
      <c r="B17" s="13" t="n">
        <f aca="false">INDEX(ProjectParameterTable[值],MATCH("SIT_INT_SUPPORT",ProjectParameterTable[参数代码],0))</f>
        <v>0.5</v>
      </c>
      <c r="C17" s="12" t="str">
        <f aca="false">INDEX(ProjectParameterTable[单位],MATCH("SIT_INT_SUPPORT",ProjectParameterTable[参数代码],0))&amp;"；"&amp;INDEX(ProjectParameterTable[适用范围],MATCH("SIT_INT_SUPPORT",ProjectParameterTable[参数代码],0))&amp;"；"&amp;INDEX(ProjectParameterTable[验证状态/说明],MATCH("SIT_INT_SUPPORT",ProjectParameterTable[参数代码],0))</f>
        <v>人天/点；开发交付估算；待样本校准</v>
      </c>
    </row>
    <row r="18" customFormat="false" ht="37" hidden="false" customHeight="true" outlineLevel="0" collapsed="false">
      <c r="A18" s="14" t="str">
        <f aca="false">INDEX(ProjectParameterTable[名称],MATCH("SIT_EXT_SUPPORT",ProjectParameterTable[参数代码],0))</f>
        <v>外部集成点SIT支持</v>
      </c>
      <c r="B18" s="15" t="n">
        <f aca="false">INDEX(ProjectParameterTable[值],MATCH("SIT_EXT_SUPPORT",ProjectParameterTable[参数代码],0))</f>
        <v>1</v>
      </c>
      <c r="C18" s="14" t="str">
        <f aca="false">INDEX(ProjectParameterTable[单位],MATCH("SIT_EXT_SUPPORT",ProjectParameterTable[参数代码],0))&amp;"；"&amp;INDEX(ProjectParameterTable[适用范围],MATCH("SIT_EXT_SUPPORT",ProjectParameterTable[参数代码],0))&amp;"；"&amp;INDEX(ProjectParameterTable[验证状态/说明],MATCH("SIT_EXT_SUPPORT",ProjectParameterTable[参数代码],0))</f>
        <v>人天/点；开发交付估算；待样本校准</v>
      </c>
    </row>
    <row r="19" customFormat="false" ht="37" hidden="false" customHeight="true" outlineLevel="0" collapsed="false">
      <c r="A19" s="12" t="str">
        <f aca="false">INDEX(ProjectParameterTable[名称],MATCH("ROUND_STORY",ProjectParameterTable[参数代码],0))</f>
        <v>故事取整粒度</v>
      </c>
      <c r="B19" s="13" t="n">
        <f aca="false">INDEX(ProjectParameterTable[值],MATCH("ROUND_STORY",ProjectParameterTable[参数代码],0))</f>
        <v>0.5</v>
      </c>
      <c r="C19" s="12" t="str">
        <f aca="false">INDEX(ProjectParameterTable[单位],MATCH("ROUND_STORY",ProjectParameterTable[参数代码],0))&amp;"；"&amp;INDEX(ProjectParameterTable[适用范围],MATCH("ROUND_STORY",ProjectParameterTable[参数代码],0))&amp;"；"&amp;INDEX(ProjectParameterTable[验证状态/说明],MATCH("ROUND_STORY",ProjectParameterTable[参数代码],0))</f>
        <v>人天；任务合计后向上取整；固定规则</v>
      </c>
    </row>
    <row r="20" customFormat="false" ht="37" hidden="false" customHeight="true" outlineLevel="0" collapsed="false">
      <c r="A20" s="14" t="str">
        <f aca="false">INDEX(ProjectParameterTable[名称],MATCH("ROUND_PROJECT",ProjectParameterTable[参数代码],0))</f>
        <v>项目级取整粒度</v>
      </c>
      <c r="B20" s="15" t="n">
        <f aca="false">INDEX(ProjectParameterTable[值],MATCH("ROUND_PROJECT",ProjectParameterTable[参数代码],0))</f>
        <v>0.5</v>
      </c>
      <c r="C20" s="14" t="str">
        <f aca="false">INDEX(ProjectParameterTable[单位],MATCH("ROUND_PROJECT",ProjectParameterTable[参数代码],0))&amp;"；"&amp;INDEX(ProjectParameterTable[适用范围],MATCH("ROUND_PROJECT",ProjectParameterTable[参数代码],0))&amp;"；"&amp;INDEX(ProjectParameterTable[验证状态/说明],MATCH("ROUND_PROJECT",ProjectParameterTable[参数代码],0))</f>
        <v>人天；SIT、UAT分别向上取整；总计不再次取整；固定规则</v>
      </c>
    </row>
    <row r="22" customFormat="false" ht="30" hidden="false" customHeight="true" outlineLevel="0" collapsed="false">
      <c r="A22" s="17" t="s">
        <v>262</v>
      </c>
      <c r="B22" s="17"/>
      <c r="C22" s="17"/>
    </row>
  </sheetData>
  <sheetProtection sheet="true"/>
  <mergeCells count="4">
    <mergeCell ref="A1:C1"/>
    <mergeCell ref="A2:C2"/>
    <mergeCell ref="A11:B11"/>
    <mergeCell ref="A22:C22"/>
  </mergeCells>
  <hyperlinks>
    <hyperlink ref="C11" location="'90-估算标准'!AM1" display="返回工作类型 →"/>
  </hyperlink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D92"/>
  <sheetViews>
    <sheetView showFormulas="false" showGridLines="false" showRowColHeaders="true" showZeros="true" rightToLeft="false" tabSelected="true" showOutlineSymbols="true" defaultGridColor="true" view="normal" topLeftCell="AM1" colorId="64" zoomScale="85" zoomScaleNormal="85" zoomScalePageLayoutView="100" workbookViewId="0">
      <pane xSplit="0" ySplit="4" topLeftCell="AM5" activePane="bottomLeft" state="frozen"/>
      <selection pane="topLeft" activeCell="AM1" activeCellId="0" sqref="AM1"/>
      <selection pane="bottomLeft" activeCell="AM5" activeCellId="0" sqref="AM5"/>
    </sheetView>
  </sheetViews>
  <sheetFormatPr defaultColWidth="8.6796875" defaultRowHeight="15" customHeight="false" zeroHeight="false" outlineLevelRow="0" outlineLevelCol="1"/>
  <cols>
    <col collapsed="false" customWidth="true" hidden="true" outlineLevel="0" max="1" min="1" style="0" width="10"/>
    <col collapsed="false" customWidth="true" hidden="true" outlineLevel="0" max="2" min="2" style="0" width="18"/>
    <col collapsed="false" customWidth="true" hidden="true" outlineLevel="0" max="3" min="3" style="0" width="26"/>
    <col collapsed="false" customWidth="true" hidden="true" outlineLevel="0" max="4" min="4" style="0" width="28"/>
    <col collapsed="false" customWidth="true" hidden="true" outlineLevel="0" max="5" min="5" style="0" width="20"/>
    <col collapsed="false" customWidth="true" hidden="true" outlineLevel="0" max="6" min="6" style="0" width="38"/>
    <col collapsed="false" customWidth="true" hidden="true" outlineLevel="0" max="9" min="7" style="0" width="42"/>
    <col collapsed="false" customWidth="true" hidden="true" outlineLevel="0" max="10" min="10" style="0" width="11"/>
    <col collapsed="false" customWidth="true" hidden="true" outlineLevel="0" max="11" min="11" style="0" width="14"/>
    <col collapsed="false" customWidth="true" hidden="true" outlineLevel="0" max="12" min="12" style="0" width="46"/>
    <col collapsed="false" customWidth="true" hidden="true" outlineLevel="0" max="13" min="13" style="0" width="11"/>
    <col collapsed="false" customWidth="true" hidden="true" outlineLevel="0" max="14" min="14" style="0" width="14"/>
    <col collapsed="false" customWidth="true" hidden="true" outlineLevel="0" max="15" min="15" style="0" width="46"/>
    <col collapsed="false" customWidth="true" hidden="true" outlineLevel="0" max="16" min="16" style="0" width="14"/>
    <col collapsed="false" customWidth="true" hidden="true" outlineLevel="0" max="17" min="17" style="0" width="16"/>
    <col collapsed="false" customWidth="true" hidden="true" outlineLevel="0" max="18" min="18" style="0" width="46"/>
    <col collapsed="false" customWidth="true" hidden="true" outlineLevel="0" max="19" min="19" style="0" width="34"/>
    <col collapsed="false" customWidth="true" hidden="true" outlineLevel="0" max="21" min="20" style="0" width="46"/>
    <col collapsed="false" customWidth="true" hidden="true" outlineLevel="0" max="23" min="22" style="0" width="48"/>
    <col collapsed="false" customWidth="true" hidden="true" outlineLevel="0" max="24" min="24" style="0" width="46"/>
    <col collapsed="false" customWidth="true" hidden="true" outlineLevel="0" max="25" min="25" style="0" width="34"/>
    <col collapsed="false" customWidth="true" hidden="true" outlineLevel="0" max="27" min="26" style="0" width="46"/>
    <col collapsed="false" customWidth="true" hidden="true" outlineLevel="0" max="28" min="28" style="0" width="18"/>
    <col collapsed="false" customWidth="true" hidden="true" outlineLevel="0" max="29" min="29" style="0" width="12"/>
    <col collapsed="false" customWidth="true" hidden="true" outlineLevel="0" max="30" min="30" style="0" width="14"/>
    <col collapsed="false" customWidth="true" hidden="true" outlineLevel="0" max="31" min="31" style="0" width="24"/>
    <col collapsed="false" customWidth="true" hidden="true" outlineLevel="0" max="32" min="32" style="0" width="3"/>
    <col collapsed="false" customWidth="true" hidden="true" outlineLevel="0" max="33" min="33" style="0" width="18"/>
    <col collapsed="false" customWidth="true" hidden="true" outlineLevel="0" max="34" min="34" style="0" width="24"/>
    <col collapsed="false" customWidth="true" hidden="true" outlineLevel="0" max="36" min="35" style="0" width="14"/>
    <col collapsed="false" customWidth="true" hidden="true" outlineLevel="0" max="37" min="37" style="0" width="32"/>
    <col collapsed="false" customWidth="true" hidden="true" outlineLevel="0" max="38" min="38" style="0" width="20"/>
    <col collapsed="false" customWidth="true" hidden="false" outlineLevel="0" max="39" min="39" style="0" width="25"/>
    <col collapsed="false" customWidth="true" hidden="false" outlineLevel="0" max="40" min="40" style="0" width="13"/>
    <col collapsed="false" customWidth="true" hidden="false" outlineLevel="0" max="41" min="41" style="0" width="27"/>
    <col collapsed="false" customWidth="true" hidden="false" outlineLevel="0" max="42" min="42" style="0" width="22"/>
    <col collapsed="false" customWidth="true" hidden="false" outlineLevel="0" max="45" min="43" style="0" width="9"/>
    <col collapsed="false" customWidth="true" hidden="false" outlineLevel="0" max="46" min="46" style="0" width="35"/>
    <col collapsed="false" customWidth="true" hidden="false" outlineLevel="0" max="47" min="47" style="0" width="64"/>
    <col collapsed="false" customWidth="true" hidden="false" outlineLevel="0" max="48" min="48" style="0" width="53"/>
    <col collapsed="false" customWidth="true" hidden="true" outlineLevel="1" max="49" min="49" style="0" width="34"/>
    <col collapsed="false" customWidth="true" hidden="true" outlineLevel="1" max="50" min="50" style="0" width="60"/>
    <col collapsed="false" customWidth="true" hidden="true" outlineLevel="1" max="51" min="51" style="0" width="63"/>
    <col collapsed="false" customWidth="true" hidden="true" outlineLevel="1" max="52" min="52" style="0" width="80"/>
    <col collapsed="false" customWidth="true" hidden="true" outlineLevel="1" max="53" min="53" style="0" width="82"/>
    <col collapsed="false" customWidth="true" hidden="true" outlineLevel="1" max="54" min="54" style="0" width="72"/>
    <col collapsed="false" customWidth="true" hidden="true" outlineLevel="0" max="56" min="56" style="0" width="13"/>
  </cols>
  <sheetData>
    <row r="1" customFormat="false" ht="32" hidden="false" customHeight="true" outlineLevel="0" collapsed="false">
      <c r="A1" s="1" t="s">
        <v>263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8" t="s">
        <v>264</v>
      </c>
      <c r="AN1" s="18"/>
      <c r="AO1" s="18"/>
      <c r="AP1" s="18"/>
      <c r="AQ1" s="18"/>
      <c r="AR1" s="18"/>
      <c r="AS1" s="18"/>
      <c r="AT1" s="18"/>
      <c r="AU1" s="19" t="s">
        <v>265</v>
      </c>
      <c r="AV1" s="19"/>
    </row>
    <row r="2" customFormat="false" ht="30" hidden="false" customHeight="true" outlineLevel="0" collapsed="false">
      <c r="A2" s="20" t="s">
        <v>266</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G2" s="20" t="s">
        <v>267</v>
      </c>
      <c r="AH2" s="20"/>
      <c r="AI2" s="20"/>
      <c r="AJ2" s="20"/>
      <c r="AK2" s="20"/>
      <c r="AL2" s="20"/>
      <c r="AM2" s="21" t="s">
        <v>268</v>
      </c>
      <c r="AN2" s="21"/>
      <c r="AO2" s="21"/>
      <c r="AP2" s="21"/>
      <c r="AQ2" s="21"/>
      <c r="AR2" s="21"/>
      <c r="AS2" s="21"/>
      <c r="AT2" s="21"/>
      <c r="AU2" s="21"/>
      <c r="AV2" s="21"/>
    </row>
    <row r="3" customFormat="false" ht="25" hidden="false" customHeight="true" outlineLevel="0" collapsed="false">
      <c r="AM3" s="22" t="s">
        <v>269</v>
      </c>
      <c r="AN3" s="22"/>
      <c r="AO3" s="22"/>
      <c r="AP3" s="22"/>
      <c r="AQ3" s="22" t="s">
        <v>270</v>
      </c>
      <c r="AR3" s="22"/>
      <c r="AS3" s="22"/>
      <c r="AT3" s="22" t="s">
        <v>271</v>
      </c>
      <c r="AU3" s="22"/>
      <c r="AV3" s="22"/>
      <c r="AW3" s="22" t="s">
        <v>272</v>
      </c>
      <c r="AX3" s="22"/>
      <c r="AY3" s="22"/>
      <c r="AZ3" s="22"/>
      <c r="BA3" s="22"/>
      <c r="BB3" s="22"/>
    </row>
    <row r="4" customFormat="false" ht="31" hidden="false" customHeight="true" outlineLevel="0" collapsed="false">
      <c r="A4" s="23" t="s">
        <v>273</v>
      </c>
      <c r="B4" s="23" t="s">
        <v>274</v>
      </c>
      <c r="C4" s="23" t="s">
        <v>80</v>
      </c>
      <c r="D4" s="23" t="s">
        <v>81</v>
      </c>
      <c r="E4" s="23" t="s">
        <v>275</v>
      </c>
      <c r="F4" s="23" t="s">
        <v>276</v>
      </c>
      <c r="G4" s="23" t="s">
        <v>277</v>
      </c>
      <c r="H4" s="23" t="s">
        <v>278</v>
      </c>
      <c r="I4" s="23" t="s">
        <v>279</v>
      </c>
      <c r="J4" s="23" t="s">
        <v>280</v>
      </c>
      <c r="K4" s="23" t="s">
        <v>281</v>
      </c>
      <c r="L4" s="23" t="s">
        <v>282</v>
      </c>
      <c r="M4" s="23" t="s">
        <v>283</v>
      </c>
      <c r="N4" s="23" t="s">
        <v>284</v>
      </c>
      <c r="O4" s="23" t="s">
        <v>285</v>
      </c>
      <c r="P4" s="23" t="s">
        <v>286</v>
      </c>
      <c r="Q4" s="23" t="s">
        <v>287</v>
      </c>
      <c r="R4" s="23" t="s">
        <v>288</v>
      </c>
      <c r="S4" s="23" t="s">
        <v>289</v>
      </c>
      <c r="T4" s="23" t="s">
        <v>290</v>
      </c>
      <c r="U4" s="23" t="s">
        <v>291</v>
      </c>
      <c r="V4" s="23" t="s">
        <v>292</v>
      </c>
      <c r="W4" s="23" t="s">
        <v>293</v>
      </c>
      <c r="X4" s="23" t="s">
        <v>294</v>
      </c>
      <c r="Y4" s="23" t="s">
        <v>295</v>
      </c>
      <c r="Z4" s="23" t="s">
        <v>296</v>
      </c>
      <c r="AA4" s="23" t="s">
        <v>297</v>
      </c>
      <c r="AB4" s="23" t="s">
        <v>298</v>
      </c>
      <c r="AC4" s="23" t="s">
        <v>299</v>
      </c>
      <c r="AD4" s="23" t="s">
        <v>300</v>
      </c>
      <c r="AE4" s="23" t="s">
        <v>301</v>
      </c>
      <c r="AG4" s="3" t="s">
        <v>302</v>
      </c>
      <c r="AH4" s="3" t="s">
        <v>303</v>
      </c>
      <c r="AI4" s="3" t="s">
        <v>304</v>
      </c>
      <c r="AJ4" s="3" t="s">
        <v>305</v>
      </c>
      <c r="AK4" s="3" t="s">
        <v>306</v>
      </c>
      <c r="AL4" s="3" t="s">
        <v>307</v>
      </c>
      <c r="AM4" s="24" t="s">
        <v>308</v>
      </c>
      <c r="AN4" s="24" t="s">
        <v>274</v>
      </c>
      <c r="AO4" s="24" t="s">
        <v>309</v>
      </c>
      <c r="AP4" s="24" t="s">
        <v>275</v>
      </c>
      <c r="AQ4" s="24" t="s">
        <v>310</v>
      </c>
      <c r="AR4" s="24" t="s">
        <v>311</v>
      </c>
      <c r="AS4" s="24" t="s">
        <v>312</v>
      </c>
      <c r="AT4" s="24" t="s">
        <v>313</v>
      </c>
      <c r="AU4" s="24" t="s">
        <v>314</v>
      </c>
      <c r="AV4" s="24" t="s">
        <v>279</v>
      </c>
      <c r="AW4" s="24" t="s">
        <v>289</v>
      </c>
      <c r="AX4" s="24" t="s">
        <v>315</v>
      </c>
      <c r="AY4" s="24" t="s">
        <v>316</v>
      </c>
      <c r="AZ4" s="24" t="s">
        <v>317</v>
      </c>
      <c r="BA4" s="24" t="s">
        <v>318</v>
      </c>
      <c r="BB4" s="24" t="s">
        <v>294</v>
      </c>
    </row>
    <row r="5" customFormat="false" ht="66" hidden="false" customHeight="true" outlineLevel="0" collapsed="false">
      <c r="A5" s="25" t="n">
        <v>1</v>
      </c>
      <c r="B5" s="26" t="s">
        <v>319</v>
      </c>
      <c r="C5" s="25" t="s">
        <v>320</v>
      </c>
      <c r="D5" s="26" t="s">
        <v>245</v>
      </c>
      <c r="E5" s="26" t="s">
        <v>321</v>
      </c>
      <c r="F5" s="26" t="s">
        <v>322</v>
      </c>
      <c r="G5" s="26" t="s">
        <v>323</v>
      </c>
      <c r="H5" s="26" t="s">
        <v>324</v>
      </c>
      <c r="I5" s="26" t="s">
        <v>325</v>
      </c>
      <c r="J5" s="27" t="b">
        <f aca="false">TRUE()</f>
        <v>1</v>
      </c>
      <c r="K5" s="28" t="n">
        <v>1</v>
      </c>
      <c r="L5" s="26" t="s">
        <v>326</v>
      </c>
      <c r="M5" s="27" t="b">
        <f aca="false">TRUE()</f>
        <v>1</v>
      </c>
      <c r="N5" s="28" t="n">
        <v>1</v>
      </c>
      <c r="O5" s="29" t="s">
        <v>327</v>
      </c>
      <c r="P5" s="30" t="b">
        <f aca="false">FALSE()</f>
        <v>0</v>
      </c>
      <c r="Q5" s="31"/>
      <c r="R5" s="29"/>
      <c r="S5" s="29" t="s">
        <v>328</v>
      </c>
      <c r="T5" s="29" t="s">
        <v>329</v>
      </c>
      <c r="U5" s="29" t="s">
        <v>330</v>
      </c>
      <c r="V5" s="29" t="s">
        <v>331</v>
      </c>
      <c r="W5" s="29" t="s">
        <v>332</v>
      </c>
      <c r="X5" s="29" t="s">
        <v>333</v>
      </c>
      <c r="Y5" s="29"/>
      <c r="Z5" s="29" t="s">
        <v>334</v>
      </c>
      <c r="AA5" s="29" t="s">
        <v>335</v>
      </c>
      <c r="AB5" s="32" t="s">
        <v>336</v>
      </c>
      <c r="AC5" s="32" t="s">
        <v>337</v>
      </c>
      <c r="AD5" s="32" t="s">
        <v>338</v>
      </c>
      <c r="AE5" s="29" t="s">
        <v>339</v>
      </c>
      <c r="AG5" s="33" t="s">
        <v>340</v>
      </c>
      <c r="AH5" s="33" t="s">
        <v>341</v>
      </c>
      <c r="AI5" s="33" t="n">
        <v>0.6</v>
      </c>
      <c r="AJ5" s="33" t="s">
        <v>342</v>
      </c>
      <c r="AK5" s="33" t="s">
        <v>87</v>
      </c>
      <c r="AL5" s="33" t="s">
        <v>343</v>
      </c>
      <c r="AM5" s="34" t="s">
        <v>320</v>
      </c>
      <c r="AN5" s="34" t="str">
        <f aca="false">INDEX(TaskStandardTable[分类],MATCH($AM5,TaskStandardTable[工作类型ID],0))</f>
        <v>分析与设计</v>
      </c>
      <c r="AO5" s="35" t="str">
        <f aca="false">INDEX(TaskStandardTable[工作类型名称],MATCH($AM5,TaskStandardTable[工作类型ID],0))</f>
        <v>需求与变更技术影响分析</v>
      </c>
      <c r="AP5" s="34" t="str">
        <f aca="false">INDEX(TaskStandardTable[计量单位],MATCH($AM5,TaskStandardTable[工作类型ID],0))</f>
        <v>每专题</v>
      </c>
      <c r="AQ5" s="36" t="n">
        <f aca="false">IF(INDEX(TaskStandardTable[新建适用],MATCH($AM5,TaskStandardTable[工作类型ID],0)),INDEX(TaskStandardTable[新建M档人天],MATCH($AM5,TaskStandardTable[工作类型ID],0)),"-")</f>
        <v>1</v>
      </c>
      <c r="AR5" s="36" t="n">
        <f aca="false">IF(INDEX(TaskStandardTable[调整适用],MATCH($AM5,TaskStandardTable[工作类型ID],0)),INDEX(TaskStandardTable[调整M档人天],MATCH($AM5,TaskStandardTable[工作类型ID],0)),"-")</f>
        <v>1</v>
      </c>
      <c r="AS5" s="36" t="str">
        <f aca="false">IF(INDEX(TaskStandardTable[接入复用适用],MATCH($AM5,TaskStandardTable[工作类型ID],0)),INDEX(TaskStandardTable[接入复用M档人天],MATCH($AM5,TaskStandardTable[工作类型ID],0)),"-")</f>
        <v>-</v>
      </c>
      <c r="AT5" s="34" t="str">
        <f aca="false">INDEX(TaskStandardTable[标准交付物],MATCH($AM5,TaskStandardTable[工作类型ID],0))</f>
        <v>影响范围、技术风险、建议及结论</v>
      </c>
      <c r="AU5" s="34" t="str">
        <f aca="false">IF(INDEX(TaskStandardTable[新建适用],MATCH($AM5,TaskStandardTable[工作类型ID],0)),"新建："&amp;INDEX(TaskStandardTable[新建完成标准],MATCH($AM5,TaskStandardTable[工作类型ID],0)),"")&amp;IF(INDEX(TaskStandardTable[调整适用],MATCH($AM5,TaskStandardTable[工作类型ID],0)),IF(OR(INDEX(TaskStandardTable[新建适用],MATCH($AM5,TaskStandardTable[工作类型ID],0))),CHAR(10),"")&amp;"调整："&amp;INDEX(TaskStandardTable[调整完成标准],MATCH($AM5,TaskStandardTable[工作类型ID],0)),"")&amp;IF(INDEX(TaskStandardTable[接入复用适用],MATCH($AM5,TaskStandardTable[工作类型ID],0)),IF(OR(INDEX(TaskStandardTable[新建适用],MATCH($AM5,TaskStandardTable[工作类型ID],0)),INDEX(TaskStandardTable[调整适用],MATCH($AM5,TaskStandardTable[工作类型ID],0))),CHAR(10),"")&amp;"接入复用："&amp;INDEX(TaskStandardTable[接入复用完成标准],MATCH($AM5,TaskStandardTable[工作类型ID],0)),"")</f>
        <v>新建：形成“影响范围、技术风险、建议及结论”并通过约定验收。
调整：重新分析既有专题中变化的起点、影响、约束或结论并完成复核。</v>
      </c>
      <c r="AV5" s="34" t="str">
        <f aca="false">INDEX(TaskStandardTable[说明],MATCH($AM5,TaskStandardTable[工作类型ID],0))</f>
        <v>普通开发思考不单列；标准调整仍需重建完整可审查结论，因此 M 档不低于新建。</v>
      </c>
      <c r="AW5" s="34" t="str">
        <f aca="false">INDEX(TaskStandardTable[主要计量维度],MATCH($AM5,TaskStandardTable[工作类型ID],0))</f>
        <v>受影响技术单元、影响点、约束、参与方</v>
      </c>
      <c r="AX5" s="34" t="str">
        <f aca="false">INDEX(TaskStandardTable[S标准],MATCH($AM5,TaskStandardTable[工作类型ID],0))</f>
        <v>1 个受影响技术单元；≤3 个影响点；1 类主要约束；单一责任方</v>
      </c>
      <c r="AY5" s="34" t="str">
        <f aca="false">INDEX(TaskStandardTable[M标准],MATCH($AM5,TaskStandardTable[工作类型ID],0))</f>
        <v>2～3 个紧密相关技术单元；4～8 个影响点；2～3 类约束；需 2 个责任方确认</v>
      </c>
      <c r="AZ5" s="34" t="str">
        <f aca="false">INDEX(TaskStandardTable[L标准],MATCH($AM5,TaskStandardTable[工作类型ID],0))</f>
        <v>4～6 个紧密相关技术单元、9～16 个影响点或 4～6 类主要约束；涉及迁移切换影响闭环、多方联合交付、高敏感数据或权限控制、受监管证据、量化服务目标或零停机</v>
      </c>
      <c r="BA5" s="34" t="str">
        <f aca="false">INDEX(TaskStandardTable[X/拆分条件],MATCH($AM5,TaskStandardTable[工作类型ID],0))</f>
        <v>技术单元 &gt;6、影响点 &gt;16、约束类别 &gt;6，包含多个可独立决策的专题，或目标、当前情况、影响边界任一不明确</v>
      </c>
      <c r="BB5" s="34" t="str">
        <f aca="false">INDEX(TaskStandardTable[模式适用说明],MATCH($AM5,TaskStandardTable[工作类型ID],0))</f>
        <v>受影响技术单元取报告中最低层且可独立部署或版本化的应用或组件；只评估应用整体时应用计 1，列出内部组件后由组件替代应用且不得重复计数。新建看首次形成的完整专题；调整只看本次结论变化及受影响分析范围</v>
      </c>
      <c r="BD5" s="37" t="s">
        <v>116</v>
      </c>
    </row>
    <row r="6" customFormat="false" ht="66" hidden="false" customHeight="true" outlineLevel="0" collapsed="false">
      <c r="A6" s="38" t="n">
        <v>2</v>
      </c>
      <c r="B6" s="39" t="s">
        <v>319</v>
      </c>
      <c r="C6" s="38" t="s">
        <v>344</v>
      </c>
      <c r="D6" s="39" t="s">
        <v>248</v>
      </c>
      <c r="E6" s="39" t="s">
        <v>321</v>
      </c>
      <c r="F6" s="39" t="s">
        <v>345</v>
      </c>
      <c r="G6" s="39" t="s">
        <v>346</v>
      </c>
      <c r="H6" s="39" t="s">
        <v>347</v>
      </c>
      <c r="I6" s="39" t="s">
        <v>348</v>
      </c>
      <c r="J6" s="40" t="b">
        <f aca="false">TRUE()</f>
        <v>1</v>
      </c>
      <c r="K6" s="41" t="n">
        <v>2</v>
      </c>
      <c r="L6" s="39" t="s">
        <v>349</v>
      </c>
      <c r="M6" s="40" t="b">
        <f aca="false">TRUE()</f>
        <v>1</v>
      </c>
      <c r="N6" s="41" t="n">
        <v>1</v>
      </c>
      <c r="O6" s="39" t="s">
        <v>350</v>
      </c>
      <c r="P6" s="40" t="b">
        <f aca="false">FALSE()</f>
        <v>0</v>
      </c>
      <c r="Q6" s="41"/>
      <c r="R6" s="39"/>
      <c r="S6" s="39" t="s">
        <v>351</v>
      </c>
      <c r="T6" s="39" t="s">
        <v>352</v>
      </c>
      <c r="U6" s="39" t="s">
        <v>353</v>
      </c>
      <c r="V6" s="39" t="s">
        <v>354</v>
      </c>
      <c r="W6" s="39" t="s">
        <v>355</v>
      </c>
      <c r="X6" s="39" t="s">
        <v>356</v>
      </c>
      <c r="Y6" s="39"/>
      <c r="Z6" s="39" t="s">
        <v>334</v>
      </c>
      <c r="AA6" s="39" t="s">
        <v>357</v>
      </c>
      <c r="AB6" s="38" t="s">
        <v>336</v>
      </c>
      <c r="AC6" s="38" t="s">
        <v>337</v>
      </c>
      <c r="AD6" s="38" t="s">
        <v>338</v>
      </c>
      <c r="AE6" s="39" t="s">
        <v>339</v>
      </c>
      <c r="AG6" s="33" t="s">
        <v>358</v>
      </c>
      <c r="AH6" s="33" t="s">
        <v>359</v>
      </c>
      <c r="AI6" s="33" t="n">
        <v>1</v>
      </c>
      <c r="AJ6" s="33" t="s">
        <v>342</v>
      </c>
      <c r="AK6" s="33" t="s">
        <v>87</v>
      </c>
      <c r="AL6" s="33" t="s">
        <v>343</v>
      </c>
      <c r="AM6" s="42" t="s">
        <v>344</v>
      </c>
      <c r="AN6" s="42" t="str">
        <f aca="false">INDEX(TaskStandardTable[分类],MATCH($AM6,TaskStandardTable[工作类型ID],0))</f>
        <v>分析与设计</v>
      </c>
      <c r="AO6" s="43" t="str">
        <f aca="false">INDEX(TaskStandardTable[工作类型名称],MATCH($AM6,TaskStandardTable[工作类型ID],0))</f>
        <v>专项技术方案设计</v>
      </c>
      <c r="AP6" s="42" t="str">
        <f aca="false">INDEX(TaskStandardTable[计量单位],MATCH($AM6,TaskStandardTable[工作类型ID],0))</f>
        <v>每专题</v>
      </c>
      <c r="AQ6" s="44" t="n">
        <f aca="false">IF(INDEX(TaskStandardTable[新建适用],MATCH($AM6,TaskStandardTable[工作类型ID],0)),INDEX(TaskStandardTable[新建M档人天],MATCH($AM6,TaskStandardTable[工作类型ID],0)),"-")</f>
        <v>2</v>
      </c>
      <c r="AR6" s="44" t="n">
        <f aca="false">IF(INDEX(TaskStandardTable[调整适用],MATCH($AM6,TaskStandardTable[工作类型ID],0)),INDEX(TaskStandardTable[调整M档人天],MATCH($AM6,TaskStandardTable[工作类型ID],0)),"-")</f>
        <v>1</v>
      </c>
      <c r="AS6" s="44" t="str">
        <f aca="false">IF(INDEX(TaskStandardTable[接入复用适用],MATCH($AM6,TaskStandardTable[工作类型ID],0)),INDEX(TaskStandardTable[接入复用M档人天],MATCH($AM6,TaskStandardTable[工作类型ID],0)),"-")</f>
        <v>-</v>
      </c>
      <c r="AT6" s="42" t="str">
        <f aca="false">INDEX(TaskStandardTable[标准交付物],MATCH($AM6,TaskStandardTable[工作类型ID],0))</f>
        <v>通过评审的正式技术方案</v>
      </c>
      <c r="AU6" s="42" t="str">
        <f aca="false">IF(INDEX(TaskStandardTable[新建适用],MATCH($AM6,TaskStandardTable[工作类型ID],0)),"新建："&amp;INDEX(TaskStandardTable[新建完成标准],MATCH($AM6,TaskStandardTable[工作类型ID],0)),"")&amp;IF(INDEX(TaskStandardTable[调整适用],MATCH($AM6,TaskStandardTable[工作类型ID],0)),IF(OR(INDEX(TaskStandardTable[新建适用],MATCH($AM6,TaskStandardTable[工作类型ID],0))),CHAR(10),"")&amp;"调整："&amp;INDEX(TaskStandardTable[调整完成标准],MATCH($AM6,TaskStandardTable[工作类型ID],0)),"")&amp;IF(INDEX(TaskStandardTable[接入复用适用],MATCH($AM6,TaskStandardTable[工作类型ID],0)),IF(OR(INDEX(TaskStandardTable[新建适用],MATCH($AM6,TaskStandardTable[工作类型ID],0)),INDEX(TaskStandardTable[调整适用],MATCH($AM6,TaskStandardTable[工作类型ID],0))),CHAR(10),"")&amp;"接入复用："&amp;INDEX(TaskStandardTable[接入复用完成标准],MATCH($AM6,TaskStandardTable[工作类型ID],0)),"")</f>
        <v>新建：形成“通过评审的正式技术方案”并通过约定验收。
调整：完成“通过评审的正式技术方案”的目标变更和影响核验，并按交付对象性质通过评审、复核、演练或回归验证。</v>
      </c>
      <c r="AV6" s="42" t="str">
        <f aca="false">INDEX(TaskStandardTable[说明],MATCH($AM6,TaskStandardTable[工作类型ID],0))</f>
        <v>普通功能内部设计不单列。</v>
      </c>
      <c r="AW6" s="42" t="str">
        <f aca="false">INDEX(TaskStandardTable[主要计量维度],MATCH($AM6,TaskStandardTable[工作类型ID],0))</f>
        <v>方案对象、备选方案、设计视图、强约束</v>
      </c>
      <c r="AX6" s="42" t="str">
        <f aca="false">INDEX(TaskStandardTable[S标准],MATCH($AM6,TaskStandardTable[工作类型ID],0))</f>
        <v>1 个组件；1～2 个明确方案；≤2 个设计视图；约束常规</v>
      </c>
      <c r="AY6" s="42" t="str">
        <f aca="false">INDEX(TaskStandardTable[M标准],MATCH($AM6,TaskStandardTable[工作类型ID],0))</f>
        <v>2～4 个紧密相关组件；3 个方案；3～5 个设计视图；含常规安全或运维约束</v>
      </c>
      <c r="AZ6" s="42" t="str">
        <f aca="false">INDEX(TaskStandardTable[L标准],MATCH($AM6,TaskStandardTable[工作类型ID],0))</f>
        <v>5～8 个紧密相关组件、4～6 个方案或 6～10 个设计视图；涉及迁移切换实施方案，或零停机、受监管证据、多方联合交付</v>
      </c>
      <c r="BA6" s="42" t="str">
        <f aca="false">INDEX(TaskStandardTable[X/拆分条件],MATCH($AM6,TaskStandardTable[工作类型ID],0))</f>
        <v>组件 &gt;8、方案 &gt;6、视图 &gt;10，包含多个可独立批准的方案主题，或关键需求、起点、决策权未明确</v>
      </c>
      <c r="BB6" s="42" t="str">
        <f aca="false">INDEX(TaskStandardTable[模式适用说明],MATCH($AM6,TaskStandardTable[工作类型ID],0))</f>
        <v>新建看完整新方案；调整只看变化章节、连带设计和必要重审</v>
      </c>
      <c r="BD6" s="37" t="s">
        <v>121</v>
      </c>
    </row>
    <row r="7" customFormat="false" ht="66" hidden="false" customHeight="true" outlineLevel="0" collapsed="false">
      <c r="A7" s="25" t="n">
        <v>3</v>
      </c>
      <c r="B7" s="26" t="s">
        <v>319</v>
      </c>
      <c r="C7" s="25" t="s">
        <v>360</v>
      </c>
      <c r="D7" s="26" t="s">
        <v>361</v>
      </c>
      <c r="E7" s="26" t="s">
        <v>362</v>
      </c>
      <c r="F7" s="26" t="s">
        <v>363</v>
      </c>
      <c r="G7" s="26" t="s">
        <v>364</v>
      </c>
      <c r="H7" s="26" t="s">
        <v>365</v>
      </c>
      <c r="I7" s="26" t="s">
        <v>366</v>
      </c>
      <c r="J7" s="27" t="b">
        <f aca="false">TRUE()</f>
        <v>1</v>
      </c>
      <c r="K7" s="28" t="n">
        <v>1</v>
      </c>
      <c r="L7" s="26" t="s">
        <v>367</v>
      </c>
      <c r="M7" s="27" t="b">
        <f aca="false">FALSE()</f>
        <v>0</v>
      </c>
      <c r="N7" s="28"/>
      <c r="O7" s="29"/>
      <c r="P7" s="30" t="b">
        <f aca="false">FALSE()</f>
        <v>0</v>
      </c>
      <c r="Q7" s="31"/>
      <c r="R7" s="29"/>
      <c r="S7" s="29" t="s">
        <v>368</v>
      </c>
      <c r="T7" s="29" t="s">
        <v>369</v>
      </c>
      <c r="U7" s="29" t="s">
        <v>370</v>
      </c>
      <c r="V7" s="29" t="s">
        <v>371</v>
      </c>
      <c r="W7" s="29" t="s">
        <v>372</v>
      </c>
      <c r="X7" s="29" t="s">
        <v>373</v>
      </c>
      <c r="Y7" s="29"/>
      <c r="Z7" s="29" t="s">
        <v>334</v>
      </c>
      <c r="AA7" s="29" t="s">
        <v>374</v>
      </c>
      <c r="AB7" s="32" t="s">
        <v>336</v>
      </c>
      <c r="AC7" s="32" t="s">
        <v>337</v>
      </c>
      <c r="AD7" s="32" t="s">
        <v>338</v>
      </c>
      <c r="AE7" s="29" t="s">
        <v>339</v>
      </c>
      <c r="AG7" s="33" t="s">
        <v>375</v>
      </c>
      <c r="AH7" s="33" t="s">
        <v>376</v>
      </c>
      <c r="AI7" s="33" t="n">
        <v>1.5</v>
      </c>
      <c r="AJ7" s="33" t="s">
        <v>342</v>
      </c>
      <c r="AK7" s="33" t="s">
        <v>87</v>
      </c>
      <c r="AL7" s="33" t="s">
        <v>343</v>
      </c>
      <c r="AM7" s="34" t="s">
        <v>360</v>
      </c>
      <c r="AN7" s="34" t="str">
        <f aca="false">INDEX(TaskStandardTable[分类],MATCH($AM7,TaskStandardTable[工作类型ID],0))</f>
        <v>分析与设计</v>
      </c>
      <c r="AO7" s="35" t="str">
        <f aca="false">INDEX(TaskStandardTable[工作类型名称],MATCH($AM7,TaskStandardTable[工作类型ID],0))</f>
        <v>架构与技术决策记录（ADR）</v>
      </c>
      <c r="AP7" s="34" t="str">
        <f aca="false">INDEX(TaskStandardTable[计量单位],MATCH($AM7,TaskStandardTable[工作类型ID],0))</f>
        <v>每决策</v>
      </c>
      <c r="AQ7" s="36" t="n">
        <f aca="false">IF(INDEX(TaskStandardTable[新建适用],MATCH($AM7,TaskStandardTable[工作类型ID],0)),INDEX(TaskStandardTable[新建M档人天],MATCH($AM7,TaskStandardTable[工作类型ID],0)),"-")</f>
        <v>1</v>
      </c>
      <c r="AR7" s="36" t="str">
        <f aca="false">IF(INDEX(TaskStandardTable[调整适用],MATCH($AM7,TaskStandardTable[工作类型ID],0)),INDEX(TaskStandardTable[调整M档人天],MATCH($AM7,TaskStandardTable[工作类型ID],0)),"-")</f>
        <v>-</v>
      </c>
      <c r="AS7" s="36" t="str">
        <f aca="false">IF(INDEX(TaskStandardTable[接入复用适用],MATCH($AM7,TaskStandardTable[工作类型ID],0)),INDEX(TaskStandardTable[接入复用M档人天],MATCH($AM7,TaskStandardTable[工作类型ID],0)),"-")</f>
        <v>-</v>
      </c>
      <c r="AT7" s="34" t="str">
        <f aca="false">INDEX(TaskStandardTable[标准交付物],MATCH($AM7,TaskStandardTable[工作类型ID],0))</f>
        <v>决策、备选方案及取舍依据</v>
      </c>
      <c r="AU7" s="34" t="str">
        <f aca="false">IF(INDEX(TaskStandardTable[新建适用],MATCH($AM7,TaskStandardTable[工作类型ID],0)),"新建："&amp;INDEX(TaskStandardTable[新建完成标准],MATCH($AM7,TaskStandardTable[工作类型ID],0)),"")&amp;IF(INDEX(TaskStandardTable[调整适用],MATCH($AM7,TaskStandardTable[工作类型ID],0)),IF(OR(INDEX(TaskStandardTable[新建适用],MATCH($AM7,TaskStandardTable[工作类型ID],0))),CHAR(10),"")&amp;"调整："&amp;INDEX(TaskStandardTable[调整完成标准],MATCH($AM7,TaskStandardTable[工作类型ID],0)),"")&amp;IF(INDEX(TaskStandardTable[接入复用适用],MATCH($AM7,TaskStandardTable[工作类型ID],0)),IF(OR(INDEX(TaskStandardTable[新建适用],MATCH($AM7,TaskStandardTable[工作类型ID],0)),INDEX(TaskStandardTable[调整适用],MATCH($AM7,TaskStandardTable[工作类型ID],0))),CHAR(10),"")&amp;"接入复用："&amp;INDEX(TaskStandardTable[接入复用完成标准],MATCH($AM7,TaskStandardTable[工作类型ID],0)),"")</f>
        <v>新建：形成决策、备选方案及取舍依据并通过批准。</v>
      </c>
      <c r="AV7" s="34" t="str">
        <f aca="false">INDEX(TaskStandardTable[说明],MATCH($AM7,TaskStandardTable[工作类型ID],0))</f>
        <v>未批准 ADR 的迭代属于本次新建内部过程；已批准决策被替代时新建后继 ADR，不使用调整。</v>
      </c>
      <c r="AW7" s="34" t="str">
        <f aca="false">INDEX(TaskStandardTable[主要计量维度],MATCH($AM7,TaskStandardTable[工作类型ID],0))</f>
        <v>备选项、评价维度、受影响组件、可逆性</v>
      </c>
      <c r="AX7" s="34" t="str">
        <f aca="false">INDEX(TaskStandardTable[S标准],MATCH($AM7,TaskStandardTable[工作类型ID],0))</f>
        <v>2 个备选项；≤3 个评价维度；1 个组件；可逆</v>
      </c>
      <c r="AY7" s="34" t="str">
        <f aca="false">INDEX(TaskStandardTable[M标准],MATCH($AM7,TaskStandardTable[工作类型ID],0))</f>
        <v>3 个备选项；4～6 个维度；2～3 个组件；需迁移或兼容说明</v>
      </c>
      <c r="AZ7" s="34" t="str">
        <f aca="false">INDEX(TaskStandardTable[L标准],MATCH($AM7,TaskStandardTable[工作类型ID],0))</f>
        <v>4～6 个备选项、7～12 个评价维度或 4～6 个受影响组件；涉及不可逆决策，或受监管证据、跨区域连续性、多方联合交付</v>
      </c>
      <c r="BA7" s="34" t="str">
        <f aca="false">INDEX(TaskStandardTable[X/拆分条件],MATCH($AM7,TaskStandardTable[工作类型ID],0))</f>
        <v>少于 2 个或 &gt;6 个可比较备选项，评价维度 &gt;12，组件 &gt;6，实际包含多个可独立批准的决策，或决策问题和批准人不明确</v>
      </c>
      <c r="BB7" s="34" t="str">
        <f aca="false">INDEX(TaskStandardTable[模式适用说明],MATCH($AM7,TaskStandardTable[工作类型ID],0))</f>
        <v>仅新建；未批准决策迭代包含在本实例，已批准决策被替代时新建后继 ADR</v>
      </c>
    </row>
    <row r="8" customFormat="false" ht="66" hidden="false" customHeight="true" outlineLevel="0" collapsed="false">
      <c r="A8" s="38" t="n">
        <v>4</v>
      </c>
      <c r="B8" s="39" t="s">
        <v>319</v>
      </c>
      <c r="C8" s="38" t="s">
        <v>377</v>
      </c>
      <c r="D8" s="39" t="s">
        <v>378</v>
      </c>
      <c r="E8" s="39" t="s">
        <v>379</v>
      </c>
      <c r="F8" s="39" t="s">
        <v>380</v>
      </c>
      <c r="G8" s="39" t="s">
        <v>381</v>
      </c>
      <c r="H8" s="39" t="s">
        <v>382</v>
      </c>
      <c r="I8" s="39" t="s">
        <v>383</v>
      </c>
      <c r="J8" s="40" t="b">
        <f aca="false">TRUE()</f>
        <v>1</v>
      </c>
      <c r="K8" s="41" t="n">
        <v>1.5</v>
      </c>
      <c r="L8" s="39" t="s">
        <v>384</v>
      </c>
      <c r="M8" s="40" t="b">
        <f aca="false">FALSE()</f>
        <v>0</v>
      </c>
      <c r="N8" s="41"/>
      <c r="O8" s="39"/>
      <c r="P8" s="40" t="b">
        <f aca="false">FALSE()</f>
        <v>0</v>
      </c>
      <c r="Q8" s="41"/>
      <c r="R8" s="39"/>
      <c r="S8" s="39" t="s">
        <v>385</v>
      </c>
      <c r="T8" s="39" t="s">
        <v>386</v>
      </c>
      <c r="U8" s="39" t="s">
        <v>387</v>
      </c>
      <c r="V8" s="39" t="s">
        <v>388</v>
      </c>
      <c r="W8" s="39" t="s">
        <v>389</v>
      </c>
      <c r="X8" s="39" t="s">
        <v>390</v>
      </c>
      <c r="Y8" s="39"/>
      <c r="Z8" s="39" t="s">
        <v>334</v>
      </c>
      <c r="AA8" s="39" t="s">
        <v>374</v>
      </c>
      <c r="AB8" s="38" t="s">
        <v>336</v>
      </c>
      <c r="AC8" s="38" t="s">
        <v>337</v>
      </c>
      <c r="AD8" s="38" t="s">
        <v>338</v>
      </c>
      <c r="AE8" s="39" t="s">
        <v>339</v>
      </c>
      <c r="AG8" s="33" t="s">
        <v>391</v>
      </c>
      <c r="AH8" s="33" t="s">
        <v>392</v>
      </c>
      <c r="AI8" s="33" t="n">
        <v>0.05</v>
      </c>
      <c r="AJ8" s="33" t="s">
        <v>393</v>
      </c>
      <c r="AK8" s="33" t="s">
        <v>394</v>
      </c>
      <c r="AL8" s="33" t="s">
        <v>395</v>
      </c>
      <c r="AM8" s="42" t="s">
        <v>377</v>
      </c>
      <c r="AN8" s="42" t="str">
        <f aca="false">INDEX(TaskStandardTable[分类],MATCH($AM8,TaskStandardTable[工作类型ID],0))</f>
        <v>分析与设计</v>
      </c>
      <c r="AO8" s="43" t="str">
        <f aca="false">INDEX(TaskStandardTable[工作类型名称],MATCH($AM8,TaskStandardTable[工作类型ID],0))</f>
        <v>技术问题探索（Spike）</v>
      </c>
      <c r="AP8" s="42" t="str">
        <f aca="false">INDEX(TaskStandardTable[计量单位],MATCH($AM8,TaskStandardTable[工作类型ID],0))</f>
        <v>每技术问题</v>
      </c>
      <c r="AQ8" s="44" t="n">
        <f aca="false">IF(INDEX(TaskStandardTable[新建适用],MATCH($AM8,TaskStandardTable[工作类型ID],0)),INDEX(TaskStandardTable[新建M档人天],MATCH($AM8,TaskStandardTable[工作类型ID],0)),"-")</f>
        <v>1.5</v>
      </c>
      <c r="AR8" s="44" t="str">
        <f aca="false">IF(INDEX(TaskStandardTable[调整适用],MATCH($AM8,TaskStandardTable[工作类型ID],0)),INDEX(TaskStandardTable[调整M档人天],MATCH($AM8,TaskStandardTable[工作类型ID],0)),"-")</f>
        <v>-</v>
      </c>
      <c r="AS8" s="44" t="str">
        <f aca="false">IF(INDEX(TaskStandardTable[接入复用适用],MATCH($AM8,TaskStandardTable[工作类型ID],0)),INDEX(TaskStandardTable[接入复用M档人天],MATCH($AM8,TaskStandardTable[工作类型ID],0)),"-")</f>
        <v>-</v>
      </c>
      <c r="AT8" s="42" t="str">
        <f aca="false">INDEX(TaskStandardTable[标准交付物],MATCH($AM8,TaskStandardTable[工作类型ID],0))</f>
        <v>实验过程、技术结论、风险及推荐方案</v>
      </c>
      <c r="AU8" s="42" t="str">
        <f aca="false">IF(INDEX(TaskStandardTable[新建适用],MATCH($AM8,TaskStandardTable[工作类型ID],0)),"新建："&amp;INDEX(TaskStandardTable[新建完成标准],MATCH($AM8,TaskStandardTable[工作类型ID],0)),"")&amp;IF(INDEX(TaskStandardTable[调整适用],MATCH($AM8,TaskStandardTable[工作类型ID],0)),IF(OR(INDEX(TaskStandardTable[新建适用],MATCH($AM8,TaskStandardTable[工作类型ID],0))),CHAR(10),"")&amp;"调整："&amp;INDEX(TaskStandardTable[调整完成标准],MATCH($AM8,TaskStandardTable[工作类型ID],0)),"")&amp;IF(INDEX(TaskStandardTable[接入复用适用],MATCH($AM8,TaskStandardTable[工作类型ID],0)),IF(OR(INDEX(TaskStandardTable[新建适用],MATCH($AM8,TaskStandardTable[工作类型ID],0)),INDEX(TaskStandardTable[调整适用],MATCH($AM8,TaskStandardTable[工作类型ID],0))),CHAR(10),"")&amp;"接入复用："&amp;INDEX(TaskStandardTable[接入复用完成标准],MATCH($AM8,TaskStandardTable[工作类型ID],0)),"")</f>
        <v>新建：形成“实验过程、技术结论、风险及推荐方案”并通过约定验收。</v>
      </c>
      <c r="AV8" s="42" t="str">
        <f aca="false">INDEX(TaskStandardTable[说明],MATCH($AM8,TaskStandardTable[工作类型ID],0))</f>
        <v>交付重点是消除一个明确技术未知。</v>
      </c>
      <c r="AW8" s="42" t="str">
        <f aca="false">INDEX(TaskStandardTable[主要计量维度],MATCH($AM8,TaskStandardTable[工作类型ID],0))</f>
        <v>假设、实验路径、证据源、未知程度</v>
      </c>
      <c r="AX8" s="42" t="str">
        <f aca="false">INDEX(TaskStandardTable[S标准],MATCH($AM8,TaskStandardTable[工作类型ID],0))</f>
        <v>1 个明确假设；1 条实验路径；已有环境；≤2 个证据源</v>
      </c>
      <c r="AY8" s="42" t="str">
        <f aca="false">INDEX(TaskStandardTable[M标准],MATCH($AM8,TaskStandardTable[工作类型ID],0))</f>
        <v>1 个问题含 2～3 个备选假设；2～3 条实验路径；3～6 个证据源；需局部原型或数据采样</v>
      </c>
      <c r="AZ8" s="42" t="str">
        <f aca="false">INDEX(TaskStandardTable[L标准],MATCH($AM8,TaskStandardTable[工作类型ID],0))</f>
        <v>1 个问题含 4～6 个紧密相关假设、4～6 条实验路径或 7～12 个证据源；涉及跨系统可证伪实验，或受限外部环境、多方联合交付</v>
      </c>
      <c r="BA8" s="42" t="str">
        <f aca="false">INDEX(TaskStandardTable[X/拆分条件],MATCH($AM8,TaskStandardTable[工作类型ID],0))</f>
        <v>假设 &gt;6、路径 &gt;6、证据源 &gt;12，包含多个独立技术问题，或没有可证伪问题、结束条件和证据标准</v>
      </c>
      <c r="BB8" s="42" t="str">
        <f aca="false">INDEX(TaskStandardTable[模式适用说明],MATCH($AM8,TaskStandardTable[工作类型ID],0))</f>
        <v>仅新建；重复探索不是调整，新增独立问题应另建 Task</v>
      </c>
    </row>
    <row r="9" customFormat="false" ht="66" hidden="false" customHeight="true" outlineLevel="0" collapsed="false">
      <c r="A9" s="25" t="n">
        <v>5</v>
      </c>
      <c r="B9" s="26" t="s">
        <v>319</v>
      </c>
      <c r="C9" s="25" t="s">
        <v>396</v>
      </c>
      <c r="D9" s="26" t="s">
        <v>397</v>
      </c>
      <c r="E9" s="26" t="s">
        <v>398</v>
      </c>
      <c r="F9" s="26" t="s">
        <v>399</v>
      </c>
      <c r="G9" s="26" t="s">
        <v>400</v>
      </c>
      <c r="H9" s="26" t="s">
        <v>401</v>
      </c>
      <c r="I9" s="26" t="s">
        <v>402</v>
      </c>
      <c r="J9" s="27" t="b">
        <f aca="false">TRUE()</f>
        <v>1</v>
      </c>
      <c r="K9" s="28" t="n">
        <v>3</v>
      </c>
      <c r="L9" s="26" t="s">
        <v>403</v>
      </c>
      <c r="M9" s="27" t="b">
        <f aca="false">FALSE()</f>
        <v>0</v>
      </c>
      <c r="N9" s="28"/>
      <c r="O9" s="29"/>
      <c r="P9" s="30" t="b">
        <f aca="false">FALSE()</f>
        <v>0</v>
      </c>
      <c r="Q9" s="31"/>
      <c r="R9" s="29"/>
      <c r="S9" s="29" t="s">
        <v>404</v>
      </c>
      <c r="T9" s="29" t="s">
        <v>405</v>
      </c>
      <c r="U9" s="29" t="s">
        <v>406</v>
      </c>
      <c r="V9" s="29" t="s">
        <v>407</v>
      </c>
      <c r="W9" s="29" t="s">
        <v>408</v>
      </c>
      <c r="X9" s="29" t="s">
        <v>409</v>
      </c>
      <c r="Y9" s="29"/>
      <c r="Z9" s="29" t="s">
        <v>334</v>
      </c>
      <c r="AA9" s="29" t="s">
        <v>374</v>
      </c>
      <c r="AB9" s="32" t="s">
        <v>336</v>
      </c>
      <c r="AC9" s="32" t="s">
        <v>337</v>
      </c>
      <c r="AD9" s="32" t="s">
        <v>338</v>
      </c>
      <c r="AE9" s="29" t="s">
        <v>339</v>
      </c>
      <c r="AG9" s="33" t="s">
        <v>410</v>
      </c>
      <c r="AH9" s="33" t="s">
        <v>411</v>
      </c>
      <c r="AI9" s="33" t="n">
        <v>0.5</v>
      </c>
      <c r="AJ9" s="33" t="s">
        <v>412</v>
      </c>
      <c r="AK9" s="33" t="s">
        <v>413</v>
      </c>
      <c r="AL9" s="33" t="s">
        <v>395</v>
      </c>
      <c r="AM9" s="34" t="s">
        <v>396</v>
      </c>
      <c r="AN9" s="34" t="str">
        <f aca="false">INDEX(TaskStandardTable[分类],MATCH($AM9,TaskStandardTable[工作类型ID],0))</f>
        <v>分析与设计</v>
      </c>
      <c r="AO9" s="35" t="str">
        <f aca="false">INDEX(TaskStandardTable[工作类型名称],MATCH($AM9,TaskStandardTable[工作类型ID],0))</f>
        <v>技术方案概念验证（PoC）</v>
      </c>
      <c r="AP9" s="34" t="str">
        <f aca="false">INDEX(TaskStandardTable[计量单位],MATCH($AM9,TaskStandardTable[工作类型ID],0))</f>
        <v>每验证目标</v>
      </c>
      <c r="AQ9" s="36" t="n">
        <f aca="false">IF(INDEX(TaskStandardTable[新建适用],MATCH($AM9,TaskStandardTable[工作类型ID],0)),INDEX(TaskStandardTable[新建M档人天],MATCH($AM9,TaskStandardTable[工作类型ID],0)),"-")</f>
        <v>3</v>
      </c>
      <c r="AR9" s="36" t="str">
        <f aca="false">IF(INDEX(TaskStandardTable[调整适用],MATCH($AM9,TaskStandardTable[工作类型ID],0)),INDEX(TaskStandardTable[调整M档人天],MATCH($AM9,TaskStandardTable[工作类型ID],0)),"-")</f>
        <v>-</v>
      </c>
      <c r="AS9" s="36" t="str">
        <f aca="false">IF(INDEX(TaskStandardTable[接入复用适用],MATCH($AM9,TaskStandardTable[工作类型ID],0)),INDEX(TaskStandardTable[接入复用M档人天],MATCH($AM9,TaskStandardTable[工作类型ID],0)),"-")</f>
        <v>-</v>
      </c>
      <c r="AT9" s="34" t="str">
        <f aca="false">INDEX(TaskStandardTable[标准交付物],MATCH($AM9,TaskStandardTable[工作类型ID],0))</f>
        <v>可运行验证结果、验证数据及技术结论</v>
      </c>
      <c r="AU9" s="34" t="str">
        <f aca="false">IF(INDEX(TaskStandardTable[新建适用],MATCH($AM9,TaskStandardTable[工作类型ID],0)),"新建："&amp;INDEX(TaskStandardTable[新建完成标准],MATCH($AM9,TaskStandardTable[工作类型ID],0)),"")&amp;IF(INDEX(TaskStandardTable[调整适用],MATCH($AM9,TaskStandardTable[工作类型ID],0)),IF(OR(INDEX(TaskStandardTable[新建适用],MATCH($AM9,TaskStandardTable[工作类型ID],0))),CHAR(10),"")&amp;"调整："&amp;INDEX(TaskStandardTable[调整完成标准],MATCH($AM9,TaskStandardTable[工作类型ID],0)),"")&amp;IF(INDEX(TaskStandardTable[接入复用适用],MATCH($AM9,TaskStandardTable[工作类型ID],0)),IF(OR(INDEX(TaskStandardTable[新建适用],MATCH($AM9,TaskStandardTable[工作类型ID],0)),INDEX(TaskStandardTable[调整适用],MATCH($AM9,TaskStandardTable[工作类型ID],0))),CHAR(10),"")&amp;"接入复用："&amp;INDEX(TaskStandardTable[接入复用完成标准],MATCH($AM9,TaskStandardTable[工作类型ID],0)),"")</f>
        <v>新建：形成“可运行验证结果、验证数据及技术结论”并通过约定验收。</v>
      </c>
      <c r="AV9" s="34" t="str">
        <f aca="false">INDEX(TaskStandardTable[说明],MATCH($AM9,TaskStandardTable[工作类型ID],0))</f>
        <v>每个独立成功标准计一项。</v>
      </c>
      <c r="AW9" s="34" t="str">
        <f aca="false">INDEX(TaskStandardTable[主要计量维度],MATCH($AM9,TaskStandardTable[工作类型ID],0))</f>
        <v>验证目标、技术路径、集成点、成功指标</v>
      </c>
      <c r="AX9" s="34" t="str">
        <f aca="false">INDEX(TaskStandardTable[S标准],MATCH($AM9,TaskStandardTable[工作类型ID],0))</f>
        <v>1 个目标；1 条技术路径；≤2 个集成点；≤3 个成功指标</v>
      </c>
      <c r="AY9" s="34" t="str">
        <f aca="false">INDEX(TaskStandardTable[M标准],MATCH($AM9,TaskStandardTable[工作类型ID],0))</f>
        <v>1 个目标；2～3 条路径；3～5 个集成点；4～6 个指标；需代表性数据</v>
      </c>
      <c r="AZ9" s="34" t="str">
        <f aca="false">INDEX(TaskStandardTable[L标准],MATCH($AM9,TaskStandardTable[工作类型ID],0))</f>
        <v>1 个目标；4～6 条路径、6～10 个集成点或 7～12 个成功指标；涉及故障注入验证、生产等效环境验证，或量化服务目标、高敏感数据或权限控制、受监管证据</v>
      </c>
      <c r="BA9" s="34" t="str">
        <f aca="false">INDEX(TaskStandardTable[X/拆分条件],MATCH($AM9,TaskStandardTable[工作类型ID],0))</f>
        <v>路径 &gt;6、集成点 &gt;10、指标 &gt;12，存在多个可独立通过的验证目标，或成功标准、样本和环境不明确</v>
      </c>
      <c r="BB9" s="34" t="str">
        <f aca="false">INDEX(TaskStandardTable[模式适用说明],MATCH($AM9,TaskStandardTable[工作类型ID],0))</f>
        <v>仅新建；已有 PoC 的新目标应新建，产品化工作使用对应交付类型</v>
      </c>
    </row>
    <row r="10" customFormat="false" ht="66" hidden="false" customHeight="true" outlineLevel="0" collapsed="false">
      <c r="A10" s="38" t="n">
        <v>6</v>
      </c>
      <c r="B10" s="39" t="s">
        <v>414</v>
      </c>
      <c r="C10" s="38" t="s">
        <v>415</v>
      </c>
      <c r="D10" s="39" t="s">
        <v>90</v>
      </c>
      <c r="E10" s="39" t="s">
        <v>416</v>
      </c>
      <c r="F10" s="39" t="s">
        <v>417</v>
      </c>
      <c r="G10" s="39" t="s">
        <v>418</v>
      </c>
      <c r="H10" s="39" t="s">
        <v>419</v>
      </c>
      <c r="I10" s="39" t="s">
        <v>420</v>
      </c>
      <c r="J10" s="40" t="b">
        <f aca="false">TRUE()</f>
        <v>1</v>
      </c>
      <c r="K10" s="41" t="n">
        <v>1.5</v>
      </c>
      <c r="L10" s="39" t="s">
        <v>421</v>
      </c>
      <c r="M10" s="40" t="b">
        <f aca="false">TRUE()</f>
        <v>1</v>
      </c>
      <c r="N10" s="41" t="n">
        <v>1</v>
      </c>
      <c r="O10" s="39" t="s">
        <v>422</v>
      </c>
      <c r="P10" s="40" t="b">
        <f aca="false">FALSE()</f>
        <v>0</v>
      </c>
      <c r="Q10" s="41"/>
      <c r="R10" s="39"/>
      <c r="S10" s="39" t="s">
        <v>423</v>
      </c>
      <c r="T10" s="39" t="s">
        <v>424</v>
      </c>
      <c r="U10" s="39" t="s">
        <v>425</v>
      </c>
      <c r="V10" s="39" t="s">
        <v>426</v>
      </c>
      <c r="W10" s="39" t="s">
        <v>427</v>
      </c>
      <c r="X10" s="39" t="s">
        <v>428</v>
      </c>
      <c r="Y10" s="39"/>
      <c r="Z10" s="39" t="s">
        <v>334</v>
      </c>
      <c r="AA10" s="39" t="s">
        <v>374</v>
      </c>
      <c r="AB10" s="38" t="s">
        <v>336</v>
      </c>
      <c r="AC10" s="38" t="s">
        <v>337</v>
      </c>
      <c r="AD10" s="38" t="s">
        <v>338</v>
      </c>
      <c r="AE10" s="39" t="s">
        <v>339</v>
      </c>
      <c r="AG10" s="33" t="s">
        <v>429</v>
      </c>
      <c r="AH10" s="33" t="s">
        <v>430</v>
      </c>
      <c r="AI10" s="33" t="n">
        <v>1</v>
      </c>
      <c r="AJ10" s="33" t="s">
        <v>412</v>
      </c>
      <c r="AK10" s="33" t="s">
        <v>413</v>
      </c>
      <c r="AL10" s="33" t="s">
        <v>395</v>
      </c>
      <c r="AM10" s="42" t="s">
        <v>415</v>
      </c>
      <c r="AN10" s="42" t="str">
        <f aca="false">INDEX(TaskStandardTable[分类],MATCH($AM10,TaskStandardTable[工作类型ID],0))</f>
        <v>功能与接口</v>
      </c>
      <c r="AO10" s="43" t="str">
        <f aca="false">INDEX(TaskStandardTable[工作类型名称],MATCH($AM10,TaskStandardTable[工作类型ID],0))</f>
        <v>信息展示与查询页面</v>
      </c>
      <c r="AP10" s="42" t="str">
        <f aca="false">INDEX(TaskStandardTable[计量单位],MATCH($AM10,TaskStandardTable[工作类型ID],0))</f>
        <v>每页面</v>
      </c>
      <c r="AQ10" s="44" t="n">
        <f aca="false">IF(INDEX(TaskStandardTable[新建适用],MATCH($AM10,TaskStandardTable[工作类型ID],0)),INDEX(TaskStandardTable[新建M档人天],MATCH($AM10,TaskStandardTable[工作类型ID],0)),"-")</f>
        <v>1.5</v>
      </c>
      <c r="AR10" s="44" t="n">
        <f aca="false">IF(INDEX(TaskStandardTable[调整适用],MATCH($AM10,TaskStandardTable[工作类型ID],0)),INDEX(TaskStandardTable[调整M档人天],MATCH($AM10,TaskStandardTable[工作类型ID],0)),"-")</f>
        <v>1</v>
      </c>
      <c r="AS10" s="44" t="str">
        <f aca="false">IF(INDEX(TaskStandardTable[接入复用适用],MATCH($AM10,TaskStandardTable[工作类型ID],0)),INDEX(TaskStandardTable[接入复用M档人天],MATCH($AM10,TaskStandardTable[工作类型ID],0)),"-")</f>
        <v>-</v>
      </c>
      <c r="AT10" s="42" t="str">
        <f aca="false">INDEX(TaskStandardTable[标准交付物],MATCH($AM10,TaskStandardTable[工作类型ID],0))</f>
        <v>信息展示、查询及结果呈现页面</v>
      </c>
      <c r="AU10" s="42" t="str">
        <f aca="false">IF(INDEX(TaskStandardTable[新建适用],MATCH($AM10,TaskStandardTable[工作类型ID],0)),"新建："&amp;INDEX(TaskStandardTable[新建完成标准],MATCH($AM10,TaskStandardTable[工作类型ID],0)),"")&amp;IF(INDEX(TaskStandardTable[调整适用],MATCH($AM10,TaskStandardTable[工作类型ID],0)),IF(OR(INDEX(TaskStandardTable[新建适用],MATCH($AM10,TaskStandardTable[工作类型ID],0))),CHAR(10),"")&amp;"调整："&amp;INDEX(TaskStandardTable[调整完成标准],MATCH($AM10,TaskStandardTable[工作类型ID],0)),"")&amp;IF(INDEX(TaskStandardTable[接入复用适用],MATCH($AM10,TaskStandardTable[工作类型ID],0)),IF(OR(INDEX(TaskStandardTable[新建适用],MATCH($AM10,TaskStandardTable[工作类型ID],0)),INDEX(TaskStandardTable[调整适用],MATCH($AM10,TaskStandardTable[工作类型ID],0))),CHAR(10),"")&amp;"接入复用："&amp;INDEX(TaskStandardTable[接入复用完成标准],MATCH($AM10,TaskStandardTable[工作类型ID],0)),"")</f>
        <v>新建：形成“信息展示、查询及结果呈现页面”并通过约定验收。
调整：完成“信息展示、查询及结果呈现页面”的目标变更和影响核验，并按交付对象性质通过评审、复核、演练或回归验证。</v>
      </c>
      <c r="AV10" s="42" t="str">
        <f aca="false">INDEX(TaskStandardTable[说明],MATCH($AM10,TaskStandardTable[工作类型ID],0))</f>
        <v>紧密服务同一用户目标的视图可合并。</v>
      </c>
      <c r="AW10" s="42" t="str">
        <f aca="false">INDEX(TaskStandardTable[主要计量维度],MATCH($AM10,TaskStandardTable[工作类型ID],0))</f>
        <v>数据源、主要状态、筛选项、角色差异</v>
      </c>
      <c r="AX10" s="42" t="str">
        <f aca="false">INDEX(TaskStandardTable[S标准],MATCH($AM10,TaskStandardTable[工作类型ID],0))</f>
        <v>1 个数据源；1～2 个主要状态；≤5 个筛选或展示条件；单角色</v>
      </c>
      <c r="AY10" s="42" t="str">
        <f aca="false">INDEX(TaskStandardTable[M标准],MATCH($AM10,TaskStandardTable[工作类型ID],0))</f>
        <v>2～3 个相关数据源；3～5 个状态；6～12 个条件；含分页、排序或角色差异</v>
      </c>
      <c r="AZ10" s="42" t="str">
        <f aca="false">INDEX(TaskStandardTable[L标准],MATCH($AM10,TaskStandardTable[工作类型ID],0))</f>
        <v>4～6 个紧密相关数据源、6～10 个状态或 13～24 个筛选/展示条件；涉及跨页面状态恢复，或量化服务目标、受监管证据</v>
      </c>
      <c r="BA10" s="42" t="str">
        <f aca="false">INDEX(TaskStandardTable[X/拆分条件],MATCH($AM10,TaskStandardTable[工作类型ID],0))</f>
        <v>数据源 &gt;6、状态 &gt;10、条件 &gt;24，包含多个可独立路由和验收的页面或查询目标，或数据口径未确定</v>
      </c>
      <c r="BB10" s="42" t="str">
        <f aca="false">INDEX(TaskStandardTable[模式适用说明],MATCH($AM10,TaskStandardTable[工作类型ID],0))</f>
        <v>新建看完整页面；调整只看变更状态、条件、数据源和必要页面回归</v>
      </c>
    </row>
    <row r="11" customFormat="false" ht="66" hidden="false" customHeight="true" outlineLevel="0" collapsed="false">
      <c r="A11" s="25" t="n">
        <v>7</v>
      </c>
      <c r="B11" s="26" t="s">
        <v>414</v>
      </c>
      <c r="C11" s="25" t="s">
        <v>431</v>
      </c>
      <c r="D11" s="26" t="s">
        <v>107</v>
      </c>
      <c r="E11" s="26" t="s">
        <v>416</v>
      </c>
      <c r="F11" s="26" t="s">
        <v>432</v>
      </c>
      <c r="G11" s="26" t="s">
        <v>433</v>
      </c>
      <c r="H11" s="26" t="s">
        <v>434</v>
      </c>
      <c r="I11" s="26" t="s">
        <v>435</v>
      </c>
      <c r="J11" s="27" t="b">
        <f aca="false">TRUE()</f>
        <v>1</v>
      </c>
      <c r="K11" s="28" t="n">
        <v>2</v>
      </c>
      <c r="L11" s="26" t="s">
        <v>436</v>
      </c>
      <c r="M11" s="27" t="b">
        <f aca="false">TRUE()</f>
        <v>1</v>
      </c>
      <c r="N11" s="28" t="n">
        <v>1</v>
      </c>
      <c r="O11" s="29" t="s">
        <v>437</v>
      </c>
      <c r="P11" s="30" t="b">
        <f aca="false">FALSE()</f>
        <v>0</v>
      </c>
      <c r="Q11" s="31"/>
      <c r="R11" s="29"/>
      <c r="S11" s="29" t="s">
        <v>438</v>
      </c>
      <c r="T11" s="29" t="s">
        <v>439</v>
      </c>
      <c r="U11" s="29" t="s">
        <v>440</v>
      </c>
      <c r="V11" s="29" t="s">
        <v>441</v>
      </c>
      <c r="W11" s="29" t="s">
        <v>442</v>
      </c>
      <c r="X11" s="29" t="s">
        <v>443</v>
      </c>
      <c r="Y11" s="29"/>
      <c r="Z11" s="29" t="s">
        <v>334</v>
      </c>
      <c r="AA11" s="29" t="s">
        <v>444</v>
      </c>
      <c r="AB11" s="32" t="s">
        <v>336</v>
      </c>
      <c r="AC11" s="32" t="s">
        <v>337</v>
      </c>
      <c r="AD11" s="32" t="s">
        <v>338</v>
      </c>
      <c r="AE11" s="29" t="s">
        <v>339</v>
      </c>
      <c r="AG11" s="33" t="s">
        <v>445</v>
      </c>
      <c r="AH11" s="33" t="s">
        <v>446</v>
      </c>
      <c r="AI11" s="33" t="n">
        <v>0.5</v>
      </c>
      <c r="AJ11" s="33" t="s">
        <v>253</v>
      </c>
      <c r="AK11" s="33" t="s">
        <v>447</v>
      </c>
      <c r="AL11" s="33" t="s">
        <v>343</v>
      </c>
      <c r="AM11" s="34" t="s">
        <v>431</v>
      </c>
      <c r="AN11" s="34" t="str">
        <f aca="false">INDEX(TaskStandardTable[分类],MATCH($AM11,TaskStandardTable[工作类型ID],0))</f>
        <v>功能与接口</v>
      </c>
      <c r="AO11" s="35" t="str">
        <f aca="false">INDEX(TaskStandardTable[工作类型名称],MATCH($AM11,TaskStandardTable[工作类型ID],0))</f>
        <v>数据编辑与业务交互页面</v>
      </c>
      <c r="AP11" s="34" t="str">
        <f aca="false">INDEX(TaskStandardTable[计量单位],MATCH($AM11,TaskStandardTable[工作类型ID],0))</f>
        <v>每页面</v>
      </c>
      <c r="AQ11" s="36" t="n">
        <f aca="false">IF(INDEX(TaskStandardTable[新建适用],MATCH($AM11,TaskStandardTable[工作类型ID],0)),INDEX(TaskStandardTable[新建M档人天],MATCH($AM11,TaskStandardTable[工作类型ID],0)),"-")</f>
        <v>2</v>
      </c>
      <c r="AR11" s="36" t="n">
        <f aca="false">IF(INDEX(TaskStandardTable[调整适用],MATCH($AM11,TaskStandardTable[工作类型ID],0)),INDEX(TaskStandardTable[调整M档人天],MATCH($AM11,TaskStandardTable[工作类型ID],0)),"-")</f>
        <v>1</v>
      </c>
      <c r="AS11" s="36" t="str">
        <f aca="false">IF(INDEX(TaskStandardTable[接入复用适用],MATCH($AM11,TaskStandardTable[工作类型ID],0)),INDEX(TaskStandardTable[接入复用M档人天],MATCH($AM11,TaskStandardTable[工作类型ID],0)),"-")</f>
        <v>-</v>
      </c>
      <c r="AT11" s="34" t="str">
        <f aca="false">INDEX(TaskStandardTable[标准交付物],MATCH($AM11,TaskStandardTable[工作类型ID],0))</f>
        <v>编辑、校验、提交及交互反馈页面</v>
      </c>
      <c r="AU11" s="34" t="str">
        <f aca="false">IF(INDEX(TaskStandardTable[新建适用],MATCH($AM11,TaskStandardTable[工作类型ID],0)),"新建："&amp;INDEX(TaskStandardTable[新建完成标准],MATCH($AM11,TaskStandardTable[工作类型ID],0)),"")&amp;IF(INDEX(TaskStandardTable[调整适用],MATCH($AM11,TaskStandardTable[工作类型ID],0)),IF(OR(INDEX(TaskStandardTable[新建适用],MATCH($AM11,TaskStandardTable[工作类型ID],0))),CHAR(10),"")&amp;"调整："&amp;INDEX(TaskStandardTable[调整完成标准],MATCH($AM11,TaskStandardTable[工作类型ID],0)),"")&amp;IF(INDEX(TaskStandardTable[接入复用适用],MATCH($AM11,TaskStandardTable[工作类型ID],0)),IF(OR(INDEX(TaskStandardTable[新建适用],MATCH($AM11,TaskStandardTable[工作类型ID],0)),INDEX(TaskStandardTable[调整适用],MATCH($AM11,TaskStandardTable[工作类型ID],0))),CHAR(10),"")&amp;"接入复用："&amp;INDEX(TaskStandardTable[接入复用完成标准],MATCH($AM11,TaskStandardTable[工作类型ID],0)),"")</f>
        <v>新建：形成“编辑、校验、提交及交互反馈页面”并通过约定验收。
调整：完成“编辑、校验、提交及交互反馈页面”的目标变更和影响核验，并按交付对象性质通过评审、复核、演练或回归验证。</v>
      </c>
      <c r="AV11" s="34" t="str">
        <f aca="false">INDEX(TaskStandardTable[说明],MATCH($AM11,TaskStandardTable[工作类型ID],0))</f>
        <v>页面内部控件不重复计量。</v>
      </c>
      <c r="AW11" s="34" t="str">
        <f aca="false">INDEX(TaskStandardTable[主要计量维度],MATCH($AM11,TaskStandardTable[工作类型ID],0))</f>
        <v>字段、校验规则、交互状态、行为差异角色</v>
      </c>
      <c r="AX11" s="34" t="str">
        <f aca="false">INDEX(TaskStandardTable[S标准],MATCH($AM11,TaskStandardTable[工作类型ID],0))</f>
        <v>≤8 个编辑字段；≤3 条校验；1～2 个状态；单角色</v>
      </c>
      <c r="AY11" s="34" t="str">
        <f aca="false">INDEX(TaskStandardTable[M标准],MATCH($AM11,TaskStandardTable[工作类型ID],0))</f>
        <v>9～25 个字段；4～10 条校验；3～5 个状态；2～3 个具有行为差异的角色或条件联动</v>
      </c>
      <c r="AZ11" s="34" t="str">
        <f aca="false">INDEX(TaskStandardTable[L标准],MATCH($AM11,TaskStandardTable[工作类型ID],0))</f>
        <v>26～50 个字段、11～20 条规则、6～10 个状态或 4～6 个具有行为差异的角色；涉及跨会话草稿恢复、并发编辑冲突处置、运行时规则驱动字段结构，或受监管证据</v>
      </c>
      <c r="BA11" s="34" t="str">
        <f aca="false">INDEX(TaskStandardTable[X/拆分条件],MATCH($AM11,TaskStandardTable[工作类型ID],0))</f>
        <v>字段 &gt;50、规则 &gt;20、状态 &gt;10、角色 &gt;6，包含多个可独立提交的业务结果或页面，或字段和业务规则未明确</v>
      </c>
      <c r="BB11" s="34" t="str">
        <f aca="false">INDEX(TaskStandardTable[模式适用说明],MATCH($AM11,TaskStandardTable[工作类型ID],0))</f>
        <v>新建看完整编辑结果；调整只看变更字段、规则、状态、角色差异及必要回归</v>
      </c>
    </row>
    <row r="12" customFormat="false" ht="66" hidden="false" customHeight="true" outlineLevel="0" collapsed="false">
      <c r="A12" s="38" t="n">
        <v>8</v>
      </c>
      <c r="B12" s="39" t="s">
        <v>414</v>
      </c>
      <c r="C12" s="38" t="s">
        <v>448</v>
      </c>
      <c r="D12" s="39" t="s">
        <v>127</v>
      </c>
      <c r="E12" s="39" t="s">
        <v>449</v>
      </c>
      <c r="F12" s="39" t="s">
        <v>450</v>
      </c>
      <c r="G12" s="39" t="s">
        <v>451</v>
      </c>
      <c r="H12" s="39" t="s">
        <v>452</v>
      </c>
      <c r="I12" s="39" t="s">
        <v>453</v>
      </c>
      <c r="J12" s="40" t="b">
        <f aca="false">TRUE()</f>
        <v>1</v>
      </c>
      <c r="K12" s="41" t="n">
        <v>3</v>
      </c>
      <c r="L12" s="39" t="s">
        <v>454</v>
      </c>
      <c r="M12" s="40" t="b">
        <f aca="false">TRUE()</f>
        <v>1</v>
      </c>
      <c r="N12" s="41" t="n">
        <v>2</v>
      </c>
      <c r="O12" s="39" t="s">
        <v>455</v>
      </c>
      <c r="P12" s="40" t="b">
        <f aca="false">FALSE()</f>
        <v>0</v>
      </c>
      <c r="Q12" s="41"/>
      <c r="R12" s="39"/>
      <c r="S12" s="39" t="s">
        <v>456</v>
      </c>
      <c r="T12" s="39" t="s">
        <v>457</v>
      </c>
      <c r="U12" s="39" t="s">
        <v>458</v>
      </c>
      <c r="V12" s="39" t="s">
        <v>459</v>
      </c>
      <c r="W12" s="39" t="s">
        <v>460</v>
      </c>
      <c r="X12" s="39" t="s">
        <v>461</v>
      </c>
      <c r="Y12" s="39" t="s">
        <v>462</v>
      </c>
      <c r="Z12" s="39" t="s">
        <v>463</v>
      </c>
      <c r="AA12" s="39" t="s">
        <v>374</v>
      </c>
      <c r="AB12" s="38" t="s">
        <v>336</v>
      </c>
      <c r="AC12" s="38" t="s">
        <v>337</v>
      </c>
      <c r="AD12" s="38" t="s">
        <v>338</v>
      </c>
      <c r="AE12" s="39" t="s">
        <v>339</v>
      </c>
      <c r="AG12" s="33" t="s">
        <v>464</v>
      </c>
      <c r="AH12" s="33" t="s">
        <v>465</v>
      </c>
      <c r="AI12" s="33" t="n">
        <v>0.5</v>
      </c>
      <c r="AJ12" s="33" t="s">
        <v>253</v>
      </c>
      <c r="AK12" s="33" t="s">
        <v>466</v>
      </c>
      <c r="AL12" s="33" t="s">
        <v>343</v>
      </c>
      <c r="AM12" s="42" t="s">
        <v>448</v>
      </c>
      <c r="AN12" s="42" t="str">
        <f aca="false">INDEX(TaskStandardTable[分类],MATCH($AM12,TaskStandardTable[工作类型ID],0))</f>
        <v>功能与接口</v>
      </c>
      <c r="AO12" s="43" t="str">
        <f aca="false">INDEX(TaskStandardTable[工作类型名称],MATCH($AM12,TaskStandardTable[工作类型ID],0))</f>
        <v>多步骤业务流程页面</v>
      </c>
      <c r="AP12" s="42" t="str">
        <f aca="false">INDEX(TaskStandardTable[计量单位],MATCH($AM12,TaskStandardTable[工作类型ID],0))</f>
        <v>每业务流程</v>
      </c>
      <c r="AQ12" s="44" t="n">
        <f aca="false">IF(INDEX(TaskStandardTable[新建适用],MATCH($AM12,TaskStandardTable[工作类型ID],0)),INDEX(TaskStandardTable[新建M档人天],MATCH($AM12,TaskStandardTable[工作类型ID],0)),"-")</f>
        <v>3</v>
      </c>
      <c r="AR12" s="44" t="n">
        <f aca="false">IF(INDEX(TaskStandardTable[调整适用],MATCH($AM12,TaskStandardTable[工作类型ID],0)),INDEX(TaskStandardTable[调整M档人天],MATCH($AM12,TaskStandardTable[工作类型ID],0)),"-")</f>
        <v>2</v>
      </c>
      <c r="AS12" s="44" t="str">
        <f aca="false">IF(INDEX(TaskStandardTable[接入复用适用],MATCH($AM12,TaskStandardTable[工作类型ID],0)),INDEX(TaskStandardTable[接入复用M档人天],MATCH($AM12,TaskStandardTable[工作类型ID],0)),"-")</f>
        <v>-</v>
      </c>
      <c r="AT12" s="42" t="str">
        <f aca="false">INDEX(TaskStandardTable[标准交付物],MATCH($AM12,TaskStandardTable[工作类型ID],0))</f>
        <v>端到端多步骤业务流程页面</v>
      </c>
      <c r="AU12" s="42" t="str">
        <f aca="false">IF(INDEX(TaskStandardTable[新建适用],MATCH($AM12,TaskStandardTable[工作类型ID],0)),"新建："&amp;INDEX(TaskStandardTable[新建完成标准],MATCH($AM12,TaskStandardTable[工作类型ID],0)),"")&amp;IF(INDEX(TaskStandardTable[调整适用],MATCH($AM12,TaskStandardTable[工作类型ID],0)),IF(OR(INDEX(TaskStandardTable[新建适用],MATCH($AM12,TaskStandardTable[工作类型ID],0))),CHAR(10),"")&amp;"调整："&amp;INDEX(TaskStandardTable[调整完成标准],MATCH($AM12,TaskStandardTable[工作类型ID],0)),"")&amp;IF(INDEX(TaskStandardTable[接入复用适用],MATCH($AM12,TaskStandardTable[工作类型ID],0)),IF(OR(INDEX(TaskStandardTable[新建适用],MATCH($AM12,TaskStandardTable[工作类型ID],0)),INDEX(TaskStandardTable[调整适用],MATCH($AM12,TaskStandardTable[工作类型ID],0))),CHAR(10),"")&amp;"接入复用："&amp;INDEX(TaskStandardTable[接入复用完成标准],MATCH($AM12,TaskStandardTable[工作类型ID],0)),"")</f>
        <v>新建：形成“端到端多步骤业务流程页面”并通过约定验收。
调整：完成“端到端多步骤业务流程页面”的目标变更和影响核验，并按交付对象性质通过评审、复核、演练或回归验证。</v>
      </c>
      <c r="AV12" s="42" t="str">
        <f aca="false">INDEX(TaskStandardTable[说明],MATCH($AM12,TaskStandardTable[工作类型ID],0))</f>
        <v>不按页面步骤数计量。</v>
      </c>
      <c r="AW12" s="42" t="str">
        <f aca="false">INDEX(TaskStandardTable[主要计量维度],MATCH($AM12,TaskStandardTable[工作类型ID],0))</f>
        <v>步骤、分支、角色、跨步状态</v>
      </c>
      <c r="AX12" s="42" t="str">
        <f aca="false">INDEX(TaskStandardTable[S标准],MATCH($AM12,TaskStandardTable[工作类型ID],0))</f>
        <v>2～3 个步骤；单一路径；单角色；无跨会话恢复</v>
      </c>
      <c r="AY12" s="42" t="str">
        <f aca="false">INDEX(TaskStandardTable[M标准],MATCH($AM12,TaskStandardTable[工作类型ID],0))</f>
        <v>4～6 个步骤；2～4 条分支；2～3 个角色；需草稿或跨步校验</v>
      </c>
      <c r="AZ12" s="42" t="str">
        <f aca="false">INDEX(TaskStandardTable[L标准],MATCH($AM12,TaskStandardTable[工作类型ID],0))</f>
        <v>7～12 个紧密连续步骤、5～8 条分支或 4～6 个角色；涉及跨会话恢复、回退重做、并发处理，或多方联合交付</v>
      </c>
      <c r="BA12" s="42" t="str">
        <f aca="false">INDEX(TaskStandardTable[X/拆分条件],MATCH($AM12,TaskStandardTable[工作类型ID],0))</f>
        <v>步骤 &lt;2 时按主验收结果改用 FE-VIEW 或 FE-EDIT；步骤 &gt;12、分支 &gt;8、角色 &gt;6，包含多个可独立启动和完成的业务流程，或流程结果和状态机不明确</v>
      </c>
      <c r="BB12" s="42" t="str">
        <f aca="false">INDEX(TaskStandardTable[模式适用说明],MATCH($AM12,TaskStandardTable[工作类型ID],0))</f>
        <v>新建看完整流程；调整只看变化步骤、分支、状态迁移和端到端回归</v>
      </c>
    </row>
    <row r="13" customFormat="false" ht="66" hidden="false" customHeight="true" outlineLevel="0" collapsed="false">
      <c r="A13" s="25" t="n">
        <v>9</v>
      </c>
      <c r="B13" s="26" t="s">
        <v>414</v>
      </c>
      <c r="C13" s="25" t="s">
        <v>467</v>
      </c>
      <c r="D13" s="26" t="s">
        <v>468</v>
      </c>
      <c r="E13" s="26" t="s">
        <v>416</v>
      </c>
      <c r="F13" s="26" t="s">
        <v>469</v>
      </c>
      <c r="G13" s="26" t="s">
        <v>470</v>
      </c>
      <c r="H13" s="26" t="s">
        <v>471</v>
      </c>
      <c r="I13" s="26" t="s">
        <v>472</v>
      </c>
      <c r="J13" s="27" t="b">
        <f aca="false">TRUE()</f>
        <v>1</v>
      </c>
      <c r="K13" s="28" t="n">
        <v>2.5</v>
      </c>
      <c r="L13" s="26" t="s">
        <v>473</v>
      </c>
      <c r="M13" s="27" t="b">
        <f aca="false">TRUE()</f>
        <v>1</v>
      </c>
      <c r="N13" s="28" t="n">
        <v>1.5</v>
      </c>
      <c r="O13" s="29" t="s">
        <v>474</v>
      </c>
      <c r="P13" s="30" t="b">
        <f aca="false">FALSE()</f>
        <v>0</v>
      </c>
      <c r="Q13" s="31"/>
      <c r="R13" s="29"/>
      <c r="S13" s="29" t="s">
        <v>475</v>
      </c>
      <c r="T13" s="29" t="s">
        <v>476</v>
      </c>
      <c r="U13" s="29" t="s">
        <v>477</v>
      </c>
      <c r="V13" s="29" t="s">
        <v>478</v>
      </c>
      <c r="W13" s="29" t="s">
        <v>479</v>
      </c>
      <c r="X13" s="29" t="s">
        <v>480</v>
      </c>
      <c r="Y13" s="29"/>
      <c r="Z13" s="29" t="s">
        <v>334</v>
      </c>
      <c r="AA13" s="29" t="s">
        <v>481</v>
      </c>
      <c r="AB13" s="32" t="s">
        <v>336</v>
      </c>
      <c r="AC13" s="32" t="s">
        <v>337</v>
      </c>
      <c r="AD13" s="32" t="s">
        <v>338</v>
      </c>
      <c r="AE13" s="29" t="s">
        <v>339</v>
      </c>
      <c r="AM13" s="34" t="s">
        <v>467</v>
      </c>
      <c r="AN13" s="34" t="str">
        <f aca="false">INDEX(TaskStandardTable[分类],MATCH($AM13,TaskStandardTable[工作类型ID],0))</f>
        <v>功能与接口</v>
      </c>
      <c r="AO13" s="35" t="str">
        <f aca="false">INDEX(TaskStandardTable[工作类型名称],MATCH($AM13,TaskStandardTable[工作类型ID],0))</f>
        <v>业务看板与数据可视化页面</v>
      </c>
      <c r="AP13" s="34" t="str">
        <f aca="false">INDEX(TaskStandardTable[计量单位],MATCH($AM13,TaskStandardTable[工作类型ID],0))</f>
        <v>每页面</v>
      </c>
      <c r="AQ13" s="36" t="n">
        <f aca="false">IF(INDEX(TaskStandardTable[新建适用],MATCH($AM13,TaskStandardTable[工作类型ID],0)),INDEX(TaskStandardTable[新建M档人天],MATCH($AM13,TaskStandardTable[工作类型ID],0)),"-")</f>
        <v>2.5</v>
      </c>
      <c r="AR13" s="36" t="n">
        <f aca="false">IF(INDEX(TaskStandardTable[调整适用],MATCH($AM13,TaskStandardTable[工作类型ID],0)),INDEX(TaskStandardTable[调整M档人天],MATCH($AM13,TaskStandardTable[工作类型ID],0)),"-")</f>
        <v>1.5</v>
      </c>
      <c r="AS13" s="36" t="str">
        <f aca="false">IF(INDEX(TaskStandardTable[接入复用适用],MATCH($AM13,TaskStandardTable[工作类型ID],0)),INDEX(TaskStandardTable[接入复用M档人天],MATCH($AM13,TaskStandardTable[工作类型ID],0)),"-")</f>
        <v>-</v>
      </c>
      <c r="AT13" s="34" t="str">
        <f aca="false">INDEX(TaskStandardTable[标准交付物],MATCH($AM13,TaskStandardTable[工作类型ID],0))</f>
        <v>业务看板或数据可视化页面</v>
      </c>
      <c r="AU13" s="34" t="str">
        <f aca="false">IF(INDEX(TaskStandardTable[新建适用],MATCH($AM13,TaskStandardTable[工作类型ID],0)),"新建："&amp;INDEX(TaskStandardTable[新建完成标准],MATCH($AM13,TaskStandardTable[工作类型ID],0)),"")&amp;IF(INDEX(TaskStandardTable[调整适用],MATCH($AM13,TaskStandardTable[工作类型ID],0)),IF(OR(INDEX(TaskStandardTable[新建适用],MATCH($AM13,TaskStandardTable[工作类型ID],0))),CHAR(10),"")&amp;"调整："&amp;INDEX(TaskStandardTable[调整完成标准],MATCH($AM13,TaskStandardTable[工作类型ID],0)),"")&amp;IF(INDEX(TaskStandardTable[接入复用适用],MATCH($AM13,TaskStandardTable[工作类型ID],0)),IF(OR(INDEX(TaskStandardTable[新建适用],MATCH($AM13,TaskStandardTable[工作类型ID],0)),INDEX(TaskStandardTable[调整适用],MATCH($AM13,TaskStandardTable[工作类型ID],0))),CHAR(10),"")&amp;"接入复用："&amp;INDEX(TaskStandardTable[接入复用完成标准],MATCH($AM13,TaskStandardTable[工作类型ID],0)),"")</f>
        <v>新建：形成“业务看板或数据可视化页面”并通过约定验收。
调整：完成“业务看板或数据可视化页面”的目标变更和影响核验，并按交付对象性质通过评审、复核、演练或回归验证。</v>
      </c>
      <c r="AV13" s="34" t="str">
        <f aca="false">INDEX(TaskStandardTable[说明],MATCH($AM13,TaskStandardTable[工作类型ID],0))</f>
        <v>独立数据集另行计量。</v>
      </c>
      <c r="AW13" s="34" t="str">
        <f aca="false">INDEX(TaskStandardTable[主要计量维度],MATCH($AM13,TaskStandardTable[工作类型ID],0))</f>
        <v>数据源、指标、可视化组件、交互</v>
      </c>
      <c r="AX13" s="34" t="str">
        <f aca="false">INDEX(TaskStandardTable[S标准],MATCH($AM13,TaskStandardTable[工作类型ID],0))</f>
        <v>1 个数据源；≤3 个指标或图表；固定筛选；无钻取</v>
      </c>
      <c r="AY13" s="34" t="str">
        <f aca="false">INDEX(TaskStandardTable[M标准],MATCH($AM13,TaskStandardTable[工作类型ID],0))</f>
        <v>2～3 个相关数据源；4～8 个指标或图表；联动筛选或一级钻取</v>
      </c>
      <c r="AZ13" s="34" t="str">
        <f aca="false">INDEX(TaskStandardTable[L标准],MATCH($AM13,TaskStandardTable[工作类型ID],0))</f>
        <v>4～6 个紧密相关数据源或 9～16 个指标/图表；涉及多级钻取、服务端推送/流式刷新，或动态策略、量化服务目标</v>
      </c>
      <c r="BA13" s="34" t="str">
        <f aca="false">INDEX(TaskStandardTable[X/拆分条件],MATCH($AM13,TaskStandardTable[工作类型ID],0))</f>
        <v>数据源 &gt;6，指标/图表 &gt;16，包含多张可独立验收的看板或相互独立的指标口径</v>
      </c>
      <c r="BB13" s="34" t="str">
        <f aca="false">INDEX(TaskStandardTable[模式适用说明],MATCH($AM13,TaskStandardTable[工作类型ID],0))</f>
        <v>新建看整张看板；调整只看变化指标、图表、交互和必要数据回归</v>
      </c>
    </row>
    <row r="14" customFormat="false" ht="68" hidden="false" customHeight="true" outlineLevel="0" collapsed="false">
      <c r="A14" s="38" t="n">
        <v>10</v>
      </c>
      <c r="B14" s="39" t="s">
        <v>414</v>
      </c>
      <c r="C14" s="38" t="s">
        <v>482</v>
      </c>
      <c r="D14" s="39" t="s">
        <v>483</v>
      </c>
      <c r="E14" s="39" t="s">
        <v>484</v>
      </c>
      <c r="F14" s="39" t="s">
        <v>485</v>
      </c>
      <c r="G14" s="39" t="s">
        <v>486</v>
      </c>
      <c r="H14" s="39" t="s">
        <v>487</v>
      </c>
      <c r="I14" s="39" t="s">
        <v>488</v>
      </c>
      <c r="J14" s="40" t="b">
        <f aca="false">TRUE()</f>
        <v>1</v>
      </c>
      <c r="K14" s="41" t="n">
        <v>2</v>
      </c>
      <c r="L14" s="39" t="s">
        <v>489</v>
      </c>
      <c r="M14" s="40" t="b">
        <f aca="false">TRUE()</f>
        <v>1</v>
      </c>
      <c r="N14" s="41" t="n">
        <v>1</v>
      </c>
      <c r="O14" s="39" t="s">
        <v>490</v>
      </c>
      <c r="P14" s="40" t="b">
        <f aca="false">FALSE()</f>
        <v>0</v>
      </c>
      <c r="Q14" s="41"/>
      <c r="R14" s="39"/>
      <c r="S14" s="39" t="s">
        <v>491</v>
      </c>
      <c r="T14" s="39" t="s">
        <v>492</v>
      </c>
      <c r="U14" s="39" t="s">
        <v>493</v>
      </c>
      <c r="V14" s="39" t="s">
        <v>494</v>
      </c>
      <c r="W14" s="39" t="s">
        <v>495</v>
      </c>
      <c r="X14" s="39" t="s">
        <v>496</v>
      </c>
      <c r="Y14" s="39" t="s">
        <v>497</v>
      </c>
      <c r="Z14" s="39" t="s">
        <v>498</v>
      </c>
      <c r="AA14" s="39" t="s">
        <v>499</v>
      </c>
      <c r="AB14" s="38" t="s">
        <v>336</v>
      </c>
      <c r="AC14" s="38" t="s">
        <v>337</v>
      </c>
      <c r="AD14" s="38" t="s">
        <v>338</v>
      </c>
      <c r="AE14" s="39" t="s">
        <v>339</v>
      </c>
      <c r="AM14" s="42" t="s">
        <v>482</v>
      </c>
      <c r="AN14" s="42" t="str">
        <f aca="false">INDEX(TaskStandardTable[分类],MATCH($AM14,TaskStandardTable[工作类型ID],0))</f>
        <v>功能与接口</v>
      </c>
      <c r="AO14" s="43" t="str">
        <f aca="false">INDEX(TaskStandardTable[工作类型名称],MATCH($AM14,TaskStandardTable[工作类型ID],0))</f>
        <v>可复用界面组件</v>
      </c>
      <c r="AP14" s="42" t="str">
        <f aca="false">INDEX(TaskStandardTable[计量单位],MATCH($AM14,TaskStandardTable[工作类型ID],0))</f>
        <v>每个可独立发布的界面组件</v>
      </c>
      <c r="AQ14" s="44" t="n">
        <f aca="false">IF(INDEX(TaskStandardTable[新建适用],MATCH($AM14,TaskStandardTable[工作类型ID],0)),INDEX(TaskStandardTable[新建M档人天],MATCH($AM14,TaskStandardTable[工作类型ID],0)),"-")</f>
        <v>2</v>
      </c>
      <c r="AR14" s="44" t="n">
        <f aca="false">IF(INDEX(TaskStandardTable[调整适用],MATCH($AM14,TaskStandardTable[工作类型ID],0)),INDEX(TaskStandardTable[调整M档人天],MATCH($AM14,TaskStandardTable[工作类型ID],0)),"-")</f>
        <v>1</v>
      </c>
      <c r="AS14" s="44" t="str">
        <f aca="false">IF(INDEX(TaskStandardTable[接入复用适用],MATCH($AM14,TaskStandardTable[工作类型ID],0)),INDEX(TaskStandardTable[接入复用M档人天],MATCH($AM14,TaskStandardTable[工作类型ID],0)),"-")</f>
        <v>-</v>
      </c>
      <c r="AT14" s="42" t="str">
        <f aca="false">INDEX(TaskStandardTable[标准交付物],MATCH($AM14,TaskStandardTable[工作类型ID],0))</f>
        <v>组件属性、事件、状态、样式、主题、无障碍、示例和组件验证</v>
      </c>
      <c r="AU14" s="42" t="str">
        <f aca="false">IF(INDEX(TaskStandardTable[新建适用],MATCH($AM14,TaskStandardTable[工作类型ID],0)),"新建："&amp;INDEX(TaskStandardTable[新建完成标准],MATCH($AM14,TaskStandardTable[工作类型ID],0)),"")&amp;IF(INDEX(TaskStandardTable[调整适用],MATCH($AM14,TaskStandardTable[工作类型ID],0)),IF(OR(INDEX(TaskStandardTable[新建适用],MATCH($AM14,TaskStandardTable[工作类型ID],0))),CHAR(10),"")&amp;"调整："&amp;INDEX(TaskStandardTable[调整完成标准],MATCH($AM14,TaskStandardTable[工作类型ID],0)),"")&amp;IF(INDEX(TaskStandardTable[接入复用适用],MATCH($AM14,TaskStandardTable[工作类型ID],0)),IF(OR(INDEX(TaskStandardTable[新建适用],MATCH($AM14,TaskStandardTable[工作类型ID],0)),INDEX(TaskStandardTable[调整适用],MATCH($AM14,TaskStandardTable[工作类型ID],0))),CHAR(10),"")&amp;"接入复用："&amp;INDEX(TaskStandardTable[接入复用完成标准],MATCH($AM14,TaskStandardTable[工作类型ID],0)),"")</f>
        <v>新建：形成可独立发布的界面组件、示例和验证结果并通过约定验收。
调整：完成既有界面组件公开契约、状态、样式或兼容目标的变更和影响核验。</v>
      </c>
      <c r="AV14" s="42" t="str">
        <f aca="false">INDEX(TaskStandardTable[说明],MATCH($AM14,TaskStandardTable[工作类型ID],0))</f>
        <v>普通组件使用包含在所属页面或应用 Task 中；主题或 Wrapper 只有形成独立配置域或新的公共组件时才单列。</v>
      </c>
      <c r="AW14" s="42" t="str">
        <f aca="false">INDEX(TaskStandardTable[主要计量维度],MATCH($AM14,TaskStandardTable[工作类型ID],0))</f>
        <v>属性/事件、状态变体、消费模块、兼容要求</v>
      </c>
      <c r="AX14" s="42" t="str">
        <f aca="false">INDEX(TaskStandardTable[S标准],MATCH($AM14,TaskStandardTable[工作类型ID],0))</f>
        <v>1～2 个公开属性/事件；≤3 个状态变体；1 个消费模块；沿用现有设计规范</v>
      </c>
      <c r="AY14" s="42" t="str">
        <f aca="false">INDEX(TaskStandardTable[M标准],MATCH($AM14,TaskStandardTable[工作类型ID],0))</f>
        <v>3～6 个属性/事件；4～8 个状态；2～3 个消费模块；含主题、响应式或基础兼容</v>
      </c>
      <c r="AZ14" s="42" t="str">
        <f aca="false">INDEX(TaskStandardTable[L标准],MATCH($AM14,TaskStandardTable[工作类型ID],0))</f>
        <v>7～12 个属性/事件、9～16 个状态或 4～6 个消费模块；涉及跨应用消费、非标准交互、无障碍公开契约，或严格向后兼容、高敏感数据或权限控制、量化服务目标</v>
      </c>
      <c r="BA14" s="42" t="str">
        <f aca="false">INDEX(TaskStandardTable[X/拆分条件],MATCH($AM14,TaskStandardTable[工作类型ID],0))</f>
        <v>属性/事件 &gt;12、状态 &gt;16、消费模块 &gt;6，包含多个可独立发布的界面组件，或要建设完整组件体系</v>
      </c>
      <c r="BB14" s="42" t="str">
        <f aca="false">INDEX(TaskStandardTable[模式适用说明],MATCH($AM14,TaskStandardTable[工作类型ID],0))</f>
        <v>新建看完整独立组件；调整只看公开契约变化和受影响消费方；普通消费不建本类型 Task；非 UI 技术组件使用 CO-TECH-COMPONENT</v>
      </c>
    </row>
    <row r="15" customFormat="false" ht="66" hidden="false" customHeight="true" outlineLevel="0" collapsed="false">
      <c r="A15" s="25" t="n">
        <v>11</v>
      </c>
      <c r="B15" s="26" t="s">
        <v>414</v>
      </c>
      <c r="C15" s="25" t="s">
        <v>500</v>
      </c>
      <c r="D15" s="26" t="s">
        <v>95</v>
      </c>
      <c r="E15" s="26" t="s">
        <v>501</v>
      </c>
      <c r="F15" s="26" t="s">
        <v>502</v>
      </c>
      <c r="G15" s="26" t="s">
        <v>503</v>
      </c>
      <c r="H15" s="26" t="s">
        <v>504</v>
      </c>
      <c r="I15" s="26" t="s">
        <v>505</v>
      </c>
      <c r="J15" s="27" t="b">
        <f aca="false">TRUE()</f>
        <v>1</v>
      </c>
      <c r="K15" s="28" t="n">
        <v>2</v>
      </c>
      <c r="L15" s="26" t="s">
        <v>506</v>
      </c>
      <c r="M15" s="27" t="b">
        <f aca="false">TRUE()</f>
        <v>1</v>
      </c>
      <c r="N15" s="28" t="n">
        <v>1.5</v>
      </c>
      <c r="O15" s="29" t="s">
        <v>507</v>
      </c>
      <c r="P15" s="30" t="b">
        <f aca="false">FALSE()</f>
        <v>0</v>
      </c>
      <c r="Q15" s="31"/>
      <c r="R15" s="29"/>
      <c r="S15" s="29" t="s">
        <v>508</v>
      </c>
      <c r="T15" s="29" t="s">
        <v>509</v>
      </c>
      <c r="U15" s="29" t="s">
        <v>510</v>
      </c>
      <c r="V15" s="29" t="s">
        <v>511</v>
      </c>
      <c r="W15" s="29" t="s">
        <v>512</v>
      </c>
      <c r="X15" s="29" t="s">
        <v>513</v>
      </c>
      <c r="Y15" s="29"/>
      <c r="Z15" s="29" t="s">
        <v>334</v>
      </c>
      <c r="AA15" s="29" t="s">
        <v>374</v>
      </c>
      <c r="AB15" s="32" t="s">
        <v>336</v>
      </c>
      <c r="AC15" s="32" t="s">
        <v>337</v>
      </c>
      <c r="AD15" s="32" t="s">
        <v>338</v>
      </c>
      <c r="AE15" s="29" t="s">
        <v>339</v>
      </c>
      <c r="AM15" s="34" t="s">
        <v>500</v>
      </c>
      <c r="AN15" s="34" t="str">
        <f aca="false">INDEX(TaskStandardTable[分类],MATCH($AM15,TaskStandardTable[工作类型ID],0))</f>
        <v>功能与接口</v>
      </c>
      <c r="AO15" s="35" t="str">
        <f aca="false">INDEX(TaskStandardTable[工作类型名称],MATCH($AM15,TaskStandardTable[工作类型ID],0))</f>
        <v>业务数据查询 API</v>
      </c>
      <c r="AP15" s="34" t="str">
        <f aca="false">INDEX(TaskStandardTable[计量单位],MATCH($AM15,TaskStandardTable[工作类型ID],0))</f>
        <v>每业务事务</v>
      </c>
      <c r="AQ15" s="36" t="n">
        <f aca="false">IF(INDEX(TaskStandardTable[新建适用],MATCH($AM15,TaskStandardTable[工作类型ID],0)),INDEX(TaskStandardTable[新建M档人天],MATCH($AM15,TaskStandardTable[工作类型ID],0)),"-")</f>
        <v>2</v>
      </c>
      <c r="AR15" s="36" t="n">
        <f aca="false">IF(INDEX(TaskStandardTable[调整适用],MATCH($AM15,TaskStandardTable[工作类型ID],0)),INDEX(TaskStandardTable[调整M档人天],MATCH($AM15,TaskStandardTable[工作类型ID],0)),"-")</f>
        <v>1.5</v>
      </c>
      <c r="AS15" s="36" t="str">
        <f aca="false">IF(INDEX(TaskStandardTable[接入复用适用],MATCH($AM15,TaskStandardTable[工作类型ID],0)),INDEX(TaskStandardTable[接入复用M档人天],MATCH($AM15,TaskStandardTable[工作类型ID],0)),"-")</f>
        <v>-</v>
      </c>
      <c r="AT15" s="34" t="str">
        <f aca="false">INDEX(TaskStandardTable[标准交付物],MATCH($AM15,TaskStandardTable[工作类型ID],0))</f>
        <v>查询契约、行为及正确结果</v>
      </c>
      <c r="AU15" s="34" t="str">
        <f aca="false">IF(INDEX(TaskStandardTable[新建适用],MATCH($AM15,TaskStandardTable[工作类型ID],0)),"新建："&amp;INDEX(TaskStandardTable[新建完成标准],MATCH($AM15,TaskStandardTable[工作类型ID],0)),"")&amp;IF(INDEX(TaskStandardTable[调整适用],MATCH($AM15,TaskStandardTable[工作类型ID],0)),IF(OR(INDEX(TaskStandardTable[新建适用],MATCH($AM15,TaskStandardTable[工作类型ID],0))),CHAR(10),"")&amp;"调整："&amp;INDEX(TaskStandardTable[调整完成标准],MATCH($AM15,TaskStandardTable[工作类型ID],0)),"")&amp;IF(INDEX(TaskStandardTable[接入复用适用],MATCH($AM15,TaskStandardTable[工作类型ID],0)),IF(OR(INDEX(TaskStandardTable[新建适用],MATCH($AM15,TaskStandardTable[工作类型ID],0)),INDEX(TaskStandardTable[调整适用],MATCH($AM15,TaskStandardTable[工作类型ID],0))),CHAR(10),"")&amp;"接入复用："&amp;INDEX(TaskStandardTable[接入复用完成标准],MATCH($AM15,TaskStandardTable[工作类型ID],0)),"")</f>
        <v>新建：形成“查询契约、行为及正确结果”并通过约定验收。
调整：完成“查询契约、行为及正确结果”的目标变更和影响核验，并按交付对象性质通过评审、复核、演练或回归验证。</v>
      </c>
      <c r="AV15" s="34" t="str">
        <f aca="false">INDEX(TaskStandardTable[说明],MATCH($AM15,TaskStandardTable[工作类型ID],0))</f>
        <v>不按 Controller、Method 或参数数量计量。</v>
      </c>
      <c r="AW15" s="34" t="str">
        <f aca="false">INDEX(TaskStandardTable[主要计量维度],MATCH($AM15,TaskStandardTable[工作类型ID],0))</f>
        <v>数据对象、筛选/计算规则、返回状态、结果处理机制</v>
      </c>
      <c r="AX15" s="34" t="str">
        <f aca="false">INDEX(TaskStandardTable[S标准],MATCH($AM15,TaskStandardTable[工作类型ID],0))</f>
        <v>1 个主要对象；≤3 个筛选/计算规则；≤3 个业务返回状态；简单分页；单一权限规则</v>
      </c>
      <c r="AY15" s="34" t="str">
        <f aca="false">INDEX(TaskStandardTable[M标准],MATCH($AM15,TaskStandardTable[工作类型ID],0))</f>
        <v>2～3 个相关对象；4～10 个筛选/计算规则；4～8 个业务返回状态；含排序、聚合或角色过滤</v>
      </c>
      <c r="AZ15" s="34" t="str">
        <f aca="false">INDEX(TaskStandardTable[L标准],MATCH($AM15,TaskStandardTable[工作类型ID],0))</f>
        <v>4～6 个紧密相关对象、11～20 条规则或 9～16 个业务返回状态；涉及全文检索、流式/游标结果、多租户隔离，或量化服务目标</v>
      </c>
      <c r="BA15" s="34" t="str">
        <f aca="false">INDEX(TaskStandardTable[X/拆分条件],MATCH($AM15,TaskStandardTable[工作类型ID],0))</f>
        <v>对象 &gt;6、规则 &gt;20、返回状态 &gt;16，包含多个可独立调用并产生不同业务结果的查询事务，或返回口径未明确</v>
      </c>
      <c r="BB15" s="34" t="str">
        <f aca="false">INDEX(TaskStandardTable[模式适用说明],MATCH($AM15,TaskStandardTable[工作类型ID],0))</f>
        <v>新建看完整查询事务；调整只看契约、规则、返回状态、数据路径变化和必要回归</v>
      </c>
    </row>
    <row r="16" customFormat="false" ht="66" hidden="false" customHeight="true" outlineLevel="0" collapsed="false">
      <c r="A16" s="38" t="n">
        <v>12</v>
      </c>
      <c r="B16" s="39" t="s">
        <v>414</v>
      </c>
      <c r="C16" s="38" t="s">
        <v>514</v>
      </c>
      <c r="D16" s="39" t="s">
        <v>110</v>
      </c>
      <c r="E16" s="39" t="s">
        <v>501</v>
      </c>
      <c r="F16" s="39" t="s">
        <v>515</v>
      </c>
      <c r="G16" s="39" t="s">
        <v>516</v>
      </c>
      <c r="H16" s="39" t="s">
        <v>504</v>
      </c>
      <c r="I16" s="39" t="s">
        <v>517</v>
      </c>
      <c r="J16" s="40" t="b">
        <f aca="false">TRUE()</f>
        <v>1</v>
      </c>
      <c r="K16" s="41" t="n">
        <v>2.5</v>
      </c>
      <c r="L16" s="39" t="s">
        <v>518</v>
      </c>
      <c r="M16" s="40" t="b">
        <f aca="false">TRUE()</f>
        <v>1</v>
      </c>
      <c r="N16" s="41" t="n">
        <v>2</v>
      </c>
      <c r="O16" s="39" t="s">
        <v>519</v>
      </c>
      <c r="P16" s="40" t="b">
        <f aca="false">FALSE()</f>
        <v>0</v>
      </c>
      <c r="Q16" s="41"/>
      <c r="R16" s="39"/>
      <c r="S16" s="39" t="s">
        <v>520</v>
      </c>
      <c r="T16" s="39" t="s">
        <v>521</v>
      </c>
      <c r="U16" s="39" t="s">
        <v>522</v>
      </c>
      <c r="V16" s="39" t="s">
        <v>523</v>
      </c>
      <c r="W16" s="39" t="s">
        <v>524</v>
      </c>
      <c r="X16" s="39" t="s">
        <v>525</v>
      </c>
      <c r="Y16" s="39"/>
      <c r="Z16" s="39" t="s">
        <v>334</v>
      </c>
      <c r="AA16" s="39" t="s">
        <v>374</v>
      </c>
      <c r="AB16" s="38" t="s">
        <v>336</v>
      </c>
      <c r="AC16" s="38" t="s">
        <v>337</v>
      </c>
      <c r="AD16" s="38" t="s">
        <v>338</v>
      </c>
      <c r="AE16" s="39" t="s">
        <v>339</v>
      </c>
      <c r="AM16" s="42" t="s">
        <v>514</v>
      </c>
      <c r="AN16" s="42" t="str">
        <f aca="false">INDEX(TaskStandardTable[分类],MATCH($AM16,TaskStandardTable[工作类型ID],0))</f>
        <v>功能与接口</v>
      </c>
      <c r="AO16" s="43" t="str">
        <f aca="false">INDEX(TaskStandardTable[工作类型名称],MATCH($AM16,TaskStandardTable[工作类型ID],0))</f>
        <v>业务操作 API</v>
      </c>
      <c r="AP16" s="42" t="str">
        <f aca="false">INDEX(TaskStandardTable[计量单位],MATCH($AM16,TaskStandardTable[工作类型ID],0))</f>
        <v>每业务事务</v>
      </c>
      <c r="AQ16" s="44" t="n">
        <f aca="false">IF(INDEX(TaskStandardTable[新建适用],MATCH($AM16,TaskStandardTable[工作类型ID],0)),INDEX(TaskStandardTable[新建M档人天],MATCH($AM16,TaskStandardTable[工作类型ID],0)),"-")</f>
        <v>2.5</v>
      </c>
      <c r="AR16" s="44" t="n">
        <f aca="false">IF(INDEX(TaskStandardTable[调整适用],MATCH($AM16,TaskStandardTable[工作类型ID],0)),INDEX(TaskStandardTable[调整M档人天],MATCH($AM16,TaskStandardTable[工作类型ID],0)),"-")</f>
        <v>2</v>
      </c>
      <c r="AS16" s="44" t="str">
        <f aca="false">IF(INDEX(TaskStandardTable[接入复用适用],MATCH($AM16,TaskStandardTable[工作类型ID],0)),INDEX(TaskStandardTable[接入复用M档人天],MATCH($AM16,TaskStandardTable[工作类型ID],0)),"-")</f>
        <v>-</v>
      </c>
      <c r="AT16" s="42" t="str">
        <f aca="false">INDEX(TaskStandardTable[标准交付物],MATCH($AM16,TaskStandardTable[工作类型ID],0))</f>
        <v>操作契约、业务规则及持久化结果</v>
      </c>
      <c r="AU16" s="42" t="str">
        <f aca="false">IF(INDEX(TaskStandardTable[新建适用],MATCH($AM16,TaskStandardTable[工作类型ID],0)),"新建："&amp;INDEX(TaskStandardTable[新建完成标准],MATCH($AM16,TaskStandardTable[工作类型ID],0)),"")&amp;IF(INDEX(TaskStandardTable[调整适用],MATCH($AM16,TaskStandardTable[工作类型ID],0)),IF(OR(INDEX(TaskStandardTable[新建适用],MATCH($AM16,TaskStandardTable[工作类型ID],0))),CHAR(10),"")&amp;"调整："&amp;INDEX(TaskStandardTable[调整完成标准],MATCH($AM16,TaskStandardTable[工作类型ID],0)),"")&amp;IF(INDEX(TaskStandardTable[接入复用适用],MATCH($AM16,TaskStandardTable[工作类型ID],0)),IF(OR(INDEX(TaskStandardTable[新建适用],MATCH($AM16,TaskStandardTable[工作类型ID],0)),INDEX(TaskStandardTable[调整适用],MATCH($AM16,TaskStandardTable[工作类型ID],0))),CHAR(10),"")&amp;"接入复用："&amp;INDEX(TaskStandardTable[接入复用完成标准],MATCH($AM16,TaskStandardTable[工作类型ID],0)),"")</f>
        <v>新建：形成“操作契约、业务规则及持久化结果”并通过约定验收。
调整：完成“操作契约、业务规则及持久化结果”的目标变更和影响核验，并按交付对象性质通过评审、复核、演练或回归验证。</v>
      </c>
      <c r="AV16" s="42" t="str">
        <f aca="false">INDEX(TaskStandardTable[说明],MATCH($AM16,TaskStandardTable[工作类型ID],0))</f>
        <v>每个独立业务结果计一项。</v>
      </c>
      <c r="AW16" s="42" t="str">
        <f aca="false">INDEX(TaskStandardTable[主要计量维度],MATCH($AM16,TaskStandardTable[工作类型ID],0))</f>
        <v>业务对象、规则、本次涉及的状态迁移、副作用</v>
      </c>
      <c r="AX16" s="42" t="str">
        <f aca="false">INDEX(TaskStandardTable[S标准],MATCH($AM16,TaskStandardTable[工作类型ID],0))</f>
        <v>1 个对象；≤3 条规则；1 个事务；≤2 个状态迁移</v>
      </c>
      <c r="AY16" s="42" t="str">
        <f aca="false">INDEX(TaskStandardTable[M标准],MATCH($AM16,TaskStandardTable[工作类型ID],0))</f>
        <v>2～3 个相关对象；4～8 条规则；3～5 个状态迁移；含异步副作用或多角色权限</v>
      </c>
      <c r="AZ16" s="42" t="str">
        <f aca="false">INDEX(TaskStandardTable[L标准],MATCH($AM16,TaskStandardTable[工作类型ID],0))</f>
        <v>4～6 个紧密相关对象、9～16 条规则或 6～10 个状态迁移；涉及外部重放幂等契约、并发写冲突控制、跨资源原子提交，或非标准恢复或回滚、量化服务目标</v>
      </c>
      <c r="BA16" s="42" t="str">
        <f aca="false">INDEX(TaskStandardTable[X/拆分条件],MATCH($AM16,TaskStandardTable[工作类型ID],0))</f>
        <v>对象 &gt;6、规则 &gt;16、状态迁移 &gt;10，包含多个可独立触发并验收的业务操作，或操作结果和事务边界不明确</v>
      </c>
      <c r="BB16" s="42" t="str">
        <f aca="false">INDEX(TaskStandardTable[模式适用说明],MATCH($AM16,TaskStandardTable[工作类型ID],0))</f>
        <v>新建看完整业务操作；调整只看本次涉及的规则、状态迁移、副作用及必要回归，不按存量状态总数判档</v>
      </c>
    </row>
    <row r="17" customFormat="false" ht="66" hidden="false" customHeight="true" outlineLevel="0" collapsed="false">
      <c r="A17" s="25" t="n">
        <v>13</v>
      </c>
      <c r="B17" s="26" t="s">
        <v>414</v>
      </c>
      <c r="C17" s="25" t="s">
        <v>526</v>
      </c>
      <c r="D17" s="26" t="s">
        <v>527</v>
      </c>
      <c r="E17" s="26" t="s">
        <v>528</v>
      </c>
      <c r="F17" s="26" t="s">
        <v>529</v>
      </c>
      <c r="G17" s="26" t="s">
        <v>530</v>
      </c>
      <c r="H17" s="26" t="s">
        <v>531</v>
      </c>
      <c r="I17" s="26" t="s">
        <v>532</v>
      </c>
      <c r="J17" s="27" t="b">
        <f aca="false">TRUE()</f>
        <v>1</v>
      </c>
      <c r="K17" s="28" t="n">
        <v>1.5</v>
      </c>
      <c r="L17" s="26" t="s">
        <v>533</v>
      </c>
      <c r="M17" s="27" t="b">
        <f aca="false">TRUE()</f>
        <v>1</v>
      </c>
      <c r="N17" s="28" t="n">
        <v>1</v>
      </c>
      <c r="O17" s="29" t="s">
        <v>534</v>
      </c>
      <c r="P17" s="30" t="b">
        <f aca="false">FALSE()</f>
        <v>0</v>
      </c>
      <c r="Q17" s="31"/>
      <c r="R17" s="29"/>
      <c r="S17" s="29" t="s">
        <v>535</v>
      </c>
      <c r="T17" s="29" t="s">
        <v>536</v>
      </c>
      <c r="U17" s="29" t="s">
        <v>537</v>
      </c>
      <c r="V17" s="29" t="s">
        <v>538</v>
      </c>
      <c r="W17" s="29" t="s">
        <v>539</v>
      </c>
      <c r="X17" s="29" t="s">
        <v>540</v>
      </c>
      <c r="Y17" s="29"/>
      <c r="Z17" s="29" t="s">
        <v>334</v>
      </c>
      <c r="AA17" s="29" t="s">
        <v>541</v>
      </c>
      <c r="AB17" s="32" t="s">
        <v>336</v>
      </c>
      <c r="AC17" s="32" t="s">
        <v>337</v>
      </c>
      <c r="AD17" s="32" t="s">
        <v>338</v>
      </c>
      <c r="AE17" s="29" t="s">
        <v>339</v>
      </c>
      <c r="AM17" s="34" t="s">
        <v>526</v>
      </c>
      <c r="AN17" s="34" t="str">
        <f aca="false">INDEX(TaskStandardTable[分类],MATCH($AM17,TaskStandardTable[工作类型ID],0))</f>
        <v>功能与接口</v>
      </c>
      <c r="AO17" s="35" t="str">
        <f aca="false">INDEX(TaskStandardTable[工作类型名称],MATCH($AM17,TaskStandardTable[工作类型ID],0))</f>
        <v>文件传输接口</v>
      </c>
      <c r="AP17" s="34" t="str">
        <f aca="false">INDEX(TaskStandardTable[计量单位],MATCH($AM17,TaskStandardTable[工作类型ID],0))</f>
        <v>每文件场景</v>
      </c>
      <c r="AQ17" s="36" t="n">
        <f aca="false">IF(INDEX(TaskStandardTable[新建适用],MATCH($AM17,TaskStandardTable[工作类型ID],0)),INDEX(TaskStandardTable[新建M档人天],MATCH($AM17,TaskStandardTable[工作类型ID],0)),"-")</f>
        <v>1.5</v>
      </c>
      <c r="AR17" s="36" t="n">
        <f aca="false">IF(INDEX(TaskStandardTable[调整适用],MATCH($AM17,TaskStandardTable[工作类型ID],0)),INDEX(TaskStandardTable[调整M档人天],MATCH($AM17,TaskStandardTable[工作类型ID],0)),"-")</f>
        <v>1</v>
      </c>
      <c r="AS17" s="36" t="str">
        <f aca="false">IF(INDEX(TaskStandardTable[接入复用适用],MATCH($AM17,TaskStandardTable[工作类型ID],0)),INDEX(TaskStandardTable[接入复用M档人天],MATCH($AM17,TaskStandardTable[工作类型ID],0)),"-")</f>
        <v>-</v>
      </c>
      <c r="AT17" s="34" t="str">
        <f aca="false">INDEX(TaskStandardTable[标准交付物],MATCH($AM17,TaskStandardTable[工作类型ID],0))</f>
        <v>文件上传、下载或传输能力</v>
      </c>
      <c r="AU17" s="34" t="str">
        <f aca="false">IF(INDEX(TaskStandardTable[新建适用],MATCH($AM17,TaskStandardTable[工作类型ID],0)),"新建："&amp;INDEX(TaskStandardTable[新建完成标准],MATCH($AM17,TaskStandardTable[工作类型ID],0)),"")&amp;IF(INDEX(TaskStandardTable[调整适用],MATCH($AM17,TaskStandardTable[工作类型ID],0)),IF(OR(INDEX(TaskStandardTable[新建适用],MATCH($AM17,TaskStandardTable[工作类型ID],0))),CHAR(10),"")&amp;"调整："&amp;INDEX(TaskStandardTable[调整完成标准],MATCH($AM17,TaskStandardTable[工作类型ID],0)),"")&amp;IF(INDEX(TaskStandardTable[接入复用适用],MATCH($AM17,TaskStandardTable[工作类型ID],0)),IF(OR(INDEX(TaskStandardTable[新建适用],MATCH($AM17,TaskStandardTable[工作类型ID],0)),INDEX(TaskStandardTable[调整适用],MATCH($AM17,TaskStandardTable[工作类型ID],0))),CHAR(10),"")&amp;"接入复用："&amp;INDEX(TaskStandardTable[接入复用完成标准],MATCH($AM17,TaskStandardTable[工作类型ID],0)),"")</f>
        <v>新建：形成“文件上传、下载或传输能力”并通过约定验收。
调整：完成“文件上传、下载或传输能力”的目标变更和影响核验，并按交付对象性质通过评审、复核、演练或回归验证。</v>
      </c>
      <c r="AV17" s="34" t="str">
        <f aca="false">INDEX(TaskStandardTable[说明],MATCH($AM17,TaskStandardTable[工作类型ID],0))</f>
        <v>数据导入输出、解析和文档生成使用对应类型。</v>
      </c>
      <c r="AW17" s="34" t="str">
        <f aca="false">INDEX(TaskStandardTable[主要计量维度],MATCH($AM17,TaskStandardTable[工作类型ID],0))</f>
        <v>方向、格式、文件大小、传输控制</v>
      </c>
      <c r="AX17" s="34" t="str">
        <f aca="false">INDEX(TaskStandardTable[S标准],MATCH($AM17,TaskStandardTable[工作类型ID],0))</f>
        <v>单一方向；1 种格式；≤50 MB；基础类型和大小校验</v>
      </c>
      <c r="AY17" s="34" t="str">
        <f aca="false">INDEX(TaskStandardTable[M标准],MATCH($AM17,TaskStandardTable[工作类型ID],0))</f>
        <v>单一场景含 2～3 种格式；&gt;50 MB 且 ≤2 GB；病毒扫描、断点续传或临时凭证</v>
      </c>
      <c r="AZ17" s="34" t="str">
        <f aca="false">INDEX(TaskStandardTable[L标准],MATCH($AM17,TaskStandardTable[工作类型ID],0))</f>
        <v>单一场景 &gt;2 GB 且 ≤20 GB，或 4～6 种紧密相关格式；涉及流式分片传输、端到端加密、带宽控制，或量化服务目标、受监管证据、高敏感数据或权限控制</v>
      </c>
      <c r="BA17" s="34" t="str">
        <f aca="false">INDEX(TaskStandardTable[X/拆分条件],MATCH($AM17,TaskStandardTable[工作类型ID],0))</f>
        <v>文件 &gt;20 GB、格式 &gt;6，包含多个独立上传/下载业务场景、不同责任边界，或文件规则未明确</v>
      </c>
      <c r="BB17" s="34" t="str">
        <f aca="false">INDEX(TaskStandardTable[模式适用说明],MATCH($AM17,TaskStandardTable[工作类型ID],0))</f>
        <v>新建看完整文件场景；调整只看格式、控制、存储路径变化和必要回归</v>
      </c>
    </row>
    <row r="18" customFormat="false" ht="66" hidden="false" customHeight="true" outlineLevel="0" collapsed="false">
      <c r="A18" s="38" t="n">
        <v>14</v>
      </c>
      <c r="B18" s="39" t="s">
        <v>414</v>
      </c>
      <c r="C18" s="38" t="s">
        <v>542</v>
      </c>
      <c r="D18" s="39" t="s">
        <v>543</v>
      </c>
      <c r="E18" s="39" t="s">
        <v>501</v>
      </c>
      <c r="F18" s="39" t="s">
        <v>544</v>
      </c>
      <c r="G18" s="39" t="s">
        <v>545</v>
      </c>
      <c r="H18" s="39" t="s">
        <v>546</v>
      </c>
      <c r="I18" s="39" t="s">
        <v>547</v>
      </c>
      <c r="J18" s="40" t="b">
        <f aca="false">TRUE()</f>
        <v>1</v>
      </c>
      <c r="K18" s="41" t="n">
        <v>2.5</v>
      </c>
      <c r="L18" s="39" t="s">
        <v>548</v>
      </c>
      <c r="M18" s="40" t="b">
        <f aca="false">TRUE()</f>
        <v>1</v>
      </c>
      <c r="N18" s="41" t="n">
        <v>2</v>
      </c>
      <c r="O18" s="39" t="s">
        <v>549</v>
      </c>
      <c r="P18" s="40" t="b">
        <f aca="false">FALSE()</f>
        <v>0</v>
      </c>
      <c r="Q18" s="41"/>
      <c r="R18" s="39"/>
      <c r="S18" s="39" t="s">
        <v>550</v>
      </c>
      <c r="T18" s="39" t="s">
        <v>551</v>
      </c>
      <c r="U18" s="39" t="s">
        <v>552</v>
      </c>
      <c r="V18" s="39" t="s">
        <v>553</v>
      </c>
      <c r="W18" s="39" t="s">
        <v>554</v>
      </c>
      <c r="X18" s="39" t="s">
        <v>555</v>
      </c>
      <c r="Y18" s="39"/>
      <c r="Z18" s="39" t="s">
        <v>334</v>
      </c>
      <c r="AA18" s="39" t="s">
        <v>556</v>
      </c>
      <c r="AB18" s="38" t="s">
        <v>336</v>
      </c>
      <c r="AC18" s="38" t="s">
        <v>337</v>
      </c>
      <c r="AD18" s="38" t="s">
        <v>338</v>
      </c>
      <c r="AE18" s="39" t="s">
        <v>339</v>
      </c>
      <c r="AM18" s="42" t="s">
        <v>542</v>
      </c>
      <c r="AN18" s="42" t="str">
        <f aca="false">INDEX(TaskStandardTable[分类],MATCH($AM18,TaskStandardTable[工作类型ID],0))</f>
        <v>功能与接口</v>
      </c>
      <c r="AO18" s="43" t="str">
        <f aca="false">INDEX(TaskStandardTable[工作类型名称],MATCH($AM18,TaskStandardTable[工作类型ID],0))</f>
        <v>消息驱动业务处理流程</v>
      </c>
      <c r="AP18" s="42" t="str">
        <f aca="false">INDEX(TaskStandardTable[计量单位],MATCH($AM18,TaskStandardTable[工作类型ID],0))</f>
        <v>每业务事务</v>
      </c>
      <c r="AQ18" s="44" t="n">
        <f aca="false">IF(INDEX(TaskStandardTable[新建适用],MATCH($AM18,TaskStandardTable[工作类型ID],0)),INDEX(TaskStandardTable[新建M档人天],MATCH($AM18,TaskStandardTable[工作类型ID],0)),"-")</f>
        <v>2.5</v>
      </c>
      <c r="AR18" s="44" t="n">
        <f aca="false">IF(INDEX(TaskStandardTable[调整适用],MATCH($AM18,TaskStandardTable[工作类型ID],0)),INDEX(TaskStandardTable[调整M档人天],MATCH($AM18,TaskStandardTable[工作类型ID],0)),"-")</f>
        <v>2</v>
      </c>
      <c r="AS18" s="44" t="str">
        <f aca="false">IF(INDEX(TaskStandardTable[接入复用适用],MATCH($AM18,TaskStandardTable[工作类型ID],0)),INDEX(TaskStandardTable[接入复用M档人天],MATCH($AM18,TaskStandardTable[工作类型ID],0)),"-")</f>
        <v>-</v>
      </c>
      <c r="AT18" s="42" t="str">
        <f aca="false">INDEX(TaskStandardTable[标准交付物],MATCH($AM18,TaskStandardTable[工作类型ID],0))</f>
        <v>消息驱动业务流程及处理结果</v>
      </c>
      <c r="AU18" s="42" t="str">
        <f aca="false">IF(INDEX(TaskStandardTable[新建适用],MATCH($AM18,TaskStandardTable[工作类型ID],0)),"新建："&amp;INDEX(TaskStandardTable[新建完成标准],MATCH($AM18,TaskStandardTable[工作类型ID],0)),"")&amp;IF(INDEX(TaskStandardTable[调整适用],MATCH($AM18,TaskStandardTable[工作类型ID],0)),IF(OR(INDEX(TaskStandardTable[新建适用],MATCH($AM18,TaskStandardTable[工作类型ID],0))),CHAR(10),"")&amp;"调整："&amp;INDEX(TaskStandardTable[调整完成标准],MATCH($AM18,TaskStandardTable[工作类型ID],0)),"")&amp;IF(INDEX(TaskStandardTable[接入复用适用],MATCH($AM18,TaskStandardTable[工作类型ID],0)),IF(OR(INDEX(TaskStandardTable[新建适用],MATCH($AM18,TaskStandardTable[工作类型ID],0)),INDEX(TaskStandardTable[调整适用],MATCH($AM18,TaskStandardTable[工作类型ID],0))),CHAR(10),"")&amp;"接入复用："&amp;INDEX(TaskStandardTable[接入复用完成标准],MATCH($AM18,TaskStandardTable[工作类型ID],0)),"")</f>
        <v>新建：形成“消息驱动业务流程及处理结果”并通过约定验收。
调整：完成“消息驱动业务流程及处理结果”的目标变更和影响核验，并按交付对象性质通过评审、复核、演练或回归验证。</v>
      </c>
      <c r="AV18" s="42" t="str">
        <f aca="false">INDEX(TaskStandardTable[说明],MATCH($AM18,TaskStandardTable[工作类型ID],0))</f>
        <v>普通事件发布、Outbox、Retry 和 DLQ 不单列。</v>
      </c>
      <c r="AW18" s="42" t="str">
        <f aca="false">INDEX(TaskStandardTable[主要计量维度],MATCH($AM18,TaskStandardTable[工作类型ID],0))</f>
        <v>事件类型、处理步骤、消费者、交付语义</v>
      </c>
      <c r="AX18" s="42" t="str">
        <f aca="false">INDEX(TaskStandardTable[S标准],MATCH($AM18,TaskStandardTable[工作类型ID],0))</f>
        <v>1 个事件类型；1 个消费者；≤2 个处理步骤；允许至少一次且副作用简单</v>
      </c>
      <c r="AY18" s="42" t="str">
        <f aca="false">INDEX(TaskStandardTable[M标准],MATCH($AM18,TaskStandardTable[工作类型ID],0))</f>
        <v>1 个业务事务含 2～3 个相关事件类型、2～3 个消费者；3～5 个步骤；需顺序、重试、幂等或 DLQ</v>
      </c>
      <c r="AZ18" s="42" t="str">
        <f aca="false">INDEX(TaskStandardTable[L标准],MATCH($AM18,TaskStandardTable[工作类型ID],0))</f>
        <v>4～6 个紧密相关事件类型、4～6 个消费者或 6～10 个步骤；涉及事务消息/Outbox 一致性、消息回放，或严格向后兼容、量化服务目标、跨区域连续性</v>
      </c>
      <c r="BA18" s="42" t="str">
        <f aca="false">INDEX(TaskStandardTable[X/拆分条件],MATCH($AM18,TaskStandardTable[工作类型ID],0))</f>
        <v>事件 &gt;6、消费者 &gt;6、步骤 &gt;10，包含多个独立消息方向或业务事务，或消息契约和交付语义未明确</v>
      </c>
      <c r="BB18" s="42" t="str">
        <f aca="false">INDEX(TaskStandardTable[模式适用说明],MATCH($AM18,TaskStandardTable[工作类型ID],0))</f>
        <v>新建看完整消息事务；调整只看变化事件、消费者、语义和必要回放回归</v>
      </c>
    </row>
    <row r="19" customFormat="false" ht="66" hidden="false" customHeight="true" outlineLevel="0" collapsed="false">
      <c r="A19" s="25" t="n">
        <v>15</v>
      </c>
      <c r="B19" s="26" t="s">
        <v>414</v>
      </c>
      <c r="C19" s="25" t="s">
        <v>557</v>
      </c>
      <c r="D19" s="26" t="s">
        <v>146</v>
      </c>
      <c r="E19" s="26" t="s">
        <v>558</v>
      </c>
      <c r="F19" s="26" t="s">
        <v>559</v>
      </c>
      <c r="G19" s="26" t="s">
        <v>560</v>
      </c>
      <c r="H19" s="26" t="s">
        <v>561</v>
      </c>
      <c r="I19" s="26" t="s">
        <v>562</v>
      </c>
      <c r="J19" s="27" t="b">
        <f aca="false">TRUE()</f>
        <v>1</v>
      </c>
      <c r="K19" s="28" t="n">
        <v>2</v>
      </c>
      <c r="L19" s="26" t="s">
        <v>563</v>
      </c>
      <c r="M19" s="27" t="b">
        <f aca="false">TRUE()</f>
        <v>1</v>
      </c>
      <c r="N19" s="28" t="n">
        <v>1.5</v>
      </c>
      <c r="O19" s="29" t="s">
        <v>564</v>
      </c>
      <c r="P19" s="30" t="b">
        <f aca="false">FALSE()</f>
        <v>0</v>
      </c>
      <c r="Q19" s="31"/>
      <c r="R19" s="29"/>
      <c r="S19" s="29" t="s">
        <v>565</v>
      </c>
      <c r="T19" s="29" t="s">
        <v>566</v>
      </c>
      <c r="U19" s="29" t="s">
        <v>567</v>
      </c>
      <c r="V19" s="29" t="s">
        <v>568</v>
      </c>
      <c r="W19" s="29" t="s">
        <v>569</v>
      </c>
      <c r="X19" s="29" t="s">
        <v>570</v>
      </c>
      <c r="Y19" s="29"/>
      <c r="Z19" s="29" t="s">
        <v>334</v>
      </c>
      <c r="AA19" s="29" t="s">
        <v>374</v>
      </c>
      <c r="AB19" s="32" t="s">
        <v>336</v>
      </c>
      <c r="AC19" s="32" t="s">
        <v>337</v>
      </c>
      <c r="AD19" s="32" t="s">
        <v>338</v>
      </c>
      <c r="AE19" s="29" t="s">
        <v>339</v>
      </c>
      <c r="AM19" s="34" t="s">
        <v>557</v>
      </c>
      <c r="AN19" s="34" t="str">
        <f aca="false">INDEX(TaskStandardTable[分类],MATCH($AM19,TaskStandardTable[工作类型ID],0))</f>
        <v>功能与接口</v>
      </c>
      <c r="AO19" s="35" t="str">
        <f aca="false">INDEX(TaskStandardTable[工作类型名称],MATCH($AM19,TaskStandardTable[工作类型ID],0))</f>
        <v>异常补偿与业务恢复流程</v>
      </c>
      <c r="AP19" s="34" t="str">
        <f aca="false">INDEX(TaskStandardTable[计量单位],MATCH($AM19,TaskStandardTable[工作类型ID],0))</f>
        <v>每业务场景</v>
      </c>
      <c r="AQ19" s="36" t="n">
        <f aca="false">IF(INDEX(TaskStandardTable[新建适用],MATCH($AM19,TaskStandardTable[工作类型ID],0)),INDEX(TaskStandardTable[新建M档人天],MATCH($AM19,TaskStandardTable[工作类型ID],0)),"-")</f>
        <v>2</v>
      </c>
      <c r="AR19" s="36" t="n">
        <f aca="false">IF(INDEX(TaskStandardTable[调整适用],MATCH($AM19,TaskStandardTable[工作类型ID],0)),INDEX(TaskStandardTable[调整M档人天],MATCH($AM19,TaskStandardTable[工作类型ID],0)),"-")</f>
        <v>1.5</v>
      </c>
      <c r="AS19" s="36" t="str">
        <f aca="false">IF(INDEX(TaskStandardTable[接入复用适用],MATCH($AM19,TaskStandardTable[工作类型ID],0)),INDEX(TaskStandardTable[接入复用M档人天],MATCH($AM19,TaskStandardTable[工作类型ID],0)),"-")</f>
        <v>-</v>
      </c>
      <c r="AT19" s="34" t="str">
        <f aca="false">INDEX(TaskStandardTable[标准交付物],MATCH($AM19,TaskStandardTable[工作类型ID],0))</f>
        <v>可执行并验证的补偿或恢复结果</v>
      </c>
      <c r="AU19" s="34" t="str">
        <f aca="false">IF(INDEX(TaskStandardTable[新建适用],MATCH($AM19,TaskStandardTable[工作类型ID],0)),"新建："&amp;INDEX(TaskStandardTable[新建完成标准],MATCH($AM19,TaskStandardTable[工作类型ID],0)),"")&amp;IF(INDEX(TaskStandardTable[调整适用],MATCH($AM19,TaskStandardTable[工作类型ID],0)),IF(OR(INDEX(TaskStandardTable[新建适用],MATCH($AM19,TaskStandardTable[工作类型ID],0))),CHAR(10),"")&amp;"调整："&amp;INDEX(TaskStandardTable[调整完成标准],MATCH($AM19,TaskStandardTable[工作类型ID],0)),"")&amp;IF(INDEX(TaskStandardTable[接入复用适用],MATCH($AM19,TaskStandardTable[工作类型ID],0)),IF(OR(INDEX(TaskStandardTable[新建适用],MATCH($AM19,TaskStandardTable[工作类型ID],0)),INDEX(TaskStandardTable[调整适用],MATCH($AM19,TaskStandardTable[工作类型ID],0))),CHAR(10),"")&amp;"接入复用："&amp;INDEX(TaskStandardTable[接入复用完成标准],MATCH($AM19,TaskStandardTable[工作类型ID],0)),"")</f>
        <v>新建：形成“可执行并验证的补偿或恢复结果”并通过约定验收。
调整：完成“可执行并验证的补偿或恢复结果”的目标变更和影响核验，并按交付对象性质通过评审、复核、演练或回归验证。</v>
      </c>
      <c r="AV19" s="34" t="str">
        <f aca="false">INDEX(TaskStandardTable[说明],MATCH($AM19,TaskStandardTable[工作类型ID],0))</f>
        <v>必须有独立触发方式和验收结果。</v>
      </c>
      <c r="AW19" s="34" t="str">
        <f aca="false">INDEX(TaskStandardTable[主要计量维度],MATCH($AM19,TaskStandardTable[工作类型ID],0))</f>
        <v>失败点、补偿步骤、恢复目标、人工介入</v>
      </c>
      <c r="AX19" s="34" t="str">
        <f aca="false">INDEX(TaskStandardTable[S标准],MATCH($AM19,TaskStandardTable[工作类型ID],0))</f>
        <v>1 个失败点；1～2 个补偿步骤；自动恢复；无数据冲突</v>
      </c>
      <c r="AY19" s="34" t="str">
        <f aca="false">INDEX(TaskStandardTable[M标准],MATCH($AM19,TaskStandardTable[工作类型ID],0))</f>
        <v>2～3 个相关失败点；3～5 个步骤；含重试、幂等或一次人工确认</v>
      </c>
      <c r="AZ19" s="34" t="str">
        <f aca="false">INDEX(TaskStandardTable[L标准],MATCH($AM19,TaskStandardTable[工作类型ID],0))</f>
        <v>4～6 个紧密相关失败点或 6～10 个步骤；涉及跨系统回滚、部分成功处置、数据冲突处置、多级人工处置，或非标准恢复或回滚</v>
      </c>
      <c r="BA19" s="34" t="str">
        <f aca="false">INDEX(TaskStandardTable[X/拆分条件],MATCH($AM19,TaskStandardTable[工作类型ID],0))</f>
        <v>失败点 &gt;6、步骤 &gt;10，包含多个独立恢复目标，或原始事务、失败状态和成功判据不明确</v>
      </c>
      <c r="BB19" s="34" t="str">
        <f aca="false">INDEX(TaskStandardTable[模式适用说明],MATCH($AM19,TaskStandardTable[工作类型ID],0))</f>
        <v>新建看完整恢复场景；调整只看变化失败路径、补偿规则和恢复验证</v>
      </c>
    </row>
    <row r="20" customFormat="false" ht="66" hidden="false" customHeight="true" outlineLevel="0" collapsed="false">
      <c r="A20" s="38" t="n">
        <v>16</v>
      </c>
      <c r="B20" s="39" t="s">
        <v>414</v>
      </c>
      <c r="C20" s="38" t="s">
        <v>571</v>
      </c>
      <c r="D20" s="39" t="s">
        <v>572</v>
      </c>
      <c r="E20" s="39" t="s">
        <v>449</v>
      </c>
      <c r="F20" s="39" t="s">
        <v>573</v>
      </c>
      <c r="G20" s="39" t="s">
        <v>574</v>
      </c>
      <c r="H20" s="39" t="s">
        <v>452</v>
      </c>
      <c r="I20" s="39" t="s">
        <v>575</v>
      </c>
      <c r="J20" s="40" t="b">
        <f aca="false">TRUE()</f>
        <v>1</v>
      </c>
      <c r="K20" s="41" t="n">
        <v>2.5</v>
      </c>
      <c r="L20" s="39" t="s">
        <v>576</v>
      </c>
      <c r="M20" s="40" t="b">
        <f aca="false">TRUE()</f>
        <v>1</v>
      </c>
      <c r="N20" s="41" t="n">
        <v>2</v>
      </c>
      <c r="O20" s="39" t="s">
        <v>577</v>
      </c>
      <c r="P20" s="40" t="b">
        <f aca="false">FALSE()</f>
        <v>0</v>
      </c>
      <c r="Q20" s="41"/>
      <c r="R20" s="39"/>
      <c r="S20" s="39" t="s">
        <v>578</v>
      </c>
      <c r="T20" s="39" t="s">
        <v>579</v>
      </c>
      <c r="U20" s="39" t="s">
        <v>580</v>
      </c>
      <c r="V20" s="39" t="s">
        <v>581</v>
      </c>
      <c r="W20" s="39" t="s">
        <v>582</v>
      </c>
      <c r="X20" s="39" t="s">
        <v>583</v>
      </c>
      <c r="Y20" s="39"/>
      <c r="Z20" s="39" t="s">
        <v>334</v>
      </c>
      <c r="AA20" s="39" t="s">
        <v>374</v>
      </c>
      <c r="AB20" s="38" t="s">
        <v>336</v>
      </c>
      <c r="AC20" s="38" t="s">
        <v>337</v>
      </c>
      <c r="AD20" s="38" t="s">
        <v>338</v>
      </c>
      <c r="AE20" s="39" t="s">
        <v>339</v>
      </c>
      <c r="AM20" s="42" t="s">
        <v>571</v>
      </c>
      <c r="AN20" s="42" t="str">
        <f aca="false">INDEX(TaskStandardTable[分类],MATCH($AM20,TaskStandardTable[工作类型ID],0))</f>
        <v>功能与接口</v>
      </c>
      <c r="AO20" s="43" t="str">
        <f aca="false">INDEX(TaskStandardTable[工作类型名称],MATCH($AM20,TaskStandardTable[工作类型ID],0))</f>
        <v>批量处理与定时调度任务</v>
      </c>
      <c r="AP20" s="42" t="str">
        <f aca="false">INDEX(TaskStandardTable[计量单位],MATCH($AM20,TaskStandardTable[工作类型ID],0))</f>
        <v>每业务流程</v>
      </c>
      <c r="AQ20" s="44" t="n">
        <f aca="false">IF(INDEX(TaskStandardTable[新建适用],MATCH($AM20,TaskStandardTable[工作类型ID],0)),INDEX(TaskStandardTable[新建M档人天],MATCH($AM20,TaskStandardTable[工作类型ID],0)),"-")</f>
        <v>2.5</v>
      </c>
      <c r="AR20" s="44" t="n">
        <f aca="false">IF(INDEX(TaskStandardTable[调整适用],MATCH($AM20,TaskStandardTable[工作类型ID],0)),INDEX(TaskStandardTable[调整M档人天],MATCH($AM20,TaskStandardTable[工作类型ID],0)),"-")</f>
        <v>2</v>
      </c>
      <c r="AS20" s="44" t="str">
        <f aca="false">IF(INDEX(TaskStandardTable[接入复用适用],MATCH($AM20,TaskStandardTable[工作类型ID],0)),INDEX(TaskStandardTable[接入复用M档人天],MATCH($AM20,TaskStandardTable[工作类型ID],0)),"-")</f>
        <v>-</v>
      </c>
      <c r="AT20" s="42" t="str">
        <f aca="false">INDEX(TaskStandardTable[标准交付物],MATCH($AM20,TaskStandardTable[工作类型ID],0))</f>
        <v>批量处理或调度流程及执行结果</v>
      </c>
      <c r="AU20" s="42" t="str">
        <f aca="false">IF(INDEX(TaskStandardTable[新建适用],MATCH($AM20,TaskStandardTable[工作类型ID],0)),"新建："&amp;INDEX(TaskStandardTable[新建完成标准],MATCH($AM20,TaskStandardTable[工作类型ID],0)),"")&amp;IF(INDEX(TaskStandardTable[调整适用],MATCH($AM20,TaskStandardTable[工作类型ID],0)),IF(OR(INDEX(TaskStandardTable[新建适用],MATCH($AM20,TaskStandardTable[工作类型ID],0))),CHAR(10),"")&amp;"调整："&amp;INDEX(TaskStandardTable[调整完成标准],MATCH($AM20,TaskStandardTable[工作类型ID],0)),"")&amp;IF(INDEX(TaskStandardTable[接入复用适用],MATCH($AM20,TaskStandardTable[工作类型ID],0)),IF(OR(INDEX(TaskStandardTable[新建适用],MATCH($AM20,TaskStandardTable[工作类型ID],0)),INDEX(TaskStandardTable[调整适用],MATCH($AM20,TaskStandardTable[工作类型ID],0))),CHAR(10),"")&amp;"接入复用："&amp;INDEX(TaskStandardTable[接入复用完成标准],MATCH($AM20,TaskStandardTable[工作类型ID],0)),"")</f>
        <v>新建：形成“批量处理或调度流程及执行结果”并通过约定验收。
调整：完成“批量处理或调度流程及执行结果”的目标变更和影响核验，并按交付对象性质通过评审、复核、演练或回归验证。</v>
      </c>
      <c r="AV20" s="42" t="str">
        <f aca="false">INDEX(TaskStandardTable[说明],MATCH($AM20,TaskStandardTable[工作类型ID],0))</f>
        <v>触发方式和数据规模是属性或复杂度。</v>
      </c>
      <c r="AW20" s="42" t="str">
        <f aca="false">INDEX(TaskStandardTable[主要计量维度],MATCH($AM20,TaskStandardTable[工作类型ID],0))</f>
        <v>处理步骤、数据量、外部依赖、恢复能力</v>
      </c>
      <c r="AX20" s="42" t="str">
        <f aca="false">INDEX(TaskStandardTable[S标准],MATCH($AM20,TaskStandardTable[工作类型ID],0))</f>
        <v>1～2 个步骤；单源单目标；≤1 万条/批；除源/目标外无其他依赖；失败可整体重跑</v>
      </c>
      <c r="AY20" s="42" t="str">
        <f aca="false">INDEX(TaskStandardTable[M标准],MATCH($AM20,TaskStandardTable[工作类型ID],0))</f>
        <v>3～5 个步骤；&gt;1 万且 ≤100 万条/批；1～3 个外部依赖；需重试、监控或断点续跑</v>
      </c>
      <c r="AZ20" s="42" t="str">
        <f aca="false">INDEX(TaskStandardTable[L标准],MATCH($AM20,TaskStandardTable[工作类型ID],0))</f>
        <v>≥6 个紧密连续步骤、&gt;100 万条/批或 ≥4 个外部依赖；涉及分片并行，或量化服务目标、非标准恢复或回滚</v>
      </c>
      <c r="BA20" s="42" t="str">
        <f aca="false">INDEX(TaskStandardTable[X/拆分条件],MATCH($AM20,TaskStandardTable[工作类型ID],0))</f>
        <v>包含多个可独立调度和验收的批处理流程，或数据口径/窗口未明确</v>
      </c>
      <c r="BB20" s="42" t="str">
        <f aca="false">INDEX(TaskStandardTable[模式适用说明],MATCH($AM20,TaskStandardTable[工作类型ID],0))</f>
        <v>依赖数不包含已单独计量的源和目标端点；调整只看变化步骤、调度、数据路径和必要回归</v>
      </c>
    </row>
    <row r="21" customFormat="false" ht="96" hidden="false" customHeight="true" outlineLevel="0" collapsed="false">
      <c r="A21" s="25" t="n">
        <v>17</v>
      </c>
      <c r="B21" s="26" t="s">
        <v>584</v>
      </c>
      <c r="C21" s="25" t="s">
        <v>585</v>
      </c>
      <c r="D21" s="26" t="s">
        <v>115</v>
      </c>
      <c r="E21" s="26" t="s">
        <v>586</v>
      </c>
      <c r="F21" s="26" t="s">
        <v>587</v>
      </c>
      <c r="G21" s="26" t="s">
        <v>588</v>
      </c>
      <c r="H21" s="26" t="s">
        <v>589</v>
      </c>
      <c r="I21" s="26" t="s">
        <v>590</v>
      </c>
      <c r="J21" s="27" t="b">
        <f aca="false">TRUE()</f>
        <v>1</v>
      </c>
      <c r="K21" s="28" t="n">
        <v>3</v>
      </c>
      <c r="L21" s="26" t="s">
        <v>591</v>
      </c>
      <c r="M21" s="27" t="b">
        <f aca="false">TRUE()</f>
        <v>1</v>
      </c>
      <c r="N21" s="28" t="n">
        <v>2</v>
      </c>
      <c r="O21" s="29" t="s">
        <v>592</v>
      </c>
      <c r="P21" s="30" t="b">
        <f aca="false">TRUE()</f>
        <v>1</v>
      </c>
      <c r="Q21" s="31" t="n">
        <v>1.5</v>
      </c>
      <c r="R21" s="29" t="s">
        <v>593</v>
      </c>
      <c r="S21" s="29" t="s">
        <v>594</v>
      </c>
      <c r="T21" s="29" t="s">
        <v>595</v>
      </c>
      <c r="U21" s="29" t="s">
        <v>596</v>
      </c>
      <c r="V21" s="29" t="s">
        <v>597</v>
      </c>
      <c r="W21" s="29" t="s">
        <v>598</v>
      </c>
      <c r="X21" s="29" t="s">
        <v>599</v>
      </c>
      <c r="Y21" s="29" t="s">
        <v>600</v>
      </c>
      <c r="Z21" s="29" t="s">
        <v>601</v>
      </c>
      <c r="AA21" s="29" t="s">
        <v>374</v>
      </c>
      <c r="AB21" s="32" t="s">
        <v>602</v>
      </c>
      <c r="AC21" s="32" t="s">
        <v>337</v>
      </c>
      <c r="AD21" s="32" t="s">
        <v>338</v>
      </c>
      <c r="AE21" s="29" t="s">
        <v>339</v>
      </c>
      <c r="AM21" s="34" t="s">
        <v>585</v>
      </c>
      <c r="AN21" s="34" t="str">
        <f aca="false">INDEX(TaskStandardTable[分类],MATCH($AM21,TaskStandardTable[工作类型ID],0))</f>
        <v>系统集成</v>
      </c>
      <c r="AO21" s="35" t="str">
        <f aca="false">INDEX(TaskStandardTable[工作类型名称],MATCH($AM21,TaskStandardTable[工作类型ID],0))</f>
        <v>跨系统业务交互集成</v>
      </c>
      <c r="AP21" s="34" t="str">
        <f aca="false">INDEX(TaskStandardTable[计量单位],MATCH($AM21,TaskStandardTable[工作类型ID],0))</f>
        <v>每个已批准集成（Integration，单一交互方向）</v>
      </c>
      <c r="AQ21" s="36" t="n">
        <f aca="false">IF(INDEX(TaskStandardTable[新建适用],MATCH($AM21,TaskStandardTable[工作类型ID],0)),INDEX(TaskStandardTable[新建M档人天],MATCH($AM21,TaskStandardTable[工作类型ID],0)),"-")</f>
        <v>3</v>
      </c>
      <c r="AR21" s="36" t="n">
        <f aca="false">IF(INDEX(TaskStandardTable[调整适用],MATCH($AM21,TaskStandardTable[工作类型ID],0)),INDEX(TaskStandardTable[调整M档人天],MATCH($AM21,TaskStandardTable[工作类型ID],0)),"-")</f>
        <v>2</v>
      </c>
      <c r="AS21" s="36" t="n">
        <f aca="false">IF(INDEX(TaskStandardTable[接入复用适用],MATCH($AM21,TaskStandardTable[工作类型ID],0)),INDEX(TaskStandardTable[接入复用M档人天],MATCH($AM21,TaskStandardTable[工作类型ID],0)),"-")</f>
        <v>1.5</v>
      </c>
      <c r="AT21" s="34" t="str">
        <f aca="false">INDEX(TaskStandardTable[标准交付物],MATCH($AM21,TaskStandardTable[工作类型ID],0))</f>
        <v>一个已批准集成的交互契约、数据映射及业务处理结果</v>
      </c>
      <c r="AU21" s="34" t="str">
        <f aca="false">IF(INDEX(TaskStandardTable[新建适用],MATCH($AM21,TaskStandardTable[工作类型ID],0)),"新建："&amp;INDEX(TaskStandardTable[新建完成标准],MATCH($AM21,TaskStandardTable[工作类型ID],0)),"")&amp;IF(INDEX(TaskStandardTable[调整适用],MATCH($AM21,TaskStandardTable[工作类型ID],0)),IF(OR(INDEX(TaskStandardTable[新建适用],MATCH($AM21,TaskStandardTable[工作类型ID],0))),CHAR(10),"")&amp;"调整："&amp;INDEX(TaskStandardTable[调整完成标准],MATCH($AM21,TaskStandardTable[工作类型ID],0)),"")&amp;IF(INDEX(TaskStandardTable[接入复用适用],MATCH($AM21,TaskStandardTable[工作类型ID],0)),IF(OR(INDEX(TaskStandardTable[新建适用],MATCH($AM21,TaskStandardTable[工作类型ID],0)),INDEX(TaskStandardTable[调整适用],MATCH($AM21,TaskStandardTable[工作类型ID],0))),CHAR(10),"")&amp;"接入复用："&amp;INDEX(TaskStandardTable[接入复用完成标准],MATCH($AM21,TaskStandardTable[工作类型ID],0)),"")</f>
        <v>新建：形成一个已批准集成的交互契约、数据映射及业务处理结果并通过约定验收。
调整：完成既有集成的契约、映射、交互或处理结果变更及必要联调和回归。
接入复用：既有系统或集成能力不变，项目侧认证、配置、映射、封装和专项联调完成。</v>
      </c>
      <c r="AV21" s="34" t="str">
        <f aca="false">INDEX(TaskStandardTable[说明],MATCH($AM21,TaskStandardTable[工作类型ID],0))</f>
        <v>用于请求、事件或消息驱动的跨系统业务交互；持续数据复制只是该集成的内部实现时不再计 DATA-SYNC，只有同步能力可独立运行和验收时才单列。</v>
      </c>
      <c r="AW21" s="34" t="str">
        <f aca="false">INDEX(TaskStandardTable[主要计量维度],MATCH($AM21,TaskStandardTable[工作类型ID],0))</f>
        <v>交互操作、字段映射、方向、责任方</v>
      </c>
      <c r="AX21" s="34" t="str">
        <f aca="false">INDEX(TaskStandardTable[S标准],MATCH($AM21,TaskStandardTable[工作类型ID],0))</f>
        <v>内部责任方拥有且对端稳定；1 个方向；1～2 个操作；≤10 个字段；标准协议/认证</v>
      </c>
      <c r="AY21" s="34" t="str">
        <f aca="false">INDEX(TaskStandardTable[M标准],MATCH($AM21,TaskStandardTable[工作类型ID],0))</f>
        <v>内部方向含 3～6 个操作或 11～50 个字段；或外部责任方的稳定方向含 1～3 个操作、≤30 个字段和常规联调</v>
      </c>
      <c r="AZ21" s="34" t="str">
        <f aca="false">INDEX(TaskStandardTable[L标准],MATCH($AM21,TaskStandardTable[工作类型ID],0))</f>
        <v>内部方向 7～12 个操作或 51～100 个字段；或外部方向 4～6 个操作、31～60 个字段；涉及专有协议，或受限外部环境、非标准恢复或回滚、量化服务目标、高敏感数据或权限控制、多方联合交付</v>
      </c>
      <c r="BA21" s="34" t="str">
        <f aca="false">INDEX(TaskStandardTable[X/拆分条件],MATCH($AM21,TaskStandardTable[工作类型ID],0))</f>
        <v>操作或字段超过对应 L 上界，涉及多个对端、源目标组合、Integration 或独立方向，或双方实现都由本项目独立交付</v>
      </c>
      <c r="BB21" s="34" t="str">
        <f aca="false">INDEX(TaskStandardTable[模式适用说明],MATCH($AM21,TaskStandardTable[工作类型ID],0))</f>
        <v>请求、事件或消息交互使用本行；独立持续数据同步使用 DATA-SYNC；调整只看既有契约变化，接入复用只看项目侧工作</v>
      </c>
    </row>
    <row r="22" customFormat="false" ht="96" hidden="false" customHeight="true" outlineLevel="0" collapsed="false">
      <c r="A22" s="38" t="n">
        <v>18</v>
      </c>
      <c r="B22" s="39" t="s">
        <v>584</v>
      </c>
      <c r="C22" s="38" t="s">
        <v>603</v>
      </c>
      <c r="D22" s="39" t="s">
        <v>157</v>
      </c>
      <c r="E22" s="39" t="s">
        <v>604</v>
      </c>
      <c r="F22" s="39" t="s">
        <v>605</v>
      </c>
      <c r="G22" s="39" t="s">
        <v>606</v>
      </c>
      <c r="H22" s="39" t="s">
        <v>607</v>
      </c>
      <c r="I22" s="39" t="s">
        <v>608</v>
      </c>
      <c r="J22" s="40" t="b">
        <f aca="false">TRUE()</f>
        <v>1</v>
      </c>
      <c r="K22" s="41" t="n">
        <v>3</v>
      </c>
      <c r="L22" s="39" t="s">
        <v>609</v>
      </c>
      <c r="M22" s="40" t="b">
        <f aca="false">TRUE()</f>
        <v>1</v>
      </c>
      <c r="N22" s="41" t="n">
        <v>2</v>
      </c>
      <c r="O22" s="39" t="s">
        <v>610</v>
      </c>
      <c r="P22" s="40" t="b">
        <f aca="false">TRUE()</f>
        <v>1</v>
      </c>
      <c r="Q22" s="41" t="n">
        <v>1.5</v>
      </c>
      <c r="R22" s="39" t="s">
        <v>611</v>
      </c>
      <c r="S22" s="39" t="s">
        <v>612</v>
      </c>
      <c r="T22" s="39" t="s">
        <v>613</v>
      </c>
      <c r="U22" s="39" t="s">
        <v>614</v>
      </c>
      <c r="V22" s="39" t="s">
        <v>615</v>
      </c>
      <c r="W22" s="39" t="s">
        <v>616</v>
      </c>
      <c r="X22" s="39" t="s">
        <v>617</v>
      </c>
      <c r="Y22" s="39" t="s">
        <v>618</v>
      </c>
      <c r="Z22" s="39" t="s">
        <v>619</v>
      </c>
      <c r="AA22" s="39" t="s">
        <v>374</v>
      </c>
      <c r="AB22" s="38" t="s">
        <v>602</v>
      </c>
      <c r="AC22" s="38" t="s">
        <v>337</v>
      </c>
      <c r="AD22" s="38" t="s">
        <v>338</v>
      </c>
      <c r="AE22" s="39" t="s">
        <v>339</v>
      </c>
      <c r="AM22" s="42" t="s">
        <v>603</v>
      </c>
      <c r="AN22" s="42" t="str">
        <f aca="false">INDEX(TaskStandardTable[分类],MATCH($AM22,TaskStandardTable[工作类型ID],0))</f>
        <v>系统集成</v>
      </c>
      <c r="AO22" s="43" t="str">
        <f aca="false">INDEX(TaskStandardTable[工作类型名称],MATCH($AM22,TaskStandardTable[工作类型ID],0))</f>
        <v>身份与账号系统集成</v>
      </c>
      <c r="AP22" s="42" t="str">
        <f aca="false">INDEX(TaskStandardTable[计量单位],MATCH($AM22,TaskStandardTable[工作类型ID],0))</f>
        <v>每个已批准身份与账号集成（Integration，单一方向）</v>
      </c>
      <c r="AQ22" s="44" t="n">
        <f aca="false">IF(INDEX(TaskStandardTable[新建适用],MATCH($AM22,TaskStandardTable[工作类型ID],0)),INDEX(TaskStandardTable[新建M档人天],MATCH($AM22,TaskStandardTable[工作类型ID],0)),"-")</f>
        <v>3</v>
      </c>
      <c r="AR22" s="44" t="n">
        <f aca="false">IF(INDEX(TaskStandardTable[调整适用],MATCH($AM22,TaskStandardTable[工作类型ID],0)),INDEX(TaskStandardTable[调整M档人天],MATCH($AM22,TaskStandardTable[工作类型ID],0)),"-")</f>
        <v>2</v>
      </c>
      <c r="AS22" s="44" t="n">
        <f aca="false">IF(INDEX(TaskStandardTable[接入复用适用],MATCH($AM22,TaskStandardTable[工作类型ID],0)),INDEX(TaskStandardTable[接入复用M档人天],MATCH($AM22,TaskStandardTable[工作类型ID],0)),"-")</f>
        <v>1.5</v>
      </c>
      <c r="AT22" s="42" t="str">
        <f aca="false">INDEX(TaskStandardTable[标准交付物],MATCH($AM22,TaskStandardTable[工作类型ID],0))</f>
        <v>一个已批准身份与账号集成的认证、账号同步、用户关联或身份交互结果</v>
      </c>
      <c r="AU22" s="42" t="str">
        <f aca="false">IF(INDEX(TaskStandardTable[新建适用],MATCH($AM22,TaskStandardTable[工作类型ID],0)),"新建："&amp;INDEX(TaskStandardTable[新建完成标准],MATCH($AM22,TaskStandardTable[工作类型ID],0)),"")&amp;IF(INDEX(TaskStandardTable[调整适用],MATCH($AM22,TaskStandardTable[工作类型ID],0)),IF(OR(INDEX(TaskStandardTable[新建适用],MATCH($AM22,TaskStandardTable[工作类型ID],0))),CHAR(10),"")&amp;"调整："&amp;INDEX(TaskStandardTable[调整完成标准],MATCH($AM22,TaskStandardTable[工作类型ID],0)),"")&amp;IF(INDEX(TaskStandardTable[接入复用适用],MATCH($AM22,TaskStandardTable[工作类型ID],0)),IF(OR(INDEX(TaskStandardTable[新建适用],MATCH($AM22,TaskStandardTable[工作类型ID],0)),INDEX(TaskStandardTable[调整适用],MATCH($AM22,TaskStandardTable[工作类型ID],0))),CHAR(10),"")&amp;"接入复用："&amp;INDEX(TaskStandardTable[接入复用完成标准],MATCH($AM22,TaskStandardTable[工作类型ID],0)),"")</f>
        <v>新建：形成一个已批准身份与账号集成的契约、认证/同步、映射和交互结果并通过约定验收。
调整：完成既有身份与账号集成的契约、映射、会话、同步或安全目标变更和必要回归。
接入复用：既有身份与账号平台不变，项目侧客户端、认证/同步配置、用户/属性映射、会话接入和验证完成。</v>
      </c>
      <c r="AV22" s="42" t="str">
        <f aca="false">INDEX(TaskStandardTable[说明],MATCH($AM22,TaskStandardTable[工作类型ID],0))</f>
        <v>本类型拥有外部 Claim/属性到本地主体或组的映射；本地角色到操作/资源的授权由 GOV-FUNCTION-ACCESS 拥有。OIDC 登录与 SCIM 同步属于两个独立方向时必须拆分；一个顶级集成恰好对应一个 IN-* Task。</v>
      </c>
      <c r="AW22" s="42" t="str">
        <f aca="false">INDEX(TaskStandardTable[主要计量维度],MATCH($AM22,TaskStandardTable[工作类型ID],0))</f>
        <v>集成方向、登录/同步路径、属性映射、会话/安全要求</v>
      </c>
      <c r="AX22" s="42" t="str">
        <f aca="false">INDEX(TaskStandardTable[S标准],MATCH($AM22,TaskStandardTable[工作类型ID],0))</f>
        <v>1 个身份与账号集成；标准 OIDC/SAML；1 条路径；≤5 个属性映射</v>
      </c>
      <c r="AY22" s="42" t="str">
        <f aca="false">INDEX(TaskStandardTable[M标准],MATCH($AM22,TaskStandardTable[工作类型ID],0))</f>
        <v>1 个身份与账号集成；2～3 条路径；6～15 个属性；含用户关联、会话续期、MFA 或常规外部联调</v>
      </c>
      <c r="AZ22" s="42" t="str">
        <f aca="false">INDEX(TaskStandardTable[L标准],MATCH($AM22,TaskStandardTable[工作类型ID],0))</f>
        <v>1 个身份与账号集成内 4～6 条路径或 16～30 个属性；涉及身份联邦、遗留协议、抗钓鱼认证、账号合并，或受限外部环境、受监管证据</v>
      </c>
      <c r="BA22" s="42" t="str">
        <f aca="false">INDEX(TaskStandardTable[X/拆分条件],MATCH($AM22,TaskStandardTable[工作类型ID],0))</f>
        <v>路径 &gt;6、属性 &gt;30，包含多个独立集成/交互方向，或身份归属、账号生命周期和信任边界未明确</v>
      </c>
      <c r="BB22" s="42" t="str">
        <f aca="false">INDEX(TaskStandardTable[模式适用说明],MATCH($AM22,TaskStandardTable[工作类型ID],0))</f>
        <v>OIDC、SCIM 等可独立验收方向分别建集成；调整只看既有身份与账号契约变化；复用只看项目侧客户端、映射、会话/同步和验证</v>
      </c>
    </row>
    <row r="23" customFormat="false" ht="110" hidden="false" customHeight="true" outlineLevel="0" collapsed="false">
      <c r="A23" s="25" t="n">
        <v>19</v>
      </c>
      <c r="B23" s="26" t="s">
        <v>620</v>
      </c>
      <c r="C23" s="25" t="s">
        <v>621</v>
      </c>
      <c r="D23" s="26" t="s">
        <v>622</v>
      </c>
      <c r="E23" s="26" t="s">
        <v>623</v>
      </c>
      <c r="F23" s="26" t="s">
        <v>624</v>
      </c>
      <c r="G23" s="26" t="s">
        <v>625</v>
      </c>
      <c r="H23" s="26" t="s">
        <v>626</v>
      </c>
      <c r="I23" s="26" t="s">
        <v>627</v>
      </c>
      <c r="J23" s="27" t="b">
        <f aca="false">TRUE()</f>
        <v>1</v>
      </c>
      <c r="K23" s="28" t="n">
        <v>2</v>
      </c>
      <c r="L23" s="26" t="s">
        <v>628</v>
      </c>
      <c r="M23" s="27" t="b">
        <f aca="false">TRUE()</f>
        <v>1</v>
      </c>
      <c r="N23" s="28" t="n">
        <v>1</v>
      </c>
      <c r="O23" s="29" t="s">
        <v>629</v>
      </c>
      <c r="P23" s="30" t="b">
        <f aca="false">TRUE()</f>
        <v>1</v>
      </c>
      <c r="Q23" s="31" t="n">
        <v>1</v>
      </c>
      <c r="R23" s="29" t="s">
        <v>630</v>
      </c>
      <c r="S23" s="29" t="s">
        <v>631</v>
      </c>
      <c r="T23" s="29" t="s">
        <v>632</v>
      </c>
      <c r="U23" s="29" t="s">
        <v>633</v>
      </c>
      <c r="V23" s="29" t="s">
        <v>634</v>
      </c>
      <c r="W23" s="29" t="s">
        <v>635</v>
      </c>
      <c r="X23" s="29" t="s">
        <v>636</v>
      </c>
      <c r="Y23" s="29"/>
      <c r="Z23" s="29" t="s">
        <v>334</v>
      </c>
      <c r="AA23" s="29" t="s">
        <v>374</v>
      </c>
      <c r="AB23" s="32" t="s">
        <v>336</v>
      </c>
      <c r="AC23" s="32" t="s">
        <v>337</v>
      </c>
      <c r="AD23" s="32" t="s">
        <v>338</v>
      </c>
      <c r="AE23" s="29" t="s">
        <v>339</v>
      </c>
      <c r="AM23" s="34" t="s">
        <v>621</v>
      </c>
      <c r="AN23" s="34" t="str">
        <f aca="false">INDEX(TaskStandardTable[分类],MATCH($AM23,TaskStandardTable[工作类型ID],0))</f>
        <v>应用共性能力</v>
      </c>
      <c r="AO23" s="35" t="str">
        <f aca="false">INDEX(TaskStandardTable[工作类型名称],MATCH($AM23,TaskStandardTable[工作类型ID],0))</f>
        <v>国际化与本地化基础能力</v>
      </c>
      <c r="AP23" s="34" t="str">
        <f aca="false">INDEX(TaskStandardTable[计量单位],MATCH($AM23,TaskStandardTable[工作类型ID],0))</f>
        <v>每个应用的本地化机制</v>
      </c>
      <c r="AQ23" s="36" t="n">
        <f aca="false">IF(INDEX(TaskStandardTable[新建适用],MATCH($AM23,TaskStandardTable[工作类型ID],0)),INDEX(TaskStandardTable[新建M档人天],MATCH($AM23,TaskStandardTable[工作类型ID],0)),"-")</f>
        <v>2</v>
      </c>
      <c r="AR23" s="36" t="n">
        <f aca="false">IF(INDEX(TaskStandardTable[调整适用],MATCH($AM23,TaskStandardTable[工作类型ID],0)),INDEX(TaskStandardTable[调整M档人天],MATCH($AM23,TaskStandardTable[工作类型ID],0)),"-")</f>
        <v>1</v>
      </c>
      <c r="AS23" s="36" t="n">
        <f aca="false">IF(INDEX(TaskStandardTable[接入复用适用],MATCH($AM23,TaskStandardTable[工作类型ID],0)),INDEX(TaskStandardTable[接入复用M档人天],MATCH($AM23,TaskStandardTable[工作类型ID],0)),"-")</f>
        <v>1</v>
      </c>
      <c r="AT23" s="34" t="str">
        <f aca="false">INDEX(TaskStandardTable[标准交付物],MATCH($AM23,TaskStandardTable[工作类型ID],0))</f>
        <v>语言资源、Locale、回退、格式化及翻译发布机制</v>
      </c>
      <c r="AU23" s="34" t="str">
        <f aca="false">IF(INDEX(TaskStandardTable[新建适用],MATCH($AM23,TaskStandardTable[工作类型ID],0)),"新建："&amp;INDEX(TaskStandardTable[新建完成标准],MATCH($AM23,TaskStandardTable[工作类型ID],0)),"")&amp;IF(INDEX(TaskStandardTable[调整适用],MATCH($AM23,TaskStandardTable[工作类型ID],0)),IF(OR(INDEX(TaskStandardTable[新建适用],MATCH($AM23,TaskStandardTable[工作类型ID],0))),CHAR(10),"")&amp;"调整："&amp;INDEX(TaskStandardTable[调整完成标准],MATCH($AM23,TaskStandardTable[工作类型ID],0)),"")&amp;IF(INDEX(TaskStandardTable[接入复用适用],MATCH($AM23,TaskStandardTable[工作类型ID],0)),IF(OR(INDEX(TaskStandardTable[新建适用],MATCH($AM23,TaskStandardTable[工作类型ID],0)),INDEX(TaskStandardTable[调整适用],MATCH($AM23,TaskStandardTable[工作类型ID],0))),CHAR(10),"")&amp;"接入复用："&amp;INDEX(TaskStandardTable[接入复用完成标准],MATCH($AM23,TaskStandardTable[工作类型ID],0)),"")</f>
        <v>新建：形成“语言资源、Locale、回退、格式化及翻译发布机制”并通过约定验收。
调整：完成“语言资源、Locale、回退、格式化及翻译发布机制”的目标变更和影响核验，并按交付对象性质通过评审、复核、演练或回归验证。
接入复用：既有国际化机制不变，项目语言资源、Locale 配置、格式化和回退验证完成。</v>
      </c>
      <c r="AV23" s="34" t="str">
        <f aca="false">INDEX(TaskStandardTable[说明],MATCH($AM23,TaskStandardTable[工作类型ID],0))</f>
        <v>页面、模板和兼容验证分别计量。</v>
      </c>
      <c r="AW23" s="34" t="str">
        <f aca="false">INDEX(TaskStandardTable[主要计量维度],MATCH($AM23,TaskStandardTable[工作类型ID],0))</f>
        <v>本次涉及的语言、资源域、格式规则、发布机制、硬编码改造点</v>
      </c>
      <c r="AX23" s="34" t="str">
        <f aca="false">INDEX(TaskStandardTable[S标准],MATCH($AM23,TaskStandardTable[工作类型ID],0))</f>
        <v>本次涉及 1 个语言；≤2 个资源域；0 个硬编码改造点；标准日期/数字格式；无复数和 RTL</v>
      </c>
      <c r="AY23" s="34" t="str">
        <f aca="false">INDEX(TaskStandardTable[M标准],MATCH($AM23,TaskStandardTable[工作类型ID],0))</f>
        <v>本次涉及 2～4 个语言；3～5 个资源域；1～20 个硬编码改造点；含复数、日期、货币、回退和翻译发布</v>
      </c>
      <c r="AZ23" s="34" t="str">
        <f aca="false">INDEX(TaskStandardTable[L标准],MATCH($AM23,TaskStandardTable[工作类型ID],0))</f>
        <v>本次涉及 5～8 个语言、6～10 个资源域或 21～40 个硬编码改造点；涉及 RTL、动态内容本地化、翻译发布工作流或受监管证据要求</v>
      </c>
      <c r="BA23" s="34" t="str">
        <f aca="false">INDEX(TaskStandardTable[X/拆分条件],MATCH($AM23,TaskStandardTable[工作类型ID],0))</f>
        <v>本次涉及语言 &gt;8、资源域 &gt;10、硬编码点 &gt;40，包含多个可独立发布的应用/本地化机制，或语言范围和内容责任未明确</v>
      </c>
      <c r="BB23" s="34" t="str">
        <f aca="false">INDEX(TaskStandardTable[模式适用说明],MATCH($AM23,TaskStandardTable[工作类型ID],0))</f>
        <v>新建看首个完整机制覆盖的语言；调整只计本次资源、格式和回退变化实际影响并需要回归的语言，不能填 0；接入复用只看项目语言资源、Locale、格式化和回退验证</v>
      </c>
    </row>
    <row r="24" customFormat="false" ht="96" hidden="false" customHeight="true" outlineLevel="0" collapsed="false">
      <c r="A24" s="38" t="n">
        <v>20</v>
      </c>
      <c r="B24" s="39" t="s">
        <v>620</v>
      </c>
      <c r="C24" s="38" t="s">
        <v>637</v>
      </c>
      <c r="D24" s="39" t="s">
        <v>223</v>
      </c>
      <c r="E24" s="39" t="s">
        <v>638</v>
      </c>
      <c r="F24" s="39" t="s">
        <v>639</v>
      </c>
      <c r="G24" s="39" t="s">
        <v>640</v>
      </c>
      <c r="H24" s="39" t="s">
        <v>641</v>
      </c>
      <c r="I24" s="39" t="s">
        <v>642</v>
      </c>
      <c r="J24" s="40" t="b">
        <f aca="false">TRUE()</f>
        <v>1</v>
      </c>
      <c r="K24" s="41" t="n">
        <v>1.5</v>
      </c>
      <c r="L24" s="39" t="s">
        <v>643</v>
      </c>
      <c r="M24" s="40" t="b">
        <f aca="false">TRUE()</f>
        <v>1</v>
      </c>
      <c r="N24" s="41" t="n">
        <v>1</v>
      </c>
      <c r="O24" s="39" t="s">
        <v>644</v>
      </c>
      <c r="P24" s="40" t="b">
        <f aca="false">TRUE()</f>
        <v>1</v>
      </c>
      <c r="Q24" s="41" t="n">
        <v>1</v>
      </c>
      <c r="R24" s="39" t="s">
        <v>645</v>
      </c>
      <c r="S24" s="39" t="s">
        <v>646</v>
      </c>
      <c r="T24" s="39" t="s">
        <v>647</v>
      </c>
      <c r="U24" s="39" t="s">
        <v>648</v>
      </c>
      <c r="V24" s="39" t="s">
        <v>649</v>
      </c>
      <c r="W24" s="39" t="s">
        <v>650</v>
      </c>
      <c r="X24" s="39" t="s">
        <v>651</v>
      </c>
      <c r="Y24" s="39"/>
      <c r="Z24" s="39" t="s">
        <v>334</v>
      </c>
      <c r="AA24" s="39" t="s">
        <v>652</v>
      </c>
      <c r="AB24" s="38" t="s">
        <v>336</v>
      </c>
      <c r="AC24" s="38" t="s">
        <v>337</v>
      </c>
      <c r="AD24" s="38" t="s">
        <v>338</v>
      </c>
      <c r="AE24" s="39" t="s">
        <v>339</v>
      </c>
      <c r="AM24" s="42" t="s">
        <v>637</v>
      </c>
      <c r="AN24" s="42" t="str">
        <f aca="false">INDEX(TaskStandardTable[分类],MATCH($AM24,TaskStandardTable[工作类型ID],0))</f>
        <v>应用共性能力</v>
      </c>
      <c r="AO24" s="43" t="str">
        <f aca="false">INDEX(TaskStandardTable[工作类型名称],MATCH($AM24,TaskStandardTable[工作类型ID],0))</f>
        <v>应用配置与功能开关</v>
      </c>
      <c r="AP24" s="42" t="str">
        <f aca="false">INDEX(TaskStandardTable[计量单位],MATCH($AM24,TaskStandardTable[工作类型ID],0))</f>
        <v>每个独立配置控制域</v>
      </c>
      <c r="AQ24" s="44" t="n">
        <f aca="false">IF(INDEX(TaskStandardTable[新建适用],MATCH($AM24,TaskStandardTable[工作类型ID],0)),INDEX(TaskStandardTable[新建M档人天],MATCH($AM24,TaskStandardTable[工作类型ID],0)),"-")</f>
        <v>1.5</v>
      </c>
      <c r="AR24" s="44" t="n">
        <f aca="false">IF(INDEX(TaskStandardTable[调整适用],MATCH($AM24,TaskStandardTable[工作类型ID],0)),INDEX(TaskStandardTable[调整M档人天],MATCH($AM24,TaskStandardTable[工作类型ID],0)),"-")</f>
        <v>1</v>
      </c>
      <c r="AS24" s="44" t="n">
        <f aca="false">IF(INDEX(TaskStandardTable[接入复用适用],MATCH($AM24,TaskStandardTable[工作类型ID],0)),INDEX(TaskStandardTable[接入复用M档人天],MATCH($AM24,TaskStandardTable[工作类型ID],0)),"-")</f>
        <v>1</v>
      </c>
      <c r="AT24" s="42" t="str">
        <f aca="false">INDEX(TaskStandardTable[标准交付物],MATCH($AM24,TaskStandardTable[工作类型ID],0))</f>
        <v>可发布、可回退并可验证的配置或开关能力</v>
      </c>
      <c r="AU24" s="42" t="str">
        <f aca="false">IF(INDEX(TaskStandardTable[新建适用],MATCH($AM24,TaskStandardTable[工作类型ID],0)),"新建："&amp;INDEX(TaskStandardTable[新建完成标准],MATCH($AM24,TaskStandardTable[工作类型ID],0)),"")&amp;IF(INDEX(TaskStandardTable[调整适用],MATCH($AM24,TaskStandardTable[工作类型ID],0)),IF(OR(INDEX(TaskStandardTable[新建适用],MATCH($AM24,TaskStandardTable[工作类型ID],0))),CHAR(10),"")&amp;"调整："&amp;INDEX(TaskStandardTable[调整完成标准],MATCH($AM24,TaskStandardTable[工作类型ID],0)),"")&amp;IF(INDEX(TaskStandardTable[接入复用适用],MATCH($AM24,TaskStandardTable[工作类型ID],0)),IF(OR(INDEX(TaskStandardTable[新建适用],MATCH($AM24,TaskStandardTable[工作类型ID],0)),INDEX(TaskStandardTable[调整适用],MATCH($AM24,TaskStandardTable[工作类型ID],0))),CHAR(10),"")&amp;"接入复用："&amp;INDEX(TaskStandardTable[接入复用完成标准],MATCH($AM24,TaskStandardTable[工作类型ID],0)),"")</f>
        <v>新建：形成“可发布、可回退并可验证的配置或开关能力”并通过约定验收。
调整：完成“可发布、可回退并可验证的配置或开关能力”的目标变更和影响核验，并按交付对象性质通过评审、复核、演练或回归验证。
接入复用：既有配置或开关平台不变，项目侧命名、参数、权限、回退和验证完成。</v>
      </c>
      <c r="AV24" s="42" t="str">
        <f aca="false">INDEX(TaskStandardTable[说明],MATCH($AM24,TaskStandardTable[工作类型ID],0))</f>
        <v>普通常量和单一环境变量包含在主 Task 中；接入复用仍需完整配置、回退和验证，M 档不低于调整。</v>
      </c>
      <c r="AW24" s="42" t="str">
        <f aca="false">INDEX(TaskStandardTable[主要计量维度],MATCH($AM24,TaskStandardTable[工作类型ID],0))</f>
        <v>参数/开关、环境、作用范围、治理要求</v>
      </c>
      <c r="AX24" s="42" t="str">
        <f aca="false">INDEX(TaskStandardTable[S标准],MATCH($AM24,TaskStandardTable[工作类型ID],0))</f>
        <v>≤5 个相关参数/开关；≤2 个环境；单一作用范围；无需审计</v>
      </c>
      <c r="AY24" s="42" t="str">
        <f aca="false">INDEX(TaskStandardTable[M标准],MATCH($AM24,TaskStandardTable[工作类型ID],0))</f>
        <v>6～20 个参数/开关；3～4 个环境；按角色或租户；含权限、审计和回退</v>
      </c>
      <c r="AZ24" s="42" t="str">
        <f aca="false">INDEX(TaskStandardTable[L标准],MATCH($AM24,TaskStandardTable[工作类型ID],0))</f>
        <v>21～40 个参数/开关或 5～8 个环境；涉及跨键依赖图、金丝雀配置发布、紧急止损开关，或跨区域连续性、量化服务目标、受监管证据、多方联合交付</v>
      </c>
      <c r="BA24" s="42" t="str">
        <f aca="false">INDEX(TaskStandardTable[X/拆分条件],MATCH($AM24,TaskStandardTable[工作类型ID],0))</f>
        <v>参数/开关 &gt;40、环境 &gt;8，包含多个无关配置域/开关组，或所有者、默认值和回退语义未明确</v>
      </c>
      <c r="BB24" s="42" t="str">
        <f aca="false">INDEX(TaskStandardTable[模式适用说明],MATCH($AM24,TaskStandardTable[工作类型ID],0))</f>
        <v>调整只看既有配置域变化；复用只看项目侧命名、参数、权限、回退和验证</v>
      </c>
    </row>
    <row r="25" customFormat="false" ht="96" hidden="false" customHeight="true" outlineLevel="0" collapsed="false">
      <c r="A25" s="25" t="n">
        <v>21</v>
      </c>
      <c r="B25" s="26" t="s">
        <v>620</v>
      </c>
      <c r="C25" s="25" t="s">
        <v>653</v>
      </c>
      <c r="D25" s="26" t="s">
        <v>654</v>
      </c>
      <c r="E25" s="26" t="s">
        <v>655</v>
      </c>
      <c r="F25" s="26" t="s">
        <v>656</v>
      </c>
      <c r="G25" s="26" t="s">
        <v>657</v>
      </c>
      <c r="H25" s="26" t="s">
        <v>658</v>
      </c>
      <c r="I25" s="26" t="s">
        <v>659</v>
      </c>
      <c r="J25" s="27" t="b">
        <f aca="false">TRUE()</f>
        <v>1</v>
      </c>
      <c r="K25" s="28" t="n">
        <v>1.5</v>
      </c>
      <c r="L25" s="26" t="s">
        <v>660</v>
      </c>
      <c r="M25" s="27" t="b">
        <f aca="false">TRUE()</f>
        <v>1</v>
      </c>
      <c r="N25" s="28" t="n">
        <v>1</v>
      </c>
      <c r="O25" s="29" t="s">
        <v>661</v>
      </c>
      <c r="P25" s="30" t="b">
        <f aca="false">TRUE()</f>
        <v>1</v>
      </c>
      <c r="Q25" s="31" t="n">
        <v>1</v>
      </c>
      <c r="R25" s="29" t="s">
        <v>662</v>
      </c>
      <c r="S25" s="29" t="s">
        <v>663</v>
      </c>
      <c r="T25" s="29" t="s">
        <v>664</v>
      </c>
      <c r="U25" s="29" t="s">
        <v>665</v>
      </c>
      <c r="V25" s="29" t="s">
        <v>666</v>
      </c>
      <c r="W25" s="29" t="s">
        <v>667</v>
      </c>
      <c r="X25" s="29" t="s">
        <v>668</v>
      </c>
      <c r="Y25" s="29"/>
      <c r="Z25" s="29" t="s">
        <v>334</v>
      </c>
      <c r="AA25" s="29" t="s">
        <v>374</v>
      </c>
      <c r="AB25" s="32" t="s">
        <v>336</v>
      </c>
      <c r="AC25" s="32" t="s">
        <v>337</v>
      </c>
      <c r="AD25" s="32" t="s">
        <v>338</v>
      </c>
      <c r="AE25" s="29" t="s">
        <v>339</v>
      </c>
      <c r="AM25" s="34" t="s">
        <v>653</v>
      </c>
      <c r="AN25" s="34" t="str">
        <f aca="false">INDEX(TaskStandardTable[分类],MATCH($AM25,TaskStandardTable[工作类型ID],0))</f>
        <v>应用共性能力</v>
      </c>
      <c r="AO25" s="35" t="str">
        <f aca="false">INDEX(TaskStandardTable[工作类型名称],MATCH($AM25,TaskStandardTable[工作类型ID],0))</f>
        <v>无障碍与可访问性基础能力</v>
      </c>
      <c r="AP25" s="34" t="str">
        <f aca="false">INDEX(TaskStandardTable[计量单位],MATCH($AM25,TaskStandardTable[工作类型ID],0))</f>
        <v>每个应用的可访问性机制</v>
      </c>
      <c r="AQ25" s="36" t="n">
        <f aca="false">IF(INDEX(TaskStandardTable[新建适用],MATCH($AM25,TaskStandardTable[工作类型ID],0)),INDEX(TaskStandardTable[新建M档人天],MATCH($AM25,TaskStandardTable[工作类型ID],0)),"-")</f>
        <v>1.5</v>
      </c>
      <c r="AR25" s="36" t="n">
        <f aca="false">IF(INDEX(TaskStandardTable[调整适用],MATCH($AM25,TaskStandardTable[工作类型ID],0)),INDEX(TaskStandardTable[调整M档人天],MATCH($AM25,TaskStandardTable[工作类型ID],0)),"-")</f>
        <v>1</v>
      </c>
      <c r="AS25" s="36" t="n">
        <f aca="false">IF(INDEX(TaskStandardTable[接入复用适用],MATCH($AM25,TaskStandardTable[工作类型ID],0)),INDEX(TaskStandardTable[接入复用M档人天],MATCH($AM25,TaskStandardTable[工作类型ID],0)),"-")</f>
        <v>1</v>
      </c>
      <c r="AT25" s="34" t="str">
        <f aca="false">INDEX(TaskStandardTable[标准交付物],MATCH($AM25,TaskStandardTable[工作类型ID],0))</f>
        <v>焦点、语义、辅助提示和可访问交互基础能力</v>
      </c>
      <c r="AU25" s="34" t="str">
        <f aca="false">IF(INDEX(TaskStandardTable[新建适用],MATCH($AM25,TaskStandardTable[工作类型ID],0)),"新建："&amp;INDEX(TaskStandardTable[新建完成标准],MATCH($AM25,TaskStandardTable[工作类型ID],0)),"")&amp;IF(INDEX(TaskStandardTable[调整适用],MATCH($AM25,TaskStandardTable[工作类型ID],0)),IF(OR(INDEX(TaskStandardTable[新建适用],MATCH($AM25,TaskStandardTable[工作类型ID],0))),CHAR(10),"")&amp;"调整："&amp;INDEX(TaskStandardTable[调整完成标准],MATCH($AM25,TaskStandardTable[工作类型ID],0)),"")&amp;IF(INDEX(TaskStandardTable[接入复用适用],MATCH($AM25,TaskStandardTable[工作类型ID],0)),IF(OR(INDEX(TaskStandardTable[新建适用],MATCH($AM25,TaskStandardTable[工作类型ID],0)),INDEX(TaskStandardTable[调整适用],MATCH($AM25,TaskStandardTable[工作类型ID],0))),CHAR(10),"")&amp;"接入复用："&amp;INDEX(TaskStandardTable[接入复用完成标准],MATCH($AM25,TaskStandardTable[工作类型ID],0)),"")</f>
        <v>新建：形成“焦点、语义、辅助提示和可访问交互基础能力”并通过约定验收。
调整：完成“焦点、语义、辅助提示和可访问交互基础能力”的目标变更和影响核验，并按交付对象性质通过评审、复核、演练或回归验证。
接入复用：既有可访问性机制不变，项目侧组件绑定、语义配置和专项验证完成。</v>
      </c>
      <c r="AV25" s="34" t="str">
        <f aca="false">INDEX(TaskStandardTable[说明],MATCH($AM25,TaskStandardTable[工作类型ID],0))</f>
        <v>具体页面、组件与正式验证分别计量；接入复用 M 档包含绑定和专项验证，不低于调整。</v>
      </c>
      <c r="AW25" s="34" t="str">
        <f aca="false">INDEX(TaskStandardTable[主要计量维度],MATCH($AM25,TaskStandardTable[工作类型ID],0))</f>
        <v>组件/模式、输入方式、辅助技术、符合级别</v>
      </c>
      <c r="AX25" s="34" t="str">
        <f aca="false">INDEX(TaskStandardTable[S标准],MATCH($AM25,TaskStandardTable[工作类型ID],0))</f>
        <v>≤5 个通用组件/交互模式；键盘和基础语义；单一目标标准</v>
      </c>
      <c r="AY25" s="34" t="str">
        <f aca="false">INDEX(TaskStandardTable[M标准],MATCH($AM25,TaskStandardTable[工作类型ID],0))</f>
        <v>6～20 个组件/模式；含焦点管理、读屏、对比度和错误提示；按 WCAG 2.x AA 自查</v>
      </c>
      <c r="AZ25" s="34" t="str">
        <f aca="false">INDEX(TaskStandardTable[L标准],MATCH($AM25,TaskStandardTable[工作类型ID],0))</f>
        <v>21～40 个组件/模式；涉及复合控件键盘/焦点状态机、动态更新播报、多输入方式、读屏/键盘验证矩阵、遗留辅助技术兼容，或受监管证据</v>
      </c>
      <c r="BA25" s="34" t="str">
        <f aca="false">INDEX(TaskStandardTable[X/拆分条件],MATCH($AM25,TaskStandardTable[工作类型ID],0))</f>
        <v>组件/模式 &gt;40，包含多个独立应用/标准范围，或目标符合级别和验证矩阵未明确</v>
      </c>
      <c r="BB25" s="34" t="str">
        <f aca="false">INDEX(TaskStandardTable[模式适用说明],MATCH($AM25,TaskStandardTable[工作类型ID],0))</f>
        <v>调整只看基础机制变化；复用只看项目组件绑定、语义配置和专项验证</v>
      </c>
    </row>
    <row r="26" customFormat="false" ht="96" hidden="false" customHeight="true" outlineLevel="0" collapsed="false">
      <c r="A26" s="38" t="n">
        <v>22</v>
      </c>
      <c r="B26" s="39" t="s">
        <v>620</v>
      </c>
      <c r="C26" s="38" t="s">
        <v>669</v>
      </c>
      <c r="D26" s="39" t="s">
        <v>188</v>
      </c>
      <c r="E26" s="39" t="s">
        <v>670</v>
      </c>
      <c r="F26" s="39" t="s">
        <v>671</v>
      </c>
      <c r="G26" s="39" t="s">
        <v>672</v>
      </c>
      <c r="H26" s="39" t="s">
        <v>673</v>
      </c>
      <c r="I26" s="39" t="s">
        <v>674</v>
      </c>
      <c r="J26" s="40" t="b">
        <f aca="false">TRUE()</f>
        <v>1</v>
      </c>
      <c r="K26" s="41" t="n">
        <v>2.5</v>
      </c>
      <c r="L26" s="39" t="s">
        <v>675</v>
      </c>
      <c r="M26" s="40" t="b">
        <f aca="false">TRUE()</f>
        <v>1</v>
      </c>
      <c r="N26" s="41" t="n">
        <v>2</v>
      </c>
      <c r="O26" s="39" t="s">
        <v>676</v>
      </c>
      <c r="P26" s="40" t="b">
        <f aca="false">TRUE()</f>
        <v>1</v>
      </c>
      <c r="Q26" s="41" t="n">
        <v>1.5</v>
      </c>
      <c r="R26" s="39" t="s">
        <v>677</v>
      </c>
      <c r="S26" s="39" t="s">
        <v>678</v>
      </c>
      <c r="T26" s="39" t="s">
        <v>679</v>
      </c>
      <c r="U26" s="39" t="s">
        <v>680</v>
      </c>
      <c r="V26" s="39" t="s">
        <v>681</v>
      </c>
      <c r="W26" s="39" t="s">
        <v>682</v>
      </c>
      <c r="X26" s="39" t="s">
        <v>683</v>
      </c>
      <c r="Y26" s="39"/>
      <c r="Z26" s="39" t="s">
        <v>334</v>
      </c>
      <c r="AA26" s="39" t="s">
        <v>684</v>
      </c>
      <c r="AB26" s="38" t="s">
        <v>336</v>
      </c>
      <c r="AC26" s="38" t="s">
        <v>337</v>
      </c>
      <c r="AD26" s="38" t="s">
        <v>338</v>
      </c>
      <c r="AE26" s="39" t="s">
        <v>339</v>
      </c>
      <c r="AM26" s="42" t="s">
        <v>669</v>
      </c>
      <c r="AN26" s="42" t="str">
        <f aca="false">INDEX(TaskStandardTable[分类],MATCH($AM26,TaskStandardTable[工作类型ID],0))</f>
        <v>应用共性能力</v>
      </c>
      <c r="AO26" s="43" t="str">
        <f aca="false">INDEX(TaskStandardTable[工作类型名称],MATCH($AM26,TaskStandardTable[工作类型ID],0))</f>
        <v>性能与可靠性工程</v>
      </c>
      <c r="AP26" s="42" t="str">
        <f aca="false">INDEX(TaskStandardTable[计量单位],MATCH($AM26,TaskStandardTable[工作类型ID],0))</f>
        <v>每个独立瓶颈域（单一调用链或共同目标组件组）</v>
      </c>
      <c r="AQ26" s="44" t="n">
        <f aca="false">IF(INDEX(TaskStandardTable[新建适用],MATCH($AM26,TaskStandardTable[工作类型ID],0)),INDEX(TaskStandardTable[新建M档人天],MATCH($AM26,TaskStandardTable[工作类型ID],0)),"-")</f>
        <v>2.5</v>
      </c>
      <c r="AR26" s="44" t="n">
        <f aca="false">IF(INDEX(TaskStandardTable[调整适用],MATCH($AM26,TaskStandardTable[工作类型ID],0)),INDEX(TaskStandardTable[调整M档人天],MATCH($AM26,TaskStandardTable[工作类型ID],0)),"-")</f>
        <v>2</v>
      </c>
      <c r="AS26" s="44" t="n">
        <f aca="false">IF(INDEX(TaskStandardTable[接入复用适用],MATCH($AM26,TaskStandardTable[工作类型ID],0)),INDEX(TaskStandardTable[接入复用M档人天],MATCH($AM26,TaskStandardTable[工作类型ID],0)),"-")</f>
        <v>1.5</v>
      </c>
      <c r="AT26" s="42" t="str">
        <f aca="false">INDEX(TaskStandardTable[标准交付物],MATCH($AM26,TaskStandardTable[工作类型ID],0))</f>
        <v>一个瓶颈域或调用链达成一组相关量化目标的技术改进结果</v>
      </c>
      <c r="AU26" s="42" t="str">
        <f aca="false">IF(INDEX(TaskStandardTable[新建适用],MATCH($AM26,TaskStandardTable[工作类型ID],0)),"新建："&amp;INDEX(TaskStandardTable[新建完成标准],MATCH($AM26,TaskStandardTable[工作类型ID],0)),"")&amp;IF(INDEX(TaskStandardTable[调整适用],MATCH($AM26,TaskStandardTable[工作类型ID],0)),IF(OR(INDEX(TaskStandardTable[新建适用],MATCH($AM26,TaskStandardTable[工作类型ID],0))),CHAR(10),"")&amp;"调整："&amp;INDEX(TaskStandardTable[调整完成标准],MATCH($AM26,TaskStandardTable[工作类型ID],0)),"")&amp;IF(INDEX(TaskStandardTable[接入复用适用],MATCH($AM26,TaskStandardTable[工作类型ID],0)),IF(OR(INDEX(TaskStandardTable[新建适用],MATCH($AM26,TaskStandardTable[工作类型ID],0)),INDEX(TaskStandardTable[调整适用],MATCH($AM26,TaskStandardTable[工作类型ID],0))),CHAR(10),"")&amp;"接入复用："&amp;INDEX(TaskStandardTable[接入复用完成标准],MATCH($AM26,TaskStandardTable[工作类型ID],0)),"")</f>
        <v>新建：形成一个瓶颈域或调用链达成一组相关量化目标的技术改进结果并通过约定验收。
调整：完成既有瓶颈域或调用链的策略、实现、目标或验证范围变更及必要回归。
接入复用：既有可靠性能力不变，项目侧策略、参数、接入和目标验证完成。</v>
      </c>
      <c r="AV26" s="42" t="str">
        <f aca="false">INDEX(TaskStandardTable[说明],MATCH($AM26,TaskStandardTable[工作类型ID],0))</f>
        <v>延迟、吞吐、错误率等相关目标可归入同一瓶颈域；独立调用链必须拆分。普通 SQL、缓存、重试等实现细节包含在所属主 Task 中。</v>
      </c>
      <c r="AW26" s="42" t="str">
        <f aca="false">INDEX(TaskStandardTable[主要计量维度],MATCH($AM26,TaskStandardTable[工作类型ID],0))</f>
        <v>量化目标数、瓶颈组件、负载模型、恢复机制</v>
      </c>
      <c r="AX26" s="42" t="str">
        <f aca="false">INDEX(TaskStandardTable[S标准],MATCH($AM26,TaskStandardTable[工作类型ID],0))</f>
        <v>1 个量化目标；1 个组件；1 个负载模型；无专项服务目标门禁</v>
      </c>
      <c r="AY26" s="42" t="str">
        <f aca="false">INDEX(TaskStandardTable[M标准],MATCH($AM26,TaskStandardTable[工作类型ID],0))</f>
        <v>2～3 个相关目标；2～3 个组件；2 个负载模型；需限流、缓存、重试或调优复测</v>
      </c>
      <c r="AZ26" s="42" t="str">
        <f aca="false">INDEX(TaskStandardTable[L标准],MATCH($AM26,TaskStandardTable[工作类型ID],0))</f>
        <v>≥4 个紧密相关目标、≥4 个组件或 ≥3 个负载模型；涉及分布式瓶颈、容量边界验证，或量化服务目标、非标准恢复或回滚</v>
      </c>
      <c r="BA26" s="42" t="str">
        <f aca="false">INDEX(TaskStandardTable[X/拆分条件],MATCH($AM26,TaskStandardTable[工作类型ID],0))</f>
        <v>包含多个独立瓶颈域/调用链，或目标没有基线、目标值、测量窗口和验收方法</v>
      </c>
      <c r="BB26" s="42" t="str">
        <f aca="false">INDEX(TaskStandardTable[模式适用说明],MATCH($AM26,TaskStandardTable[工作类型ID],0))</f>
        <v>调整只看已有能力变化；接入复用只看项目侧策略、参数、接入和目标验证</v>
      </c>
    </row>
    <row r="27" customFormat="false" ht="96" hidden="false" customHeight="true" outlineLevel="0" collapsed="false">
      <c r="A27" s="25" t="n">
        <v>23</v>
      </c>
      <c r="B27" s="26" t="s">
        <v>620</v>
      </c>
      <c r="C27" s="25" t="s">
        <v>685</v>
      </c>
      <c r="D27" s="26" t="s">
        <v>686</v>
      </c>
      <c r="E27" s="26" t="s">
        <v>687</v>
      </c>
      <c r="F27" s="26" t="s">
        <v>688</v>
      </c>
      <c r="G27" s="26" t="s">
        <v>689</v>
      </c>
      <c r="H27" s="26" t="s">
        <v>690</v>
      </c>
      <c r="I27" s="26" t="s">
        <v>691</v>
      </c>
      <c r="J27" s="27" t="b">
        <f aca="false">TRUE()</f>
        <v>1</v>
      </c>
      <c r="K27" s="28" t="n">
        <v>3</v>
      </c>
      <c r="L27" s="26" t="s">
        <v>692</v>
      </c>
      <c r="M27" s="27" t="b">
        <f aca="false">TRUE()</f>
        <v>1</v>
      </c>
      <c r="N27" s="28" t="n">
        <v>2</v>
      </c>
      <c r="O27" s="29" t="s">
        <v>693</v>
      </c>
      <c r="P27" s="30" t="b">
        <f aca="false">TRUE()</f>
        <v>1</v>
      </c>
      <c r="Q27" s="31" t="n">
        <v>1.5</v>
      </c>
      <c r="R27" s="29" t="s">
        <v>694</v>
      </c>
      <c r="S27" s="29" t="s">
        <v>695</v>
      </c>
      <c r="T27" s="29" t="s">
        <v>696</v>
      </c>
      <c r="U27" s="29" t="s">
        <v>697</v>
      </c>
      <c r="V27" s="29" t="s">
        <v>698</v>
      </c>
      <c r="W27" s="29" t="s">
        <v>699</v>
      </c>
      <c r="X27" s="29" t="s">
        <v>700</v>
      </c>
      <c r="Y27" s="29" t="s">
        <v>701</v>
      </c>
      <c r="Z27" s="29" t="s">
        <v>702</v>
      </c>
      <c r="AA27" s="29" t="s">
        <v>374</v>
      </c>
      <c r="AB27" s="32" t="s">
        <v>336</v>
      </c>
      <c r="AC27" s="32" t="s">
        <v>337</v>
      </c>
      <c r="AD27" s="32" t="s">
        <v>338</v>
      </c>
      <c r="AE27" s="29" t="s">
        <v>339</v>
      </c>
      <c r="AM27" s="34" t="s">
        <v>685</v>
      </c>
      <c r="AN27" s="34" t="str">
        <f aca="false">INDEX(TaskStandardTable[分类],MATCH($AM27,TaskStandardTable[工作类型ID],0))</f>
        <v>应用共性能力</v>
      </c>
      <c r="AO27" s="35" t="str">
        <f aca="false">INDEX(TaskStandardTable[工作类型名称],MATCH($AM27,TaskStandardTable[工作类型ID],0))</f>
        <v>业务连续性与灾备能力建设</v>
      </c>
      <c r="AP27" s="34" t="str">
        <f aca="false">INDEX(TaskStandardTable[计量单位],MATCH($AM27,TaskStandardTable[工作类型ID],0))</f>
        <v>每个应用的独立恢复能力</v>
      </c>
      <c r="AQ27" s="36" t="n">
        <f aca="false">IF(INDEX(TaskStandardTable[新建适用],MATCH($AM27,TaskStandardTable[工作类型ID],0)),INDEX(TaskStandardTable[新建M档人天],MATCH($AM27,TaskStandardTable[工作类型ID],0)),"-")</f>
        <v>3</v>
      </c>
      <c r="AR27" s="36" t="n">
        <f aca="false">IF(INDEX(TaskStandardTable[调整适用],MATCH($AM27,TaskStandardTable[工作类型ID],0)),INDEX(TaskStandardTable[调整M档人天],MATCH($AM27,TaskStandardTable[工作类型ID],0)),"-")</f>
        <v>2</v>
      </c>
      <c r="AS27" s="36" t="n">
        <f aca="false">IF(INDEX(TaskStandardTable[接入复用适用],MATCH($AM27,TaskStandardTable[工作类型ID],0)),INDEX(TaskStandardTable[接入复用M档人天],MATCH($AM27,TaskStandardTable[工作类型ID],0)),"-")</f>
        <v>1.5</v>
      </c>
      <c r="AT27" s="34" t="str">
        <f aca="false">INDEX(TaskStandardTable[标准交付物],MATCH($AM27,TaskStandardTable[工作类型ID],0))</f>
        <v>可切换、可降级并可恢复的应用连续性能力</v>
      </c>
      <c r="AU27" s="34" t="str">
        <f aca="false">IF(INDEX(TaskStandardTable[新建适用],MATCH($AM27,TaskStandardTable[工作类型ID],0)),"新建："&amp;INDEX(TaskStandardTable[新建完成标准],MATCH($AM27,TaskStandardTable[工作类型ID],0)),"")&amp;IF(INDEX(TaskStandardTable[调整适用],MATCH($AM27,TaskStandardTable[工作类型ID],0)),IF(OR(INDEX(TaskStandardTable[新建适用],MATCH($AM27,TaskStandardTable[工作类型ID],0))),CHAR(10),"")&amp;"调整："&amp;INDEX(TaskStandardTable[调整完成标准],MATCH($AM27,TaskStandardTable[工作类型ID],0)),"")&amp;IF(INDEX(TaskStandardTable[接入复用适用],MATCH($AM27,TaskStandardTable[工作类型ID],0)),IF(OR(INDEX(TaskStandardTable[新建适用],MATCH($AM27,TaskStandardTable[工作类型ID],0)),INDEX(TaskStandardTable[调整适用],MATCH($AM27,TaskStandardTable[工作类型ID],0))),CHAR(10),"")&amp;"接入复用："&amp;INDEX(TaskStandardTable[接入复用完成标准],MATCH($AM27,TaskStandardTable[工作类型ID],0)),"")</f>
        <v>新建：形成“可切换、可降级并可恢复的应用连续性能力”并通过约定验收。
调整：完成“可切换、可降级并可恢复的应用连续性能力”的目标变更和影响核验，并按交付对象性质通过评审、复核、演练或回归验证。
接入复用：既有灾备平台或模式不变，项目侧切换、降级、恢复配置和验证完成。</v>
      </c>
      <c r="AV27" s="34" t="str">
        <f aca="false">INDEX(TaskStandardTable[说明],MATCH($AM27,TaskStandardTable[工作类型ID],0))</f>
        <v>资源栈、正式验证和运行手册分别计量。</v>
      </c>
      <c r="AW27" s="34" t="str">
        <f aca="false">INDEX(TaskStandardTable[主要计量维度],MATCH($AM27,TaskStandardTable[工作类型ID],0))</f>
        <v>组件、恢复路径、RTO、RPO</v>
      </c>
      <c r="AX27" s="34" t="str">
        <f aca="false">INDEX(TaskStandardTable[S标准],MATCH($AM27,TaskStandardTable[工作类型ID],0))</f>
        <v>1 个应用且 ≤2 个组件；标准备份恢复；RTO ≥4 小时且 RPO ≥24 小时；单一路径</v>
      </c>
      <c r="AY27" s="34" t="str">
        <f aca="false">INDEX(TaskStandardTable[M标准],MATCH($AM27,TaskStandardTable[工作类型ID],0))</f>
        <v>3～6 个紧密相关组件；1 条切换/恢复路径；RTO 为 1～&lt;4 小时或 RPO 为 1～&lt;24 小时；含降级机制和内部开发自测</v>
      </c>
      <c r="AZ27" s="34" t="str">
        <f aca="false">INDEX(TaskStandardTable[L标准],MATCH($AM27,TaskStandardTable[工作类型ID],0))</f>
        <v>≥7 个紧密相关组件；RTO 为 15 分钟～&lt;1 小时或 RPO 为 5 分钟～&lt;1 小时；涉及多级切换、主动—主动，或跨区域连续性</v>
      </c>
      <c r="BA27" s="34" t="str">
        <f aca="false">INDEX(TaskStandardTable[X/拆分条件],MATCH($AM27,TaskStandardTable[工作类型ID],0))</f>
        <v>RTO &lt;15 分钟或 RPO &lt;5 分钟，包含多个独立应用/恢复能力，或基础设施栈、迁移和正式验证可独立交付却未拆分</v>
      </c>
      <c r="BB27" s="34" t="str">
        <f aca="false">INDEX(TaskStandardTable[模式适用说明],MATCH($AM27,TaskStandardTable[工作类型ID],0))</f>
        <v>调整只看恢复能力变化；接入复用只看项目侧切换、降级、恢复配置和内部验证；正式 TEST-DR 的路径、执行和证据全部排除</v>
      </c>
    </row>
    <row r="28" customFormat="false" ht="68" hidden="false" customHeight="true" outlineLevel="0" collapsed="false">
      <c r="A28" s="38" t="n">
        <v>24</v>
      </c>
      <c r="B28" s="39" t="s">
        <v>620</v>
      </c>
      <c r="C28" s="38" t="s">
        <v>703</v>
      </c>
      <c r="D28" s="39" t="s">
        <v>704</v>
      </c>
      <c r="E28" s="39" t="s">
        <v>705</v>
      </c>
      <c r="F28" s="39" t="s">
        <v>706</v>
      </c>
      <c r="G28" s="39" t="s">
        <v>707</v>
      </c>
      <c r="H28" s="39" t="s">
        <v>708</v>
      </c>
      <c r="I28" s="39" t="s">
        <v>709</v>
      </c>
      <c r="J28" s="40" t="b">
        <f aca="false">TRUE()</f>
        <v>1</v>
      </c>
      <c r="K28" s="41" t="n">
        <v>2</v>
      </c>
      <c r="L28" s="39" t="s">
        <v>710</v>
      </c>
      <c r="M28" s="40" t="b">
        <f aca="false">TRUE()</f>
        <v>1</v>
      </c>
      <c r="N28" s="41" t="n">
        <v>1.5</v>
      </c>
      <c r="O28" s="39" t="s">
        <v>711</v>
      </c>
      <c r="P28" s="40" t="b">
        <f aca="false">TRUE()</f>
        <v>1</v>
      </c>
      <c r="Q28" s="41" t="n">
        <v>1</v>
      </c>
      <c r="R28" s="39" t="s">
        <v>712</v>
      </c>
      <c r="S28" s="39" t="s">
        <v>713</v>
      </c>
      <c r="T28" s="39" t="s">
        <v>714</v>
      </c>
      <c r="U28" s="39" t="s">
        <v>715</v>
      </c>
      <c r="V28" s="39" t="s">
        <v>716</v>
      </c>
      <c r="W28" s="39" t="s">
        <v>717</v>
      </c>
      <c r="X28" s="39" t="s">
        <v>718</v>
      </c>
      <c r="Y28" s="39" t="s">
        <v>719</v>
      </c>
      <c r="Z28" s="39" t="s">
        <v>720</v>
      </c>
      <c r="AA28" s="39" t="s">
        <v>374</v>
      </c>
      <c r="AB28" s="38" t="s">
        <v>336</v>
      </c>
      <c r="AC28" s="38" t="s">
        <v>337</v>
      </c>
      <c r="AD28" s="38" t="s">
        <v>338</v>
      </c>
      <c r="AE28" s="39" t="s">
        <v>339</v>
      </c>
      <c r="AM28" s="42" t="s">
        <v>703</v>
      </c>
      <c r="AN28" s="42" t="str">
        <f aca="false">INDEX(TaskStandardTable[分类],MATCH($AM28,TaskStandardTable[工作类型ID],0))</f>
        <v>应用共性能力</v>
      </c>
      <c r="AO28" s="43" t="str">
        <f aca="false">INDEX(TaskStandardTable[工作类型名称],MATCH($AM28,TaskStandardTable[工作类型ID],0))</f>
        <v>应用横切信息安全与隐私控制</v>
      </c>
      <c r="AP28" s="42" t="str">
        <f aca="false">INDEX(TaskStandardTable[计量单位],MATCH($AM28,TaskStandardTable[工作类型ID],0))</f>
        <v>每信息安全控制域</v>
      </c>
      <c r="AQ28" s="44" t="n">
        <f aca="false">IF(INDEX(TaskStandardTable[新建适用],MATCH($AM28,TaskStandardTable[工作类型ID],0)),INDEX(TaskStandardTable[新建M档人天],MATCH($AM28,TaskStandardTable[工作类型ID],0)),"-")</f>
        <v>2</v>
      </c>
      <c r="AR28" s="44" t="n">
        <f aca="false">IF(INDEX(TaskStandardTable[调整适用],MATCH($AM28,TaskStandardTable[工作类型ID],0)),INDEX(TaskStandardTable[调整M档人天],MATCH($AM28,TaskStandardTable[工作类型ID],0)),"-")</f>
        <v>1.5</v>
      </c>
      <c r="AS28" s="44" t="n">
        <f aca="false">IF(INDEX(TaskStandardTable[接入复用适用],MATCH($AM28,TaskStandardTable[工作类型ID],0)),INDEX(TaskStandardTable[接入复用M档人天],MATCH($AM28,TaskStandardTable[工作类型ID],0)),"-")</f>
        <v>1</v>
      </c>
      <c r="AT28" s="42" t="str">
        <f aca="false">INDEX(TaskStandardTable[标准交付物],MATCH($AM28,TaskStandardTable[工作类型ID],0))</f>
        <v>专用类型未覆盖的应用横切信息安全或隐私控制能力</v>
      </c>
      <c r="AU28" s="42" t="str">
        <f aca="false">IF(INDEX(TaskStandardTable[新建适用],MATCH($AM28,TaskStandardTable[工作类型ID],0)),"新建："&amp;INDEX(TaskStandardTable[新建完成标准],MATCH($AM28,TaskStandardTable[工作类型ID],0)),"")&amp;IF(INDEX(TaskStandardTable[调整适用],MATCH($AM28,TaskStandardTable[工作类型ID],0)),IF(OR(INDEX(TaskStandardTable[新建适用],MATCH($AM28,TaskStandardTable[工作类型ID],0))),CHAR(10),"")&amp;"调整："&amp;INDEX(TaskStandardTable[调整完成标准],MATCH($AM28,TaskStandardTable[工作类型ID],0)),"")&amp;IF(INDEX(TaskStandardTable[接入复用适用],MATCH($AM28,TaskStandardTable[工作类型ID],0)),IF(OR(INDEX(TaskStandardTable[新建适用],MATCH($AM28,TaskStandardTable[工作类型ID],0)),INDEX(TaskStandardTable[调整适用],MATCH($AM28,TaskStandardTable[工作类型ID],0))),CHAR(10),"")&amp;"接入复用："&amp;INDEX(TaskStandardTable[接入复用完成标准],MATCH($AM28,TaskStandardTable[工作类型ID],0)),"")</f>
        <v>新建：形成可验证的应用横切信息安全或隐私控制能力。
调整：完成既有横切控制的目标变更、影响核验和必要回归。
接入复用：既有信息安全能力不变，项目侧策略、配置、接入和控制验证完成。</v>
      </c>
      <c r="AV28" s="42" t="str">
        <f aca="false">INDEX(TaskStandardTable[说明],MATCH($AM28,TaskStandardTable[工作类型ID],0))</f>
        <v>专用类型优先：身份集成、功能/数据权限、字段加密脱敏和独立安全验证分别使用 IN-IDENTITY、GOV-*、TEST-SECURITY；本行不是安全兜底包。</v>
      </c>
      <c r="AW28" s="42" t="str">
        <f aca="false">INDEX(TaskStandardTable[主要计量维度],MATCH($AM28,TaskStandardTable[工作类型ID],0))</f>
        <v>控制措施、数据等级、数据流、合规约束</v>
      </c>
      <c r="AX28" s="42" t="str">
        <f aca="false">INDEX(TaskStandardTable[S标准],MATCH($AM28,TaskStandardTable[工作类型ID],0))</f>
        <v>1 个控制措施；1 类普通数据；≤2 条数据流；标准配置</v>
      </c>
      <c r="AY28" s="42" t="str">
        <f aca="false">INDEX(TaskStandardTable[M标准],MATCH($AM28,TaskStandardTable[工作类型ID],0))</f>
        <v>2～4 个相关控制；2～3 类数据；3～5 条数据流；含同意、审计或密钥使用</v>
      </c>
      <c r="AZ28" s="42" t="str">
        <f aca="false">INDEX(TaskStandardTable[L标准],MATCH($AM28,TaskStandardTable[工作类型ID],0))</f>
        <v>5～8 个紧密相关控制、4～6 类数据或 6～10 条数据流；涉及跨境数据流控制、数据主体权利流程，或高敏感数据或权限控制、受监管证据</v>
      </c>
      <c r="BA28" s="42" t="str">
        <f aca="false">INDEX(TaskStandardTable[X/拆分条件],MATCH($AM28,TaskStandardTable[工作类型ID],0))</f>
        <v>控制 &gt;8、数据类别 &gt;6、数据流 &gt;10，包含多个独立信息安全控制域/数据流，或威胁、数据分类和责任边界未明确</v>
      </c>
      <c r="BB28" s="42" t="str">
        <f aca="false">INDEX(TaskStandardTable[模式适用说明],MATCH($AM28,TaskStandardTable[工作类型ID],0))</f>
        <v>专用身份、权限、数据安全或安全测试类型优先；本行只看剩余横切控制的新增、变化或项目侧接入工作</v>
      </c>
    </row>
    <row r="29" customFormat="false" ht="96" hidden="false" customHeight="true" outlineLevel="0" collapsed="false">
      <c r="A29" s="25" t="n">
        <v>25</v>
      </c>
      <c r="B29" s="26" t="s">
        <v>620</v>
      </c>
      <c r="C29" s="25" t="s">
        <v>721</v>
      </c>
      <c r="D29" s="26" t="s">
        <v>722</v>
      </c>
      <c r="E29" s="26" t="s">
        <v>723</v>
      </c>
      <c r="F29" s="26" t="s">
        <v>724</v>
      </c>
      <c r="G29" s="26" t="s">
        <v>725</v>
      </c>
      <c r="H29" s="26" t="s">
        <v>726</v>
      </c>
      <c r="I29" s="26" t="s">
        <v>727</v>
      </c>
      <c r="J29" s="27" t="b">
        <f aca="false">TRUE()</f>
        <v>1</v>
      </c>
      <c r="K29" s="28" t="n">
        <v>2.5</v>
      </c>
      <c r="L29" s="26" t="s">
        <v>728</v>
      </c>
      <c r="M29" s="27" t="b">
        <f aca="false">TRUE()</f>
        <v>1</v>
      </c>
      <c r="N29" s="28" t="n">
        <v>1.5</v>
      </c>
      <c r="O29" s="29" t="s">
        <v>729</v>
      </c>
      <c r="P29" s="30" t="b">
        <f aca="false">TRUE()</f>
        <v>1</v>
      </c>
      <c r="Q29" s="31" t="n">
        <v>1</v>
      </c>
      <c r="R29" s="29" t="s">
        <v>730</v>
      </c>
      <c r="S29" s="29" t="s">
        <v>731</v>
      </c>
      <c r="T29" s="29" t="s">
        <v>732</v>
      </c>
      <c r="U29" s="29" t="s">
        <v>733</v>
      </c>
      <c r="V29" s="29" t="s">
        <v>734</v>
      </c>
      <c r="W29" s="29" t="s">
        <v>735</v>
      </c>
      <c r="X29" s="29" t="s">
        <v>736</v>
      </c>
      <c r="Y29" s="29" t="s">
        <v>737</v>
      </c>
      <c r="Z29" s="29" t="s">
        <v>738</v>
      </c>
      <c r="AA29" s="29" t="s">
        <v>374</v>
      </c>
      <c r="AB29" s="32" t="s">
        <v>336</v>
      </c>
      <c r="AC29" s="32" t="s">
        <v>337</v>
      </c>
      <c r="AD29" s="32" t="s">
        <v>338</v>
      </c>
      <c r="AE29" s="29" t="s">
        <v>339</v>
      </c>
      <c r="AM29" s="34" t="s">
        <v>721</v>
      </c>
      <c r="AN29" s="34" t="str">
        <f aca="false">INDEX(TaskStandardTable[分类],MATCH($AM29,TaskStandardTable[工作类型ID],0))</f>
        <v>应用共性能力</v>
      </c>
      <c r="AO29" s="35" t="str">
        <f aca="false">INDEX(TaskStandardTable[工作类型名称],MATCH($AM29,TaskStandardTable[工作类型ID],0))</f>
        <v>多租户基础能力</v>
      </c>
      <c r="AP29" s="34" t="str">
        <f aca="false">INDEX(TaskStandardTable[计量单位],MATCH($AM29,TaskStandardTable[工作类型ID],0))</f>
        <v>每个应用的租户隔离机制</v>
      </c>
      <c r="AQ29" s="36" t="n">
        <f aca="false">IF(INDEX(TaskStandardTable[新建适用],MATCH($AM29,TaskStandardTable[工作类型ID],0)),INDEX(TaskStandardTable[新建M档人天],MATCH($AM29,TaskStandardTable[工作类型ID],0)),"-")</f>
        <v>2.5</v>
      </c>
      <c r="AR29" s="36" t="n">
        <f aca="false">IF(INDEX(TaskStandardTable[调整适用],MATCH($AM29,TaskStandardTable[工作类型ID],0)),INDEX(TaskStandardTable[调整M档人天],MATCH($AM29,TaskStandardTable[工作类型ID],0)),"-")</f>
        <v>1.5</v>
      </c>
      <c r="AS29" s="36" t="n">
        <f aca="false">IF(INDEX(TaskStandardTable[接入复用适用],MATCH($AM29,TaskStandardTable[工作类型ID],0)),INDEX(TaskStandardTable[接入复用M档人天],MATCH($AM29,TaskStandardTable[工作类型ID],0)),"-")</f>
        <v>1</v>
      </c>
      <c r="AT29" s="34" t="str">
        <f aca="false">INDEX(TaskStandardTable[标准交付物],MATCH($AM29,TaskStandardTable[工作类型ID],0))</f>
        <v>租户识别、上下文传播和资源隔离基础能力</v>
      </c>
      <c r="AU29" s="34" t="str">
        <f aca="false">IF(INDEX(TaskStandardTable[新建适用],MATCH($AM29,TaskStandardTable[工作类型ID],0)),"新建："&amp;INDEX(TaskStandardTable[新建完成标准],MATCH($AM29,TaskStandardTable[工作类型ID],0)),"")&amp;IF(INDEX(TaskStandardTable[调整适用],MATCH($AM29,TaskStandardTable[工作类型ID],0)),IF(OR(INDEX(TaskStandardTable[新建适用],MATCH($AM29,TaskStandardTable[工作类型ID],0))),CHAR(10),"")&amp;"调整："&amp;INDEX(TaskStandardTable[调整完成标准],MATCH($AM29,TaskStandardTable[工作类型ID],0)),"")&amp;IF(INDEX(TaskStandardTable[接入复用适用],MATCH($AM29,TaskStandardTable[工作类型ID],0)),IF(OR(INDEX(TaskStandardTable[新建适用],MATCH($AM29,TaskStandardTable[工作类型ID],0)),INDEX(TaskStandardTable[调整适用],MATCH($AM29,TaskStandardTable[工作类型ID],0))),CHAR(10),"")&amp;"接入复用："&amp;INDEX(TaskStandardTable[接入复用完成标准],MATCH($AM29,TaskStandardTable[工作类型ID],0)),"")</f>
        <v>新建：形成“租户识别、上下文传播和资源隔离基础能力”并通过约定验收。
调整：完成“租户识别、上下文传播和资源隔离基础能力”的目标变更和影响核验，并按交付对象性质通过评审、复核、演练或回归验证。
接入复用：既有多租户框架不变，项目侧租户上下文、隔离配置和验证完成。</v>
      </c>
      <c r="AV29" s="34" t="str">
        <f aca="false">INDEX(TaskStandardTable[说明],MATCH($AM29,TaskStandardTable[工作类型ID],0))</f>
        <v>数据权限、租户级配置和正式安全验证分别计量。</v>
      </c>
      <c r="AW29" s="34" t="str">
        <f aca="false">INDEX(TaskStandardTable[主要计量维度],MATCH($AM29,TaskStandardTable[工作类型ID],0))</f>
        <v>租户识别、上下文传播层级、资源种类、隔离强度</v>
      </c>
      <c r="AX29" s="34" t="str">
        <f aca="false">INDEX(TaskStandardTable[S标准],MATCH($AM29,TaskStandardTable[工作类型ID],0))</f>
        <v>1 种租户识别；上下文仅在单一应用层传播；≤2 类共享资源；无租户级密钥</v>
      </c>
      <c r="AY29" s="34" t="str">
        <f aca="false">INDEX(TaskStandardTable[M标准],MATCH($AM29,TaskStandardTable[工作类型ID],0))</f>
        <v>上下文跨 2～3 个技术层级传播；3～5 类资源；含数据隔离、租户配置和配额</v>
      </c>
      <c r="AZ29" s="34" t="str">
        <f aca="false">INDEX(TaskStandardTable[L标准],MATCH($AM29,TaskStandardTable[工作类型ID],0))</f>
        <v>上下文跨 4～6 个层级或 6～10 类资源；涉及租户分片路由、混合隔离、租户迁移、跨租户拒绝矩阵，或高敏感数据或权限控制、动态策略</v>
      </c>
      <c r="BA29" s="34" t="str">
        <f aca="false">INDEX(TaskStandardTable[X/拆分条件],MATCH($AM29,TaskStandardTable[工作类型ID],0))</f>
        <v>层级 &gt;6、资源类别 &gt;10，包含多个独立应用/租户模型，或租户边界、数据归属和隔离策略未明确</v>
      </c>
      <c r="BB29" s="34" t="str">
        <f aca="false">INDEX(TaskStandardTable[模式适用说明],MATCH($AM29,TaskStandardTable[工作类型ID],0))</f>
        <v>调整只看跨租户隔离机制变化；复用只看项目侧租户上下文、隔离配置和验证；租户内角色/组织数据范围使用 GOV-DATA-ACCESS</v>
      </c>
    </row>
    <row r="30" customFormat="false" ht="66" hidden="false" customHeight="true" outlineLevel="0" collapsed="false">
      <c r="A30" s="38" t="n">
        <v>26</v>
      </c>
      <c r="B30" s="39" t="s">
        <v>739</v>
      </c>
      <c r="C30" s="38" t="s">
        <v>740</v>
      </c>
      <c r="D30" s="39" t="s">
        <v>741</v>
      </c>
      <c r="E30" s="39" t="s">
        <v>742</v>
      </c>
      <c r="F30" s="39" t="s">
        <v>743</v>
      </c>
      <c r="G30" s="39" t="s">
        <v>744</v>
      </c>
      <c r="H30" s="39" t="s">
        <v>745</v>
      </c>
      <c r="I30" s="39" t="s">
        <v>746</v>
      </c>
      <c r="J30" s="40" t="b">
        <f aca="false">TRUE()</f>
        <v>1</v>
      </c>
      <c r="K30" s="41" t="n">
        <v>2.5</v>
      </c>
      <c r="L30" s="39" t="s">
        <v>747</v>
      </c>
      <c r="M30" s="40" t="b">
        <f aca="false">TRUE()</f>
        <v>1</v>
      </c>
      <c r="N30" s="41" t="n">
        <v>2</v>
      </c>
      <c r="O30" s="39" t="s">
        <v>748</v>
      </c>
      <c r="P30" s="40" t="b">
        <f aca="false">FALSE()</f>
        <v>0</v>
      </c>
      <c r="Q30" s="41"/>
      <c r="R30" s="39"/>
      <c r="S30" s="39" t="s">
        <v>749</v>
      </c>
      <c r="T30" s="39" t="s">
        <v>750</v>
      </c>
      <c r="U30" s="39" t="s">
        <v>751</v>
      </c>
      <c r="V30" s="39" t="s">
        <v>752</v>
      </c>
      <c r="W30" s="39" t="s">
        <v>753</v>
      </c>
      <c r="X30" s="39" t="s">
        <v>754</v>
      </c>
      <c r="Y30" s="39"/>
      <c r="Z30" s="39" t="s">
        <v>334</v>
      </c>
      <c r="AA30" s="39" t="s">
        <v>374</v>
      </c>
      <c r="AB30" s="38" t="s">
        <v>336</v>
      </c>
      <c r="AC30" s="38" t="s">
        <v>337</v>
      </c>
      <c r="AD30" s="38" t="s">
        <v>338</v>
      </c>
      <c r="AE30" s="39" t="s">
        <v>339</v>
      </c>
      <c r="AM30" s="42" t="s">
        <v>740</v>
      </c>
      <c r="AN30" s="42" t="str">
        <f aca="false">INDEX(TaskStandardTable[分类],MATCH($AM30,TaskStandardTable[工作类型ID],0))</f>
        <v>数据交付</v>
      </c>
      <c r="AO30" s="43" t="str">
        <f aca="false">INDEX(TaskStandardTable[工作类型名称],MATCH($AM30,TaskStandardTable[工作类型ID],0))</f>
        <v>业务数据导入</v>
      </c>
      <c r="AP30" s="42" t="str">
        <f aca="false">INDEX(TaskStandardTable[计量单位],MATCH($AM30,TaskStandardTable[工作类型ID],0))</f>
        <v>每个数据域的导入契约</v>
      </c>
      <c r="AQ30" s="44" t="n">
        <f aca="false">IF(INDEX(TaskStandardTable[新建适用],MATCH($AM30,TaskStandardTable[工作类型ID],0)),INDEX(TaskStandardTable[新建M档人天],MATCH($AM30,TaskStandardTable[工作类型ID],0)),"-")</f>
        <v>2.5</v>
      </c>
      <c r="AR30" s="44" t="n">
        <f aca="false">IF(INDEX(TaskStandardTable[调整适用],MATCH($AM30,TaskStandardTable[工作类型ID],0)),INDEX(TaskStandardTable[调整M档人天],MATCH($AM30,TaskStandardTable[工作类型ID],0)),"-")</f>
        <v>2</v>
      </c>
      <c r="AS30" s="44" t="str">
        <f aca="false">IF(INDEX(TaskStandardTable[接入复用适用],MATCH($AM30,TaskStandardTable[工作类型ID],0)),INDEX(TaskStandardTable[接入复用M档人天],MATCH($AM30,TaskStandardTable[工作类型ID],0)),"-")</f>
        <v>-</v>
      </c>
      <c r="AT30" s="42" t="str">
        <f aca="false">INDEX(TaskStandardTable[标准交付物],MATCH($AM30,TaskStandardTable[工作类型ID],0))</f>
        <v>通过校验并可追踪的数据导入结果</v>
      </c>
      <c r="AU30" s="42" t="str">
        <f aca="false">IF(INDEX(TaskStandardTable[新建适用],MATCH($AM30,TaskStandardTable[工作类型ID],0)),"新建："&amp;INDEX(TaskStandardTable[新建完成标准],MATCH($AM30,TaskStandardTable[工作类型ID],0)),"")&amp;IF(INDEX(TaskStandardTable[调整适用],MATCH($AM30,TaskStandardTable[工作类型ID],0)),IF(OR(INDEX(TaskStandardTable[新建适用],MATCH($AM30,TaskStandardTable[工作类型ID],0))),CHAR(10),"")&amp;"调整："&amp;INDEX(TaskStandardTable[调整完成标准],MATCH($AM30,TaskStandardTable[工作类型ID],0)),"")&amp;IF(INDEX(TaskStandardTable[接入复用适用],MATCH($AM30,TaskStandardTable[工作类型ID],0)),IF(OR(INDEX(TaskStandardTable[新建适用],MATCH($AM30,TaskStandardTable[工作类型ID],0)),INDEX(TaskStandardTable[调整适用],MATCH($AM30,TaskStandardTable[工作类型ID],0))),CHAR(10),"")&amp;"接入复用："&amp;INDEX(TaskStandardTable[接入复用完成标准],MATCH($AM30,TaskStandardTable[工作类型ID],0)),"")</f>
        <v>新建：形成“通过校验并可追踪的数据导入结果”并通过约定验收。
调整：完成“通过校验并可追踪的数据导入结果”的目标变更和影响核验，并按交付对象性质通过评审、复核、演练或回归验证。</v>
      </c>
      <c r="AV30" s="42" t="str">
        <f aca="false">INDEX(TaskStandardTable[说明],MATCH($AM30,TaskStandardTable[工作类型ID],0))</f>
        <v>按共同语义和验收结果确定数据域。</v>
      </c>
      <c r="AW30" s="42" t="str">
        <f aca="false">INDEX(TaskStandardTable[主要计量维度],MATCH($AM30,TaskStandardTable[工作类型ID],0))</f>
        <v>格式、字段、校验规则、数据量</v>
      </c>
      <c r="AX30" s="42" t="str">
        <f aca="false">INDEX(TaskStandardTable[S标准],MATCH($AM30,TaskStandardTable[工作类型ID],0))</f>
        <v>1 种格式；≤20 个字段；≤5 条校验；≤1 万条/批；全量失败</v>
      </c>
      <c r="AY30" s="42" t="str">
        <f aca="false">INDEX(TaskStandardTable[M标准],MATCH($AM30,TaskStandardTable[工作类型ID],0))</f>
        <v>2～3 种相关格式或 21～80 个字段；6～20 条规则；&gt;1 万且 ≤100 万条/批；含错误明细和重跑</v>
      </c>
      <c r="AZ30" s="42" t="str">
        <f aca="false">INDEX(TaskStandardTable[L标准],MATCH($AM30,TaskStandardTable[工作类型ID],0))</f>
        <v>4～6 种相关格式、81～160 个字段、21～40 条规则或 &gt;100 万且 ≤1000 万条/批；涉及多版式模板识别、检查点续传，或非标准恢复或回滚、受监管证据</v>
      </c>
      <c r="BA30" s="42" t="str">
        <f aca="false">INDEX(TaskStandardTable[X/拆分条件],MATCH($AM30,TaskStandardTable[工作类型ID],0))</f>
        <v>格式 &gt;6、字段 &gt;160、规则 &gt;40、数据量 &gt;1000 万条/批，包含多个独立数据域/来源系统，或字段口径、失败处置和验收结果未明确</v>
      </c>
      <c r="BB30" s="42" t="str">
        <f aca="false">INDEX(TaskStandardTable[模式适用说明],MATCH($AM30,TaskStandardTable[工作类型ID],0))</f>
        <v>新建看完整导入结果；调整只看变化格式、字段、规则、处理路径和必要回归</v>
      </c>
    </row>
    <row r="31" customFormat="false" ht="66" hidden="false" customHeight="true" outlineLevel="0" collapsed="false">
      <c r="A31" s="25" t="n">
        <v>27</v>
      </c>
      <c r="B31" s="26" t="s">
        <v>739</v>
      </c>
      <c r="C31" s="25" t="s">
        <v>755</v>
      </c>
      <c r="D31" s="26" t="s">
        <v>154</v>
      </c>
      <c r="E31" s="26" t="s">
        <v>756</v>
      </c>
      <c r="F31" s="26" t="s">
        <v>757</v>
      </c>
      <c r="G31" s="26" t="s">
        <v>758</v>
      </c>
      <c r="H31" s="26" t="s">
        <v>759</v>
      </c>
      <c r="I31" s="26" t="s">
        <v>760</v>
      </c>
      <c r="J31" s="27" t="b">
        <f aca="false">TRUE()</f>
        <v>1</v>
      </c>
      <c r="K31" s="28" t="n">
        <v>2</v>
      </c>
      <c r="L31" s="26" t="s">
        <v>761</v>
      </c>
      <c r="M31" s="27" t="b">
        <f aca="false">TRUE()</f>
        <v>1</v>
      </c>
      <c r="N31" s="28" t="n">
        <v>1.5</v>
      </c>
      <c r="O31" s="29" t="s">
        <v>762</v>
      </c>
      <c r="P31" s="30" t="b">
        <f aca="false">FALSE()</f>
        <v>0</v>
      </c>
      <c r="Q31" s="31"/>
      <c r="R31" s="29"/>
      <c r="S31" s="29" t="s">
        <v>763</v>
      </c>
      <c r="T31" s="29" t="s">
        <v>764</v>
      </c>
      <c r="U31" s="29" t="s">
        <v>765</v>
      </c>
      <c r="V31" s="29" t="s">
        <v>766</v>
      </c>
      <c r="W31" s="29" t="s">
        <v>767</v>
      </c>
      <c r="X31" s="29" t="s">
        <v>768</v>
      </c>
      <c r="Y31" s="29" t="s">
        <v>769</v>
      </c>
      <c r="Z31" s="29" t="s">
        <v>770</v>
      </c>
      <c r="AA31" s="29" t="s">
        <v>771</v>
      </c>
      <c r="AB31" s="32" t="s">
        <v>336</v>
      </c>
      <c r="AC31" s="32" t="s">
        <v>337</v>
      </c>
      <c r="AD31" s="32" t="s">
        <v>338</v>
      </c>
      <c r="AE31" s="29" t="s">
        <v>339</v>
      </c>
      <c r="AM31" s="34" t="s">
        <v>755</v>
      </c>
      <c r="AN31" s="34" t="str">
        <f aca="false">INDEX(TaskStandardTable[分类],MATCH($AM31,TaskStandardTable[工作类型ID],0))</f>
        <v>数据交付</v>
      </c>
      <c r="AO31" s="35" t="str">
        <f aca="false">INDEX(TaskStandardTable[工作类型名称],MATCH($AM31,TaskStandardTable[工作类型ID],0))</f>
        <v>批量数据集与数据馈送输出</v>
      </c>
      <c r="AP31" s="34" t="str">
        <f aca="false">INDEX(TaskStandardTable[计量单位],MATCH($AM31,TaskStandardTable[工作类型ID],0))</f>
        <v>每个数据域的消费契约</v>
      </c>
      <c r="AQ31" s="36" t="n">
        <f aca="false">IF(INDEX(TaskStandardTable[新建适用],MATCH($AM31,TaskStandardTable[工作类型ID],0)),INDEX(TaskStandardTable[新建M档人天],MATCH($AM31,TaskStandardTable[工作类型ID],0)),"-")</f>
        <v>2</v>
      </c>
      <c r="AR31" s="36" t="n">
        <f aca="false">IF(INDEX(TaskStandardTable[调整适用],MATCH($AM31,TaskStandardTable[工作类型ID],0)),INDEX(TaskStandardTable[调整M档人天],MATCH($AM31,TaskStandardTable[工作类型ID],0)),"-")</f>
        <v>1.5</v>
      </c>
      <c r="AS31" s="36" t="str">
        <f aca="false">IF(INDEX(TaskStandardTable[接入复用适用],MATCH($AM31,TaskStandardTable[工作类型ID],0)),INDEX(TaskStandardTable[接入复用M档人天],MATCH($AM31,TaskStandardTable[工作类型ID],0)),"-")</f>
        <v>-</v>
      </c>
      <c r="AT31" s="34" t="str">
        <f aca="false">INDEX(TaskStandardTable[标准交付物],MATCH($AM31,TaskStandardTable[工作类型ID],0))</f>
        <v>面向机器消费的批量数据集或数据馈送</v>
      </c>
      <c r="AU31" s="34" t="str">
        <f aca="false">IF(INDEX(TaskStandardTable[新建适用],MATCH($AM31,TaskStandardTable[工作类型ID],0)),"新建："&amp;INDEX(TaskStandardTable[新建完成标准],MATCH($AM31,TaskStandardTable[工作类型ID],0)),"")&amp;IF(INDEX(TaskStandardTable[调整适用],MATCH($AM31,TaskStandardTable[工作类型ID],0)),IF(OR(INDEX(TaskStandardTable[新建适用],MATCH($AM31,TaskStandardTable[工作类型ID],0))),CHAR(10),"")&amp;"调整："&amp;INDEX(TaskStandardTable[调整完成标准],MATCH($AM31,TaskStandardTable[工作类型ID],0)),"")&amp;IF(INDEX(TaskStandardTable[接入复用适用],MATCH($AM31,TaskStandardTable[工作类型ID],0)),IF(OR(INDEX(TaskStandardTable[新建适用],MATCH($AM31,TaskStandardTable[工作类型ID],0)),INDEX(TaskStandardTable[调整适用],MATCH($AM31,TaskStandardTable[工作类型ID],0))),CHAR(10),"")&amp;"接入复用："&amp;INDEX(TaskStandardTable[接入复用完成标准],MATCH($AM31,TaskStandardTable[工作类型ID],0)),"")</f>
        <v>新建：形成可追踪、可验证的批量数据集或数据馈送。
调整：完成既有输出契约、字段、格式或生成逻辑的变更及必要回归。</v>
      </c>
      <c r="AV31" s="34" t="str">
        <f aca="false">INDEX(TaskStandardTable[说明],MATCH($AM31,TaskStandardTable[工作类型ID],0))</f>
        <v>不用于请求—响应查询 API、人工阅读报表或业务文档；这些分别使用 FE-QUERY-API、DATA-REPORT、DATA-DOCUMENT。</v>
      </c>
      <c r="AW31" s="34" t="str">
        <f aca="false">INDEX(TaskStandardTable[主要计量维度],MATCH($AM31,TaskStandardTable[工作类型ID],0))</f>
        <v>输出格式、字段、规则、数据量</v>
      </c>
      <c r="AX31" s="34" t="str">
        <f aca="false">INDEX(TaskStandardTable[S标准],MATCH($AM31,TaskStandardTable[工作类型ID],0))</f>
        <v>1 种格式；≤20 个字段；≤3 条派生规则；≤1 万条/次</v>
      </c>
      <c r="AY31" s="34" t="str">
        <f aca="false">INDEX(TaskStandardTable[M标准],MATCH($AM31,TaskStandardTable[工作类型ID],0))</f>
        <v>2～3 种相关格式或 21～80 个字段；4～15 条规则；&gt;1 万且 ≤100 万条/次；含过滤和分页</v>
      </c>
      <c r="AZ31" s="34" t="str">
        <f aca="false">INDEX(TaskStandardTable[L标准],MATCH($AM31,TaskStandardTable[工作类型ID],0))</f>
        <v>≥4 种相关格式、&gt;80 个字段、&gt;15 条规则或 &gt;100 万条/次；涉及流式输出、加密签名、多消费方兼容，或量化服务目标</v>
      </c>
      <c r="BA31" s="34" t="str">
        <f aca="false">INDEX(TaskStandardTable[X/拆分条件],MATCH($AM31,TaskStandardTable[工作类型ID],0))</f>
        <v>包含多个独立数据域/消费契约，或输出口径和消费责任未明确</v>
      </c>
      <c r="BB31" s="34" t="str">
        <f aca="false">INDEX(TaskStandardTable[模式适用说明],MATCH($AM31,TaskStandardTable[工作类型ID],0))</f>
        <v>只用于批量数据集或数据馈送；查询 API、人工报表和业务文档使用各自专用类型</v>
      </c>
    </row>
    <row r="32" customFormat="false" ht="66" hidden="false" customHeight="true" outlineLevel="0" collapsed="false">
      <c r="A32" s="38" t="n">
        <v>28</v>
      </c>
      <c r="B32" s="39" t="s">
        <v>739</v>
      </c>
      <c r="C32" s="38" t="s">
        <v>600</v>
      </c>
      <c r="D32" s="39" t="s">
        <v>772</v>
      </c>
      <c r="E32" s="39" t="s">
        <v>773</v>
      </c>
      <c r="F32" s="39" t="s">
        <v>774</v>
      </c>
      <c r="G32" s="39" t="s">
        <v>775</v>
      </c>
      <c r="H32" s="39" t="s">
        <v>776</v>
      </c>
      <c r="I32" s="39" t="s">
        <v>777</v>
      </c>
      <c r="J32" s="40" t="b">
        <f aca="false">TRUE()</f>
        <v>1</v>
      </c>
      <c r="K32" s="41" t="n">
        <v>2.5</v>
      </c>
      <c r="L32" s="39" t="s">
        <v>778</v>
      </c>
      <c r="M32" s="40" t="b">
        <f aca="false">TRUE()</f>
        <v>1</v>
      </c>
      <c r="N32" s="41" t="n">
        <v>2</v>
      </c>
      <c r="O32" s="39" t="s">
        <v>779</v>
      </c>
      <c r="P32" s="40" t="b">
        <f aca="false">FALSE()</f>
        <v>0</v>
      </c>
      <c r="Q32" s="41"/>
      <c r="R32" s="39"/>
      <c r="S32" s="39" t="s">
        <v>780</v>
      </c>
      <c r="T32" s="39" t="s">
        <v>781</v>
      </c>
      <c r="U32" s="39" t="s">
        <v>782</v>
      </c>
      <c r="V32" s="39" t="s">
        <v>783</v>
      </c>
      <c r="W32" s="39" t="s">
        <v>784</v>
      </c>
      <c r="X32" s="39" t="s">
        <v>785</v>
      </c>
      <c r="Y32" s="39" t="s">
        <v>585</v>
      </c>
      <c r="Z32" s="39" t="s">
        <v>786</v>
      </c>
      <c r="AA32" s="39" t="s">
        <v>787</v>
      </c>
      <c r="AB32" s="38" t="s">
        <v>336</v>
      </c>
      <c r="AC32" s="38" t="s">
        <v>337</v>
      </c>
      <c r="AD32" s="38" t="s">
        <v>338</v>
      </c>
      <c r="AE32" s="39" t="s">
        <v>339</v>
      </c>
      <c r="AM32" s="42" t="s">
        <v>600</v>
      </c>
      <c r="AN32" s="42" t="str">
        <f aca="false">INDEX(TaskStandardTable[分类],MATCH($AM32,TaskStandardTable[工作类型ID],0))</f>
        <v>数据交付</v>
      </c>
      <c r="AO32" s="43" t="str">
        <f aca="false">INDEX(TaskStandardTable[工作类型名称],MATCH($AM32,TaskStandardTable[工作类型ID],0))</f>
        <v>持续数据同步与复制</v>
      </c>
      <c r="AP32" s="42" t="str">
        <f aca="false">INDEX(TaskStandardTable[计量单位],MATCH($AM32,TaskStandardTable[工作类型ID],0))</f>
        <v>每个数据域的源目标同步契约</v>
      </c>
      <c r="AQ32" s="44" t="n">
        <f aca="false">IF(INDEX(TaskStandardTable[新建适用],MATCH($AM32,TaskStandardTable[工作类型ID],0)),INDEX(TaskStandardTable[新建M档人天],MATCH($AM32,TaskStandardTable[工作类型ID],0)),"-")</f>
        <v>2.5</v>
      </c>
      <c r="AR32" s="44" t="n">
        <f aca="false">IF(INDEX(TaskStandardTable[调整适用],MATCH($AM32,TaskStandardTable[工作类型ID],0)),INDEX(TaskStandardTable[调整M档人天],MATCH($AM32,TaskStandardTable[工作类型ID],0)),"-")</f>
        <v>2</v>
      </c>
      <c r="AS32" s="44" t="str">
        <f aca="false">IF(INDEX(TaskStandardTable[接入复用适用],MATCH($AM32,TaskStandardTable[工作类型ID],0)),INDEX(TaskStandardTable[接入复用M档人天],MATCH($AM32,TaskStandardTable[工作类型ID],0)),"-")</f>
        <v>-</v>
      </c>
      <c r="AT32" s="42" t="str">
        <f aca="false">INDEX(TaskStandardTable[标准交付物],MATCH($AM32,TaskStandardTable[工作类型ID],0))</f>
        <v>一个源目标组合下可独立运行的数据同步、复制及一致性结果</v>
      </c>
      <c r="AU32" s="42" t="str">
        <f aca="false">IF(INDEX(TaskStandardTable[新建适用],MATCH($AM32,TaskStandardTable[工作类型ID],0)),"新建："&amp;INDEX(TaskStandardTable[新建完成标准],MATCH($AM32,TaskStandardTable[工作类型ID],0)),"")&amp;IF(INDEX(TaskStandardTable[调整适用],MATCH($AM32,TaskStandardTable[工作类型ID],0)),IF(OR(INDEX(TaskStandardTable[新建适用],MATCH($AM32,TaskStandardTable[工作类型ID],0))),CHAR(10),"")&amp;"调整："&amp;INDEX(TaskStandardTable[调整完成标准],MATCH($AM32,TaskStandardTable[工作类型ID],0)),"")&amp;IF(INDEX(TaskStandardTable[接入复用适用],MATCH($AM32,TaskStandardTable[工作类型ID],0)),IF(OR(INDEX(TaskStandardTable[新建适用],MATCH($AM32,TaskStandardTable[工作类型ID],0)),INDEX(TaskStandardTable[调整适用],MATCH($AM32,TaskStandardTable[工作类型ID],0))),CHAR(10),"")&amp;"接入复用："&amp;INDEX(TaskStandardTable[接入复用完成标准],MATCH($AM32,TaskStandardTable[工作类型ID],0)),"")</f>
        <v>新建：形成可独立运行的数据同步或复制能力及一致性结果。
调整：完成既有同步契约的对象、映射、方向、时效或一致性变更及必要回归。</v>
      </c>
      <c r="AV32" s="42" t="str">
        <f aca="false">INDEX(TaskStandardTable[说明],MATCH($AM32,TaskStandardTable[工作类型ID],0))</f>
        <v>只有同步能力可独立运行和验收时单列；若只是 IN-INTEGRATION 内部的数据交换实现，不重复计量。</v>
      </c>
      <c r="AW32" s="42" t="str">
        <f aca="false">INDEX(TaskStandardTable[主要计量维度],MATCH($AM32,TaskStandardTable[工作类型ID],0))</f>
        <v>数据对象、字段映射、方向、同步间隔/一致性</v>
      </c>
      <c r="AX32" s="42" t="str">
        <f aca="false">INDEX(TaskStandardTable[S标准],MATCH($AM32,TaskStandardTable[工作类型ID],0))</f>
        <v>1 个对象；≤20 个字段；单向；同步间隔 ≥24 小时；允许人工补偿</v>
      </c>
      <c r="AY32" s="42" t="str">
        <f aca="false">INDEX(TaskStandardTable[M标准],MATCH($AM32,TaskStandardTable[工作类型ID],0))</f>
        <v>2～4 个相关对象；21～80 个字段；单向且同步间隔 ≥5 分钟并 &lt;24 小时，或同一同步契约内共同交付的双向低频；需增量、重试和核对</v>
      </c>
      <c r="AZ32" s="42" t="str">
        <f aca="false">INDEX(TaskStandardTable[L标准],MATCH($AM32,TaskStandardTable[工作类型ID],0))</f>
        <v>≥5 个紧密相关对象或 &gt;80 个字段；同步间隔 ≥5 秒并 &lt;5 分钟；涉及双向近实时、CDC、回放补数，或非标准恢复或回滚、量化服务目标</v>
      </c>
      <c r="BA32" s="42" t="str">
        <f aca="false">INDEX(TaskStandardTable[X/拆分条件],MATCH($AM32,TaskStandardTable[工作类型ID],0))</f>
        <v>同步间隔目标 &lt;5 秒，包含多个数据域、多个源目标组合、可独立部署/验收的方向，或来源/目标/主数据责任未明确</v>
      </c>
      <c r="BB32" s="42" t="str">
        <f aca="false">INDEX(TaskStandardTable[模式适用说明],MATCH($AM32,TaskStandardTable[工作类型ID],0))</f>
        <v>仅独立运行和验收的同步能力使用本行；集成内部的数据交换不重复计量</v>
      </c>
    </row>
    <row r="33" customFormat="false" ht="68" hidden="false" customHeight="true" outlineLevel="0" collapsed="false">
      <c r="A33" s="25" t="n">
        <v>29</v>
      </c>
      <c r="B33" s="26" t="s">
        <v>739</v>
      </c>
      <c r="C33" s="25" t="s">
        <v>788</v>
      </c>
      <c r="D33" s="26" t="s">
        <v>789</v>
      </c>
      <c r="E33" s="26" t="s">
        <v>790</v>
      </c>
      <c r="F33" s="26" t="s">
        <v>791</v>
      </c>
      <c r="G33" s="26" t="s">
        <v>792</v>
      </c>
      <c r="H33" s="26" t="s">
        <v>793</v>
      </c>
      <c r="I33" s="26" t="s">
        <v>794</v>
      </c>
      <c r="J33" s="27" t="b">
        <f aca="false">TRUE()</f>
        <v>1</v>
      </c>
      <c r="K33" s="28" t="n">
        <v>2</v>
      </c>
      <c r="L33" s="26" t="s">
        <v>795</v>
      </c>
      <c r="M33" s="27" t="b">
        <f aca="false">TRUE()</f>
        <v>1</v>
      </c>
      <c r="N33" s="28" t="n">
        <v>1.5</v>
      </c>
      <c r="O33" s="29" t="s">
        <v>796</v>
      </c>
      <c r="P33" s="30" t="b">
        <f aca="false">FALSE()</f>
        <v>0</v>
      </c>
      <c r="Q33" s="31"/>
      <c r="R33" s="29"/>
      <c r="S33" s="29" t="s">
        <v>797</v>
      </c>
      <c r="T33" s="29" t="s">
        <v>798</v>
      </c>
      <c r="U33" s="29" t="s">
        <v>799</v>
      </c>
      <c r="V33" s="29" t="s">
        <v>800</v>
      </c>
      <c r="W33" s="29" t="s">
        <v>801</v>
      </c>
      <c r="X33" s="29" t="s">
        <v>802</v>
      </c>
      <c r="Y33" s="29"/>
      <c r="Z33" s="29" t="s">
        <v>334</v>
      </c>
      <c r="AA33" s="29" t="s">
        <v>803</v>
      </c>
      <c r="AB33" s="32" t="s">
        <v>336</v>
      </c>
      <c r="AC33" s="32" t="s">
        <v>337</v>
      </c>
      <c r="AD33" s="32" t="s">
        <v>338</v>
      </c>
      <c r="AE33" s="29" t="s">
        <v>339</v>
      </c>
      <c r="AM33" s="34" t="s">
        <v>788</v>
      </c>
      <c r="AN33" s="34" t="str">
        <f aca="false">INDEX(TaskStandardTable[分类],MATCH($AM33,TaskStandardTable[工作类型ID],0))</f>
        <v>数据交付</v>
      </c>
      <c r="AO33" s="35" t="str">
        <f aca="false">INDEX(TaskStandardTable[工作类型名称],MATCH($AM33,TaskStandardTable[工作类型ID],0))</f>
        <v>独立数据处理与质量规则</v>
      </c>
      <c r="AP33" s="34" t="str">
        <f aca="false">INDEX(TaskStandardTable[计量单位],MATCH($AM33,TaskStandardTable[工作类型ID],0))</f>
        <v>每条可独立运行的数据处理流程</v>
      </c>
      <c r="AQ33" s="36" t="n">
        <f aca="false">IF(INDEX(TaskStandardTable[新建适用],MATCH($AM33,TaskStandardTable[工作类型ID],0)),INDEX(TaskStandardTable[新建M档人天],MATCH($AM33,TaskStandardTable[工作类型ID],0)),"-")</f>
        <v>2</v>
      </c>
      <c r="AR33" s="36" t="n">
        <f aca="false">IF(INDEX(TaskStandardTable[调整适用],MATCH($AM33,TaskStandardTable[工作类型ID],0)),INDEX(TaskStandardTable[调整M档人天],MATCH($AM33,TaskStandardTable[工作类型ID],0)),"-")</f>
        <v>1.5</v>
      </c>
      <c r="AS33" s="36" t="str">
        <f aca="false">IF(INDEX(TaskStandardTable[接入复用适用],MATCH($AM33,TaskStandardTable[工作类型ID],0)),INDEX(TaskStandardTable[接入复用M档人天],MATCH($AM33,TaskStandardTable[工作类型ID],0)),"-")</f>
        <v>-</v>
      </c>
      <c r="AT33" s="34" t="str">
        <f aca="false">INDEX(TaskStandardTable[标准交付物],MATCH($AM33,TaskStandardTable[工作类型ID],0))</f>
        <v>可独立运行并验收的转换、质量校验、隔离或评分结果</v>
      </c>
      <c r="AU33" s="34" t="str">
        <f aca="false">IF(INDEX(TaskStandardTable[新建适用],MATCH($AM33,TaskStandardTable[工作类型ID],0)),"新建："&amp;INDEX(TaskStandardTable[新建完成标准],MATCH($AM33,TaskStandardTable[工作类型ID],0)),"")&amp;IF(INDEX(TaskStandardTable[调整适用],MATCH($AM33,TaskStandardTable[工作类型ID],0)),IF(OR(INDEX(TaskStandardTable[新建适用],MATCH($AM33,TaskStandardTable[工作类型ID],0))),CHAR(10),"")&amp;"调整："&amp;INDEX(TaskStandardTable[调整完成标准],MATCH($AM33,TaskStandardTable[工作类型ID],0)),"")&amp;IF(INDEX(TaskStandardTable[接入复用适用],MATCH($AM33,TaskStandardTable[工作类型ID],0)),IF(OR(INDEX(TaskStandardTable[新建适用],MATCH($AM33,TaskStandardTable[工作类型ID],0)),INDEX(TaskStandardTable[调整适用],MATCH($AM33,TaskStandardTable[工作类型ID],0))),CHAR(10),"")&amp;"接入复用："&amp;INDEX(TaskStandardTable[接入复用完成标准],MATCH($AM33,TaskStandardTable[工作类型ID],0)),"")</f>
        <v>新建：形成可独立运行的数据处理或质量规则、异常处置和结果证据并通过约定验收。
调整：完成既有处理步骤、质量规则、隔离/评分逻辑或处置结果的变更和影响核验。</v>
      </c>
      <c r="AV33" s="34" t="str">
        <f aca="false">INDEX(TaskStandardTable[说明],MATCH($AM33,TaskStandardTable[工作类型ID],0))</f>
        <v>导入、同步或迁移内部步骤不重复计量；只有可独立调度、持续运行或独立验收的数据质量成果才单列。</v>
      </c>
      <c r="AW33" s="34" t="str">
        <f aca="false">INDEX(TaskStandardTable[主要计量维度],MATCH($AM33,TaskStandardTable[工作类型ID],0))</f>
        <v>来源、处理步骤、转换/质量规则、异常处置、数据量</v>
      </c>
      <c r="AX33" s="34" t="str">
        <f aca="false">INDEX(TaskStandardTable[S标准],MATCH($AM33,TaskStandardTable[工作类型ID],0))</f>
        <v>单源单结果；1～2 个步骤；≤10 条转换或质量规则；≤10 万条/批；异常整体失败</v>
      </c>
      <c r="AY33" s="34" t="str">
        <f aca="false">INDEX(TaskStandardTable[M标准],MATCH($AM33,TaskStandardTable[工作类型ID],0))</f>
        <v>2～3 个相关来源；3～5 个步骤；11～30 条规则；&gt;10 万且 ≤1000 万条/批；含隔离、评分或整改流</v>
      </c>
      <c r="AZ33" s="34" t="str">
        <f aca="false">INDEX(TaskStandardTable[L标准],MATCH($AM33,TaskStandardTable[工作类型ID],0))</f>
        <v>4～6 个紧密相关来源、6～10 个步骤、31～60 条规则或 &gt;1000 万且 ≤1 亿条/批；涉及流批统一处理、处理结果回放、字段级多跳血缘，或受监管证据</v>
      </c>
      <c r="BA33" s="34" t="str">
        <f aca="false">INDEX(TaskStandardTable[X/拆分条件],MATCH($AM33,TaskStandardTable[工作类型ID],0))</f>
        <v>来源 &gt;6、步骤 &gt;10、规则 &gt;60、数据量 &gt;1 亿条/批，包含多个可独立调度的处理流程/数据域，或输入、输出、质量口径和异常责任未明确</v>
      </c>
      <c r="BB33" s="34" t="str">
        <f aca="false">INDEX(TaskStandardTable[模式适用说明],MATCH($AM33,TaskStandardTable[工作类型ID],0))</f>
        <v>新建看完整处理与质量结果；调整只看变化步骤、规则、数据路径、异常处置和必要回归</v>
      </c>
    </row>
    <row r="34" customFormat="false" ht="66" hidden="false" customHeight="true" outlineLevel="0" collapsed="false">
      <c r="A34" s="38" t="n">
        <v>30</v>
      </c>
      <c r="B34" s="39" t="s">
        <v>739</v>
      </c>
      <c r="C34" s="38" t="s">
        <v>804</v>
      </c>
      <c r="D34" s="39" t="s">
        <v>805</v>
      </c>
      <c r="E34" s="39" t="s">
        <v>806</v>
      </c>
      <c r="F34" s="39" t="s">
        <v>807</v>
      </c>
      <c r="G34" s="39" t="s">
        <v>808</v>
      </c>
      <c r="H34" s="39" t="s">
        <v>809</v>
      </c>
      <c r="I34" s="39" t="s">
        <v>810</v>
      </c>
      <c r="J34" s="40" t="b">
        <f aca="false">TRUE()</f>
        <v>1</v>
      </c>
      <c r="K34" s="41" t="n">
        <v>2</v>
      </c>
      <c r="L34" s="39" t="s">
        <v>811</v>
      </c>
      <c r="M34" s="40" t="b">
        <f aca="false">TRUE()</f>
        <v>1</v>
      </c>
      <c r="N34" s="41" t="n">
        <v>1.5</v>
      </c>
      <c r="O34" s="39" t="s">
        <v>812</v>
      </c>
      <c r="P34" s="40" t="b">
        <f aca="false">FALSE()</f>
        <v>0</v>
      </c>
      <c r="Q34" s="41"/>
      <c r="R34" s="39"/>
      <c r="S34" s="39" t="s">
        <v>813</v>
      </c>
      <c r="T34" s="39" t="s">
        <v>814</v>
      </c>
      <c r="U34" s="39" t="s">
        <v>815</v>
      </c>
      <c r="V34" s="39" t="s">
        <v>816</v>
      </c>
      <c r="W34" s="39" t="s">
        <v>817</v>
      </c>
      <c r="X34" s="39" t="s">
        <v>818</v>
      </c>
      <c r="Y34" s="39" t="s">
        <v>819</v>
      </c>
      <c r="Z34" s="39" t="s">
        <v>820</v>
      </c>
      <c r="AA34" s="39" t="s">
        <v>821</v>
      </c>
      <c r="AB34" s="38" t="s">
        <v>336</v>
      </c>
      <c r="AC34" s="38" t="s">
        <v>337</v>
      </c>
      <c r="AD34" s="38" t="s">
        <v>338</v>
      </c>
      <c r="AE34" s="39" t="s">
        <v>339</v>
      </c>
      <c r="AM34" s="42" t="s">
        <v>804</v>
      </c>
      <c r="AN34" s="42" t="str">
        <f aca="false">INDEX(TaskStandardTable[分类],MATCH($AM34,TaskStandardTable[工作类型ID],0))</f>
        <v>数据交付</v>
      </c>
      <c r="AO34" s="43" t="str">
        <f aca="false">INDEX(TaskStandardTable[工作类型名称],MATCH($AM34,TaskStandardTable[工作类型ID],0))</f>
        <v>跨能力共享数据契约</v>
      </c>
      <c r="AP34" s="42" t="str">
        <f aca="false">INDEX(TaskStandardTable[计量单位],MATCH($AM34,TaskStandardTable[工作类型ID],0))</f>
        <v>每个可独立版本化的数据契约</v>
      </c>
      <c r="AQ34" s="44" t="n">
        <f aca="false">IF(INDEX(TaskStandardTable[新建适用],MATCH($AM34,TaskStandardTable[工作类型ID],0)),INDEX(TaskStandardTable[新建M档人天],MATCH($AM34,TaskStandardTable[工作类型ID],0)),"-")</f>
        <v>2</v>
      </c>
      <c r="AR34" s="44" t="n">
        <f aca="false">IF(INDEX(TaskStandardTable[调整适用],MATCH($AM34,TaskStandardTable[工作类型ID],0)),INDEX(TaskStandardTable[调整M档人天],MATCH($AM34,TaskStandardTable[工作类型ID],0)),"-")</f>
        <v>1.5</v>
      </c>
      <c r="AS34" s="44" t="str">
        <f aca="false">IF(INDEX(TaskStandardTable[接入复用适用],MATCH($AM34,TaskStandardTable[工作类型ID],0)),INDEX(TaskStandardTable[接入复用M档人天],MATCH($AM34,TaskStandardTable[工作类型ID],0)),"-")</f>
        <v>-</v>
      </c>
      <c r="AT34" s="42" t="str">
        <f aca="false">INDEX(TaskStandardTable[标准交付物],MATCH($AM34,TaskStandardTable[工作类型ID],0))</f>
        <v>被多个接口、事件或数据能力共同消费的版本化数据契约</v>
      </c>
      <c r="AU34" s="42" t="str">
        <f aca="false">IF(INDEX(TaskStandardTable[新建适用],MATCH($AM34,TaskStandardTable[工作类型ID],0)),"新建："&amp;INDEX(TaskStandardTable[新建完成标准],MATCH($AM34,TaskStandardTable[工作类型ID],0)),"")&amp;IF(INDEX(TaskStandardTable[调整适用],MATCH($AM34,TaskStandardTable[工作类型ID],0)),IF(OR(INDEX(TaskStandardTable[新建适用],MATCH($AM34,TaskStandardTable[工作类型ID],0))),CHAR(10),"")&amp;"调整："&amp;INDEX(TaskStandardTable[调整完成标准],MATCH($AM34,TaskStandardTable[工作类型ID],0)),"")&amp;IF(INDEX(TaskStandardTable[接入复用适用],MATCH($AM34,TaskStandardTable[工作类型ID],0)),IF(OR(INDEX(TaskStandardTable[新建适用],MATCH($AM34,TaskStandardTable[工作类型ID],0)),INDEX(TaskStandardTable[调整适用],MATCH($AM34,TaskStandardTable[工作类型ID],0))),CHAR(10),"")&amp;"接入复用："&amp;INDEX(TaskStandardTable[接入复用完成标准],MATCH($AM34,TaskStandardTable[工作类型ID],0)),"")</f>
        <v>新建：形成可独立版本化并被多个能力消费的数据契约。
调整：完成既有契约字段、语义、兼容策略或版本的变更及必要回归。</v>
      </c>
      <c r="AV34" s="42" t="str">
        <f aca="false">INDEX(TaskStandardTable[说明],MATCH($AM34,TaskStandardTable[工作类型ID],0))</f>
        <v>单个 API 或集成 Schema 包含在主 Task 中；数据库 Schema、关系、索引和结构迁移使用 DATA-MODEL-STORAGE。</v>
      </c>
      <c r="AW34" s="42" t="str">
        <f aca="false">INDEX(TaskStandardTable[主要计量维度],MATCH($AM34,TaskStandardTable[工作类型ID],0))</f>
        <v>对象、字段、消费者、版本兼容</v>
      </c>
      <c r="AX34" s="42" t="str">
        <f aca="false">INDEX(TaskStandardTable[S标准],MATCH($AM34,TaskStandardTable[工作类型ID],0))</f>
        <v>1 个对象；≤20 个字段；1 个消费者；无历史版本兼容</v>
      </c>
      <c r="AY34" s="42" t="str">
        <f aca="false">INDEX(TaskStandardTable[M标准],MATCH($AM34,TaskStandardTable[工作类型ID],0))</f>
        <v>2～4 个紧密相关对象或 21～80 个字段；2～3 个消费者；含版本和兼容规则</v>
      </c>
      <c r="AZ34" s="42" t="str">
        <f aca="false">INDEX(TaskStandardTable[L标准],MATCH($AM34,TaskStandardTable[工作类型ID],0))</f>
        <v>5～8 个紧密相关对象、81～160 个字段或 4～6 个消费者；涉及双写契约迁移，或严格向后兼容、非标准恢复或回滚</v>
      </c>
      <c r="BA34" s="42" t="str">
        <f aca="false">INDEX(TaskStandardTable[X/拆分条件],MATCH($AM34,TaskStandardTable[工作类型ID],0))</f>
        <v>对象 &gt;8、字段 &gt;160、消费者 &gt;6，包含多个可独立版本化的契约，或所有者、语义和兼容策略未明确</v>
      </c>
      <c r="BB34" s="42" t="str">
        <f aca="false">INDEX(TaskStandardTable[模式适用说明],MATCH($AM34,TaskStandardTable[工作类型ID],0))</f>
        <v>以跨接口、事件或数据能力共享的消费者契约为主；存储结构使用 DATA-MODEL-STORAGE</v>
      </c>
    </row>
    <row r="35" customFormat="false" ht="82" hidden="false" customHeight="true" outlineLevel="0" collapsed="false">
      <c r="A35" s="25" t="n">
        <v>31</v>
      </c>
      <c r="B35" s="26" t="s">
        <v>739</v>
      </c>
      <c r="C35" s="25" t="s">
        <v>822</v>
      </c>
      <c r="D35" s="26" t="s">
        <v>823</v>
      </c>
      <c r="E35" s="26" t="s">
        <v>824</v>
      </c>
      <c r="F35" s="26" t="s">
        <v>825</v>
      </c>
      <c r="G35" s="26" t="s">
        <v>826</v>
      </c>
      <c r="H35" s="26" t="s">
        <v>827</v>
      </c>
      <c r="I35" s="26" t="s">
        <v>828</v>
      </c>
      <c r="J35" s="27" t="b">
        <f aca="false">TRUE()</f>
        <v>1</v>
      </c>
      <c r="K35" s="28" t="n">
        <v>2</v>
      </c>
      <c r="L35" s="26" t="s">
        <v>829</v>
      </c>
      <c r="M35" s="27" t="b">
        <f aca="false">TRUE()</f>
        <v>1</v>
      </c>
      <c r="N35" s="28" t="n">
        <v>1.5</v>
      </c>
      <c r="O35" s="29" t="s">
        <v>830</v>
      </c>
      <c r="P35" s="30" t="b">
        <f aca="false">FALSE()</f>
        <v>0</v>
      </c>
      <c r="Q35" s="31"/>
      <c r="R35" s="29"/>
      <c r="S35" s="29" t="s">
        <v>831</v>
      </c>
      <c r="T35" s="29" t="s">
        <v>832</v>
      </c>
      <c r="U35" s="29" t="s">
        <v>833</v>
      </c>
      <c r="V35" s="29" t="s">
        <v>834</v>
      </c>
      <c r="W35" s="29" t="s">
        <v>835</v>
      </c>
      <c r="X35" s="29" t="s">
        <v>836</v>
      </c>
      <c r="Y35" s="29"/>
      <c r="Z35" s="29" t="s">
        <v>334</v>
      </c>
      <c r="AA35" s="29" t="s">
        <v>837</v>
      </c>
      <c r="AB35" s="32" t="s">
        <v>336</v>
      </c>
      <c r="AC35" s="32" t="s">
        <v>337</v>
      </c>
      <c r="AD35" s="32" t="s">
        <v>338</v>
      </c>
      <c r="AE35" s="29" t="s">
        <v>339</v>
      </c>
      <c r="AM35" s="34" t="s">
        <v>822</v>
      </c>
      <c r="AN35" s="34" t="str">
        <f aca="false">INDEX(TaskStandardTable[分类],MATCH($AM35,TaskStandardTable[工作类型ID],0))</f>
        <v>数据交付</v>
      </c>
      <c r="AO35" s="35" t="str">
        <f aca="false">INDEX(TaskStandardTable[工作类型名称],MATCH($AM35,TaskStandardTable[工作类型ID],0))</f>
        <v>数据生命周期治理</v>
      </c>
      <c r="AP35" s="34" t="str">
        <f aca="false">INDEX(TaskStandardTable[计量单位],MATCH($AM35,TaskStandardTable[工作类型ID],0))</f>
        <v>每个数据域的治理策略</v>
      </c>
      <c r="AQ35" s="36" t="n">
        <f aca="false">IF(INDEX(TaskStandardTable[新建适用],MATCH($AM35,TaskStandardTable[工作类型ID],0)),INDEX(TaskStandardTable[新建M档人天],MATCH($AM35,TaskStandardTable[工作类型ID],0)),"-")</f>
        <v>2</v>
      </c>
      <c r="AR35" s="36" t="n">
        <f aca="false">IF(INDEX(TaskStandardTable[调整适用],MATCH($AM35,TaskStandardTable[工作类型ID],0)),INDEX(TaskStandardTable[调整M档人天],MATCH($AM35,TaskStandardTable[工作类型ID],0)),"-")</f>
        <v>1.5</v>
      </c>
      <c r="AS35" s="36" t="str">
        <f aca="false">IF(INDEX(TaskStandardTable[接入复用适用],MATCH($AM35,TaskStandardTable[工作类型ID],0)),INDEX(TaskStandardTable[接入复用M档人天],MATCH($AM35,TaskStandardTable[工作类型ID],0)),"-")</f>
        <v>-</v>
      </c>
      <c r="AT35" s="34" t="str">
        <f aca="false">INDEX(TaskStandardTable[标准交付物],MATCH($AM35,TaskStandardTable[工作类型ID],0))</f>
        <v>可执行并审计的保留、归档、冻结、恢复和销毁策略</v>
      </c>
      <c r="AU35" s="34" t="str">
        <f aca="false">IF(INDEX(TaskStandardTable[新建适用],MATCH($AM35,TaskStandardTable[工作类型ID],0)),"新建："&amp;INDEX(TaskStandardTable[新建完成标准],MATCH($AM35,TaskStandardTable[工作类型ID],0)),"")&amp;IF(INDEX(TaskStandardTable[调整适用],MATCH($AM35,TaskStandardTable[工作类型ID],0)),IF(OR(INDEX(TaskStandardTable[新建适用],MATCH($AM35,TaskStandardTable[工作类型ID],0))),CHAR(10),"")&amp;"调整："&amp;INDEX(TaskStandardTable[调整完成标准],MATCH($AM35,TaskStandardTable[工作类型ID],0)),"")&amp;IF(INDEX(TaskStandardTable[接入复用适用],MATCH($AM35,TaskStandardTable[工作类型ID],0)),IF(OR(INDEX(TaskStandardTable[新建适用],MATCH($AM35,TaskStandardTable[工作类型ID],0)),INDEX(TaskStandardTable[调整适用],MATCH($AM35,TaskStandardTable[工作类型ID],0))),CHAR(10),"")&amp;"接入复用："&amp;INDEX(TaskStandardTable[接入复用完成标准],MATCH($AM35,TaskStandardTable[工作类型ID],0)),"")</f>
        <v>新建：形成“可执行并审计的保留、归档、冻结、恢复和销毁策略”并通过约定验收。
调整：完成“可执行并审计的保留、归档、冻结、恢复和销毁策略”的目标变更和影响核验，并按交付对象性质通过评审、复核、演练或回归验证。</v>
      </c>
      <c r="AV35" s="34" t="str">
        <f aca="false">INDEX(TaskStandardTable[说明],MATCH($AM35,TaskStandardTable[工作类型ID],0))</f>
        <v>一次性迁移和普通清理不属于本类型。</v>
      </c>
      <c r="AW35" s="34" t="str">
        <f aca="false">INDEX(TaskStandardTable[主要计量维度],MATCH($AM35,TaskStandardTable[工作类型ID],0))</f>
        <v>生命周期阶段、数据对象、执行系统、审计要求</v>
      </c>
      <c r="AX35" s="34" t="str">
        <f aca="false">INDEX(TaskStandardTable[S标准],MATCH($AM35,TaskStandardTable[工作类型ID],0))</f>
        <v>1 个对象组；≤2 个阶段；1 个执行系统；标准保留/删除</v>
      </c>
      <c r="AY35" s="34" t="str">
        <f aca="false">INDEX(TaskStandardTable[M标准],MATCH($AM35,TaskStandardTable[工作类型ID],0))</f>
        <v>2～4 个相关对象组；3～4 个阶段；2～3 个系统；含归档、恢复和审计</v>
      </c>
      <c r="AZ35" s="34" t="str">
        <f aca="false">INDEX(TaskStandardTable[L标准],MATCH($AM35,TaskStandardTable[工作类型ID],0))</f>
        <v>5～8 个紧密相关对象组、5～8 个阶段或 4～6 个执行系统；涉及跨系统一致冻结、分阶段可恢复销毁，或受监管证据</v>
      </c>
      <c r="BA35" s="34" t="str">
        <f aca="false">INDEX(TaskStandardTable[X/拆分条件],MATCH($AM35,TaskStandardTable[工作类型ID],0))</f>
        <v>对象组 &gt;8、阶段 &gt;8、系统 &gt;6，包含多个独立数据域/治理策略，或数据分类、保留期限和责任人未明确</v>
      </c>
      <c r="BB35" s="34" t="str">
        <f aca="false">INDEX(TaskStandardTable[模式适用说明],MATCH($AM35,TaskStandardTable[工作类型ID],0))</f>
        <v>新建看完整治理策略；调整只看变化阶段、对象、执行和验证范围</v>
      </c>
    </row>
    <row r="36" customFormat="false" ht="66" hidden="false" customHeight="true" outlineLevel="0" collapsed="false">
      <c r="A36" s="38" t="n">
        <v>32</v>
      </c>
      <c r="B36" s="39" t="s">
        <v>739</v>
      </c>
      <c r="C36" s="38" t="s">
        <v>838</v>
      </c>
      <c r="D36" s="39" t="s">
        <v>163</v>
      </c>
      <c r="E36" s="39" t="s">
        <v>839</v>
      </c>
      <c r="F36" s="39" t="s">
        <v>840</v>
      </c>
      <c r="G36" s="39" t="s">
        <v>841</v>
      </c>
      <c r="H36" s="39" t="s">
        <v>842</v>
      </c>
      <c r="I36" s="39" t="s">
        <v>843</v>
      </c>
      <c r="J36" s="40" t="b">
        <f aca="false">TRUE()</f>
        <v>1</v>
      </c>
      <c r="K36" s="41" t="n">
        <v>3</v>
      </c>
      <c r="L36" s="39" t="s">
        <v>844</v>
      </c>
      <c r="M36" s="40" t="b">
        <f aca="false">TRUE()</f>
        <v>1</v>
      </c>
      <c r="N36" s="41" t="n">
        <v>2</v>
      </c>
      <c r="O36" s="39" t="s">
        <v>845</v>
      </c>
      <c r="P36" s="40" t="b">
        <f aca="false">FALSE()</f>
        <v>0</v>
      </c>
      <c r="Q36" s="41"/>
      <c r="R36" s="39"/>
      <c r="S36" s="39" t="s">
        <v>846</v>
      </c>
      <c r="T36" s="39" t="s">
        <v>847</v>
      </c>
      <c r="U36" s="39" t="s">
        <v>848</v>
      </c>
      <c r="V36" s="39" t="s">
        <v>849</v>
      </c>
      <c r="W36" s="39" t="s">
        <v>850</v>
      </c>
      <c r="X36" s="39" t="s">
        <v>851</v>
      </c>
      <c r="Y36" s="39"/>
      <c r="Z36" s="39" t="s">
        <v>334</v>
      </c>
      <c r="AA36" s="39" t="s">
        <v>374</v>
      </c>
      <c r="AB36" s="38" t="s">
        <v>336</v>
      </c>
      <c r="AC36" s="38" t="s">
        <v>337</v>
      </c>
      <c r="AD36" s="38" t="s">
        <v>338</v>
      </c>
      <c r="AE36" s="39" t="s">
        <v>339</v>
      </c>
      <c r="AM36" s="42" t="s">
        <v>838</v>
      </c>
      <c r="AN36" s="42" t="str">
        <f aca="false">INDEX(TaskStandardTable[分类],MATCH($AM36,TaskStandardTable[工作类型ID],0))</f>
        <v>数据交付</v>
      </c>
      <c r="AO36" s="43" t="str">
        <f aca="false">INDEX(TaskStandardTable[工作类型名称],MATCH($AM36,TaskStandardTable[工作类型ID],0))</f>
        <v>历史数据迁移</v>
      </c>
      <c r="AP36" s="42" t="str">
        <f aca="false">INDEX(TaskStandardTable[计量单位],MATCH($AM36,TaskStandardTable[工作类型ID],0))</f>
        <v>每个数据域的单一源目标组合</v>
      </c>
      <c r="AQ36" s="44" t="n">
        <f aca="false">IF(INDEX(TaskStandardTable[新建适用],MATCH($AM36,TaskStandardTable[工作类型ID],0)),INDEX(TaskStandardTable[新建M档人天],MATCH($AM36,TaskStandardTable[工作类型ID],0)),"-")</f>
        <v>3</v>
      </c>
      <c r="AR36" s="44" t="n">
        <f aca="false">IF(INDEX(TaskStandardTable[调整适用],MATCH($AM36,TaskStandardTable[工作类型ID],0)),INDEX(TaskStandardTable[调整M档人天],MATCH($AM36,TaskStandardTable[工作类型ID],0)),"-")</f>
        <v>2</v>
      </c>
      <c r="AS36" s="44" t="str">
        <f aca="false">IF(INDEX(TaskStandardTable[接入复用适用],MATCH($AM36,TaskStandardTable[工作类型ID],0)),INDEX(TaskStandardTable[接入复用M档人天],MATCH($AM36,TaskStandardTable[工作类型ID],0)),"-")</f>
        <v>-</v>
      </c>
      <c r="AT36" s="42" t="str">
        <f aca="false">INDEX(TaskStandardTable[标准交付物],MATCH($AM36,TaskStandardTable[工作类型ID],0))</f>
        <v>数据映射、转换、装载和校验能力</v>
      </c>
      <c r="AU36" s="42" t="str">
        <f aca="false">IF(INDEX(TaskStandardTable[新建适用],MATCH($AM36,TaskStandardTable[工作类型ID],0)),"新建："&amp;INDEX(TaskStandardTable[新建完成标准],MATCH($AM36,TaskStandardTable[工作类型ID],0)),"")&amp;IF(INDEX(TaskStandardTable[调整适用],MATCH($AM36,TaskStandardTable[工作类型ID],0)),IF(OR(INDEX(TaskStandardTable[新建适用],MATCH($AM36,TaskStandardTable[工作类型ID],0))),CHAR(10),"")&amp;"调整："&amp;INDEX(TaskStandardTable[调整完成标准],MATCH($AM36,TaskStandardTable[工作类型ID],0)),"")&amp;IF(INDEX(TaskStandardTable[接入复用适用],MATCH($AM36,TaskStandardTable[工作类型ID],0)),IF(OR(INDEX(TaskStandardTable[新建适用],MATCH($AM36,TaskStandardTable[工作类型ID],0)),INDEX(TaskStandardTable[调整适用],MATCH($AM36,TaskStandardTable[工作类型ID],0))),CHAR(10),"")&amp;"接入复用："&amp;INDEX(TaskStandardTable[接入复用完成标准],MATCH($AM36,TaskStandardTable[工作类型ID],0)),"")</f>
        <v>新建：形成“数据映射、转换、装载和校验能力”并通过约定验收。
调整：完成“数据映射、转换、装载和校验能力”的目标变更和影响核验，并按交付对象性质通过评审、复核、演练或回归验证。</v>
      </c>
      <c r="AV36" s="42" t="str">
        <f aca="false">INDEX(TaskStandardTable[说明],MATCH($AM36,TaskStandardTable[工作类型ID],0))</f>
        <v>独立演练与生产执行另计。</v>
      </c>
      <c r="AW36" s="42" t="str">
        <f aca="false">INDEX(TaskStandardTable[主要计量维度],MATCH($AM36,TaskStandardTable[工作类型ID],0))</f>
        <v>对象、字段映射、数据量、停机/回滚</v>
      </c>
      <c r="AX36" s="42" t="str">
        <f aca="false">INDEX(TaskStandardTable[S标准],MATCH($AM36,TaskStandardTable[工作类型ID],0))</f>
        <v>1 个对象组；≤20 个字段；≤10 万条；一对一映射；无零停机或独立停机时长门禁，且允许整体回滚</v>
      </c>
      <c r="AY36" s="42" t="str">
        <f aca="false">INDEX(TaskStandardTable[M标准],MATCH($AM36,TaskStandardTable[工作类型ID],0))</f>
        <v>2～4 个相关对象或 21～80 个字段；&gt;10 万且 ≤1000 万条；需清洗、可重复脚本、源目标核验和标准回滚点</v>
      </c>
      <c r="AZ36" s="42" t="str">
        <f aca="false">INDEX(TaskStandardTable[L标准],MATCH($AM36,TaskStandardTable[工作类型ID],0))</f>
        <v>5～8 个紧密相关对象、81～160 个字段或 &gt;1000 万且 ≤1 亿条；涉及双写、多阶段非一对一转换，或零停机、量化服务目标、非标准恢复或回滚</v>
      </c>
      <c r="BA36" s="42" t="str">
        <f aca="false">INDEX(TaskStandardTable[X/拆分条件],MATCH($AM36,TaskStandardTable[工作类型ID],0))</f>
        <v>对象 &gt;8、字段 &gt;160、数据量 &gt;1 亿条，包含多个独立数据域/源目标组合、持续同步，或质量基线和切换策略未明确</v>
      </c>
      <c r="BB36" s="42" t="str">
        <f aca="false">INDEX(TaskStandardTable[模式适用说明],MATCH($AM36,TaskStandardTable[工作类型ID],0))</f>
        <v>新建/调整均必须引用数据起点；调整只看既有迁移资产的变化和重演范围</v>
      </c>
    </row>
    <row r="37" customFormat="false" ht="66" hidden="false" customHeight="true" outlineLevel="0" collapsed="false">
      <c r="A37" s="25" t="n">
        <v>33</v>
      </c>
      <c r="B37" s="26" t="s">
        <v>739</v>
      </c>
      <c r="C37" s="25" t="s">
        <v>852</v>
      </c>
      <c r="D37" s="26" t="s">
        <v>149</v>
      </c>
      <c r="E37" s="26" t="s">
        <v>853</v>
      </c>
      <c r="F37" s="26" t="s">
        <v>854</v>
      </c>
      <c r="G37" s="26" t="s">
        <v>855</v>
      </c>
      <c r="H37" s="26" t="s">
        <v>856</v>
      </c>
      <c r="I37" s="26" t="s">
        <v>857</v>
      </c>
      <c r="J37" s="27" t="b">
        <f aca="false">TRUE()</f>
        <v>1</v>
      </c>
      <c r="K37" s="28" t="n">
        <v>2</v>
      </c>
      <c r="L37" s="26" t="s">
        <v>858</v>
      </c>
      <c r="M37" s="27" t="b">
        <f aca="false">TRUE()</f>
        <v>1</v>
      </c>
      <c r="N37" s="28" t="n">
        <v>1.5</v>
      </c>
      <c r="O37" s="29" t="s">
        <v>859</v>
      </c>
      <c r="P37" s="30" t="b">
        <f aca="false">FALSE()</f>
        <v>0</v>
      </c>
      <c r="Q37" s="31"/>
      <c r="R37" s="29"/>
      <c r="S37" s="29" t="s">
        <v>860</v>
      </c>
      <c r="T37" s="29" t="s">
        <v>861</v>
      </c>
      <c r="U37" s="29" t="s">
        <v>862</v>
      </c>
      <c r="V37" s="29" t="s">
        <v>863</v>
      </c>
      <c r="W37" s="29" t="s">
        <v>864</v>
      </c>
      <c r="X37" s="29" t="s">
        <v>865</v>
      </c>
      <c r="Y37" s="29"/>
      <c r="Z37" s="29" t="s">
        <v>334</v>
      </c>
      <c r="AA37" s="29" t="s">
        <v>374</v>
      </c>
      <c r="AB37" s="32" t="s">
        <v>336</v>
      </c>
      <c r="AC37" s="32" t="s">
        <v>337</v>
      </c>
      <c r="AD37" s="32" t="s">
        <v>338</v>
      </c>
      <c r="AE37" s="29" t="s">
        <v>339</v>
      </c>
      <c r="AM37" s="34" t="s">
        <v>852</v>
      </c>
      <c r="AN37" s="34" t="str">
        <f aca="false">INDEX(TaskStandardTable[分类],MATCH($AM37,TaskStandardTable[工作类型ID],0))</f>
        <v>数据交付</v>
      </c>
      <c r="AO37" s="35" t="str">
        <f aca="false">INDEX(TaskStandardTable[工作类型名称],MATCH($AM37,TaskStandardTable[工作类型ID],0))</f>
        <v>业务数据对账</v>
      </c>
      <c r="AP37" s="34" t="str">
        <f aca="false">INDEX(TaskStandardTable[计量单位],MATCH($AM37,TaskStandardTable[工作类型ID],0))</f>
        <v>每对账场景</v>
      </c>
      <c r="AQ37" s="36" t="n">
        <f aca="false">IF(INDEX(TaskStandardTable[新建适用],MATCH($AM37,TaskStandardTable[工作类型ID],0)),INDEX(TaskStandardTable[新建M档人天],MATCH($AM37,TaskStandardTable[工作类型ID],0)),"-")</f>
        <v>2</v>
      </c>
      <c r="AR37" s="36" t="n">
        <f aca="false">IF(INDEX(TaskStandardTable[调整适用],MATCH($AM37,TaskStandardTable[工作类型ID],0)),INDEX(TaskStandardTable[调整M档人天],MATCH($AM37,TaskStandardTable[工作类型ID],0)),"-")</f>
        <v>1.5</v>
      </c>
      <c r="AS37" s="36" t="str">
        <f aca="false">IF(INDEX(TaskStandardTable[接入复用适用],MATCH($AM37,TaskStandardTable[工作类型ID],0)),INDEX(TaskStandardTable[接入复用M档人天],MATCH($AM37,TaskStandardTable[工作类型ID],0)),"-")</f>
        <v>-</v>
      </c>
      <c r="AT37" s="34" t="str">
        <f aca="false">INDEX(TaskStandardTable[标准交付物],MATCH($AM37,TaskStandardTable[工作类型ID],0))</f>
        <v>对账结果、差异明细及处理结论</v>
      </c>
      <c r="AU37" s="34" t="str">
        <f aca="false">IF(INDEX(TaskStandardTable[新建适用],MATCH($AM37,TaskStandardTable[工作类型ID],0)),"新建："&amp;INDEX(TaskStandardTable[新建完成标准],MATCH($AM37,TaskStandardTable[工作类型ID],0)),"")&amp;IF(INDEX(TaskStandardTable[调整适用],MATCH($AM37,TaskStandardTable[工作类型ID],0)),IF(OR(INDEX(TaskStandardTable[新建适用],MATCH($AM37,TaskStandardTable[工作类型ID],0))),CHAR(10),"")&amp;"调整："&amp;INDEX(TaskStandardTable[调整完成标准],MATCH($AM37,TaskStandardTable[工作类型ID],0)),"")&amp;IF(INDEX(TaskStandardTable[接入复用适用],MATCH($AM37,TaskStandardTable[工作类型ID],0)),IF(OR(INDEX(TaskStandardTable[新建适用],MATCH($AM37,TaskStandardTable[工作类型ID],0)),INDEX(TaskStandardTable[调整适用],MATCH($AM37,TaskStandardTable[工作类型ID],0))),CHAR(10),"")&amp;"接入复用："&amp;INDEX(TaskStandardTable[接入复用完成标准],MATCH($AM37,TaskStandardTable[工作类型ID],0)),"")</f>
        <v>新建：形成“对账结果、差异明细及处理结论”并通过约定验收。
调整：完成“对账结果、差异明细及处理结论”的目标变更和影响核验，并按交付对象性质通过评审、复核、演练或回归验证。</v>
      </c>
      <c r="AV37" s="34" t="str">
        <f aca="false">INDEX(TaskStandardTable[说明],MATCH($AM37,TaskStandardTable[工作类型ID],0))</f>
        <v>每套独立规则计一项。</v>
      </c>
      <c r="AW37" s="34" t="str">
        <f aca="false">INDEX(TaskStandardTable[主要计量维度],MATCH($AM37,TaskStandardTable[工作类型ID],0))</f>
        <v>对账对象、规则、数据量、差异处置</v>
      </c>
      <c r="AX37" s="34" t="str">
        <f aca="false">INDEX(TaskStandardTable[S标准],MATCH($AM37,TaskStandardTable[工作类型ID],0))</f>
        <v>1 对对象；≤5 条规则；≤10 万条；差异人工查看</v>
      </c>
      <c r="AY37" s="34" t="str">
        <f aca="false">INDEX(TaskStandardTable[M标准],MATCH($AM37,TaskStandardTable[工作类型ID],0))</f>
        <v>2～3 对相关对象；6～15 条规则；&gt;10 万且 ≤1000 万条；含自动分类和重跑</v>
      </c>
      <c r="AZ37" s="34" t="str">
        <f aca="false">INDEX(TaskStandardTable[L标准],MATCH($AM37,TaskStandardTable[工作类型ID],0))</f>
        <v>4～6 对紧密相关对象、16～30 条规则或 &gt;1000 万且 ≤1 亿条；涉及异步快照对齐、字段容差模型、差异自动闭环，或受监管证据</v>
      </c>
      <c r="BA37" s="34" t="str">
        <f aca="false">INDEX(TaskStandardTable[X/拆分条件],MATCH($AM37,TaskStandardTable[工作类型ID],0))</f>
        <v>对象对 &gt;6、规则 &gt;30、数据量 &gt;1 亿条，包含多套独立对账口径/场景，或权威来源、时点和差异责任未明确</v>
      </c>
      <c r="BB37" s="34" t="str">
        <f aca="false">INDEX(TaskStandardTable[模式适用说明],MATCH($AM37,TaskStandardTable[工作类型ID],0))</f>
        <v>新建看完整对账场景；调整只看变化规则、对象、差异处置和必要回归；差异自动闭环 只有不形成独立修复对象时属于本行</v>
      </c>
    </row>
    <row r="38" customFormat="false" ht="66" hidden="false" customHeight="true" outlineLevel="0" collapsed="false">
      <c r="A38" s="38" t="n">
        <v>34</v>
      </c>
      <c r="B38" s="39" t="s">
        <v>739</v>
      </c>
      <c r="C38" s="38" t="s">
        <v>866</v>
      </c>
      <c r="D38" s="39" t="s">
        <v>867</v>
      </c>
      <c r="E38" s="39" t="s">
        <v>868</v>
      </c>
      <c r="F38" s="39" t="s">
        <v>869</v>
      </c>
      <c r="G38" s="39" t="s">
        <v>870</v>
      </c>
      <c r="H38" s="39" t="s">
        <v>871</v>
      </c>
      <c r="I38" s="39" t="s">
        <v>872</v>
      </c>
      <c r="J38" s="40" t="b">
        <f aca="false">TRUE()</f>
        <v>1</v>
      </c>
      <c r="K38" s="41" t="n">
        <v>1.5</v>
      </c>
      <c r="L38" s="39" t="s">
        <v>873</v>
      </c>
      <c r="M38" s="40" t="b">
        <f aca="false">TRUE()</f>
        <v>1</v>
      </c>
      <c r="N38" s="41" t="n">
        <v>1</v>
      </c>
      <c r="O38" s="39" t="s">
        <v>874</v>
      </c>
      <c r="P38" s="40" t="b">
        <f aca="false">FALSE()</f>
        <v>0</v>
      </c>
      <c r="Q38" s="41"/>
      <c r="R38" s="39"/>
      <c r="S38" s="39" t="s">
        <v>875</v>
      </c>
      <c r="T38" s="39" t="s">
        <v>876</v>
      </c>
      <c r="U38" s="39" t="s">
        <v>877</v>
      </c>
      <c r="V38" s="39" t="s">
        <v>878</v>
      </c>
      <c r="W38" s="39" t="s">
        <v>879</v>
      </c>
      <c r="X38" s="39" t="s">
        <v>880</v>
      </c>
      <c r="Y38" s="39"/>
      <c r="Z38" s="39" t="s">
        <v>334</v>
      </c>
      <c r="AA38" s="39" t="s">
        <v>881</v>
      </c>
      <c r="AB38" s="38" t="s">
        <v>336</v>
      </c>
      <c r="AC38" s="38" t="s">
        <v>337</v>
      </c>
      <c r="AD38" s="38" t="s">
        <v>338</v>
      </c>
      <c r="AE38" s="39" t="s">
        <v>339</v>
      </c>
      <c r="AM38" s="42" t="s">
        <v>866</v>
      </c>
      <c r="AN38" s="42" t="str">
        <f aca="false">INDEX(TaskStandardTable[分类],MATCH($AM38,TaskStandardTable[工作类型ID],0))</f>
        <v>数据交付</v>
      </c>
      <c r="AO38" s="43" t="str">
        <f aca="false">INDEX(TaskStandardTable[工作类型名称],MATCH($AM38,TaskStandardTable[工作类型ID],0))</f>
        <v>数据修复工具</v>
      </c>
      <c r="AP38" s="42" t="str">
        <f aca="false">INDEX(TaskStandardTable[计量单位],MATCH($AM38,TaskStandardTable[工作类型ID],0))</f>
        <v>每修复场景</v>
      </c>
      <c r="AQ38" s="44" t="n">
        <f aca="false">IF(INDEX(TaskStandardTable[新建适用],MATCH($AM38,TaskStandardTable[工作类型ID],0)),INDEX(TaskStandardTable[新建M档人天],MATCH($AM38,TaskStandardTable[工作类型ID],0)),"-")</f>
        <v>1.5</v>
      </c>
      <c r="AR38" s="44" t="n">
        <f aca="false">IF(INDEX(TaskStandardTable[调整适用],MATCH($AM38,TaskStandardTable[工作类型ID],0)),INDEX(TaskStandardTable[调整M档人天],MATCH($AM38,TaskStandardTable[工作类型ID],0)),"-")</f>
        <v>1</v>
      </c>
      <c r="AS38" s="44" t="str">
        <f aca="false">IF(INDEX(TaskStandardTable[接入复用适用],MATCH($AM38,TaskStandardTable[工作类型ID],0)),INDEX(TaskStandardTable[接入复用M档人天],MATCH($AM38,TaskStandardTable[工作类型ID],0)),"-")</f>
        <v>-</v>
      </c>
      <c r="AT38" s="42" t="str">
        <f aca="false">INDEX(TaskStandardTable[标准交付物],MATCH($AM38,TaskStandardTable[工作类型ID],0))</f>
        <v>可控、可验证的数据修复工具及结果</v>
      </c>
      <c r="AU38" s="42" t="str">
        <f aca="false">IF(INDEX(TaskStandardTable[新建适用],MATCH($AM38,TaskStandardTable[工作类型ID],0)),"新建："&amp;INDEX(TaskStandardTable[新建完成标准],MATCH($AM38,TaskStandardTable[工作类型ID],0)),"")&amp;IF(INDEX(TaskStandardTable[调整适用],MATCH($AM38,TaskStandardTable[工作类型ID],0)),IF(OR(INDEX(TaskStandardTable[新建适用],MATCH($AM38,TaskStandardTable[工作类型ID],0))),CHAR(10),"")&amp;"调整："&amp;INDEX(TaskStandardTable[调整完成标准],MATCH($AM38,TaskStandardTable[工作类型ID],0)),"")&amp;IF(INDEX(TaskStandardTable[接入复用适用],MATCH($AM38,TaskStandardTable[工作类型ID],0)),IF(OR(INDEX(TaskStandardTable[新建适用],MATCH($AM38,TaskStandardTable[工作类型ID],0)),INDEX(TaskStandardTable[调整适用],MATCH($AM38,TaskStandardTable[工作类型ID],0))),CHAR(10),"")&amp;"接入复用："&amp;INDEX(TaskStandardTable[接入复用完成标准],MATCH($AM38,TaskStandardTable[工作类型ID],0)),"")</f>
        <v>新建：形成“可控、可验证的数据修复工具及结果”并通过约定验收。
调整：完成“可控、可验证的数据修复工具及结果”的目标变更和影响核验，并按交付对象性质通过评审、复核、演练或回归验证。</v>
      </c>
      <c r="AV38" s="42" t="str">
        <f aca="false">INDEX(TaskStandardTable[说明],MATCH($AM38,TaskStandardTable[工作类型ID],0))</f>
        <v>一次性普通 SQL 或手工修复不计。</v>
      </c>
      <c r="AW38" s="42" t="str">
        <f aca="false">INDEX(TaskStandardTable[主要计量维度],MATCH($AM38,TaskStandardTable[工作类型ID],0))</f>
        <v>修复对象、规则、数据量、安全护栏</v>
      </c>
      <c r="AX38" s="42" t="str">
        <f aca="false">INDEX(TaskStandardTable[S标准],MATCH($AM38,TaskStandardTable[工作类型ID],0))</f>
        <v>1 个对象；≤3 条修复规则；≤1 万条；有预览和回滚</v>
      </c>
      <c r="AY38" s="42" t="str">
        <f aca="false">INDEX(TaskStandardTable[M标准],MATCH($AM38,TaskStandardTable[工作类型ID],0))</f>
        <v>2～3 个相关对象；4～10 条规则；&gt;1 万且 ≤100 万条；含幂等、审批和结果核对</v>
      </c>
      <c r="AZ38" s="42" t="str">
        <f aca="false">INDEX(TaskStandardTable[L标准],MATCH($AM38,TaskStandardTable[工作类型ID],0))</f>
        <v>4～6 个紧密相关对象、11～20 条规则或 &gt;100 万且 ≤1000 万条；涉及在线修复、依赖拓扑顺序修复、分批回滚，或零停机、非标准恢复或回滚、高敏感数据或权限控制</v>
      </c>
      <c r="BA38" s="42" t="str">
        <f aca="false">INDEX(TaskStandardTable[X/拆分条件],MATCH($AM38,TaskStandardTable[工作类型ID],0))</f>
        <v>对象 &gt;6、规则 &gt;20、数据量 &gt;1000 万条，包含多个独立修复目标/根因，或选择条件、备份和验收结果未明确</v>
      </c>
      <c r="BB38" s="42" t="str">
        <f aca="false">INDEX(TaskStandardTable[模式适用说明],MATCH($AM38,TaskStandardTable[工作类型ID],0))</f>
        <v>新建看完整工具和结果；调整只看既有工具变化、受影响数据和再验证</v>
      </c>
    </row>
    <row r="39" customFormat="false" ht="66" hidden="false" customHeight="true" outlineLevel="0" collapsed="false">
      <c r="A39" s="25" t="n">
        <v>35</v>
      </c>
      <c r="B39" s="26" t="s">
        <v>739</v>
      </c>
      <c r="C39" s="25" t="s">
        <v>882</v>
      </c>
      <c r="D39" s="26" t="s">
        <v>883</v>
      </c>
      <c r="E39" s="26" t="s">
        <v>884</v>
      </c>
      <c r="F39" s="26" t="s">
        <v>885</v>
      </c>
      <c r="G39" s="26" t="s">
        <v>886</v>
      </c>
      <c r="H39" s="26" t="s">
        <v>887</v>
      </c>
      <c r="I39" s="26" t="s">
        <v>888</v>
      </c>
      <c r="J39" s="27" t="b">
        <f aca="false">TRUE()</f>
        <v>1</v>
      </c>
      <c r="K39" s="28" t="n">
        <v>2</v>
      </c>
      <c r="L39" s="26" t="s">
        <v>889</v>
      </c>
      <c r="M39" s="27" t="b">
        <f aca="false">TRUE()</f>
        <v>1</v>
      </c>
      <c r="N39" s="28" t="n">
        <v>1.5</v>
      </c>
      <c r="O39" s="29" t="s">
        <v>890</v>
      </c>
      <c r="P39" s="30" t="b">
        <f aca="false">FALSE()</f>
        <v>0</v>
      </c>
      <c r="Q39" s="31"/>
      <c r="R39" s="29"/>
      <c r="S39" s="29" t="s">
        <v>891</v>
      </c>
      <c r="T39" s="29" t="s">
        <v>892</v>
      </c>
      <c r="U39" s="29" t="s">
        <v>893</v>
      </c>
      <c r="V39" s="29" t="s">
        <v>894</v>
      </c>
      <c r="W39" s="29" t="s">
        <v>895</v>
      </c>
      <c r="X39" s="29" t="s">
        <v>896</v>
      </c>
      <c r="Y39" s="29"/>
      <c r="Z39" s="29" t="s">
        <v>334</v>
      </c>
      <c r="AA39" s="29" t="s">
        <v>374</v>
      </c>
      <c r="AB39" s="32" t="s">
        <v>336</v>
      </c>
      <c r="AC39" s="32" t="s">
        <v>337</v>
      </c>
      <c r="AD39" s="32" t="s">
        <v>338</v>
      </c>
      <c r="AE39" s="29" t="s">
        <v>339</v>
      </c>
      <c r="AM39" s="34" t="s">
        <v>882</v>
      </c>
      <c r="AN39" s="34" t="str">
        <f aca="false">INDEX(TaskStandardTable[分类],MATCH($AM39,TaskStandardTable[工作类型ID],0))</f>
        <v>数据交付</v>
      </c>
      <c r="AO39" s="35" t="str">
        <f aca="false">INDEX(TaskStandardTable[工作类型名称],MATCH($AM39,TaskStandardTable[工作类型ID],0))</f>
        <v>业务报表</v>
      </c>
      <c r="AP39" s="34" t="str">
        <f aca="false">INDEX(TaskStandardTable[计量单位],MATCH($AM39,TaskStandardTable[工作类型ID],0))</f>
        <v>每报表</v>
      </c>
      <c r="AQ39" s="36" t="n">
        <f aca="false">IF(INDEX(TaskStandardTable[新建适用],MATCH($AM39,TaskStandardTable[工作类型ID],0)),INDEX(TaskStandardTable[新建M档人天],MATCH($AM39,TaskStandardTable[工作类型ID],0)),"-")</f>
        <v>2</v>
      </c>
      <c r="AR39" s="36" t="n">
        <f aca="false">IF(INDEX(TaskStandardTable[调整适用],MATCH($AM39,TaskStandardTable[工作类型ID],0)),INDEX(TaskStandardTable[调整M档人天],MATCH($AM39,TaskStandardTable[工作类型ID],0)),"-")</f>
        <v>1.5</v>
      </c>
      <c r="AS39" s="36" t="str">
        <f aca="false">IF(INDEX(TaskStandardTable[接入复用适用],MATCH($AM39,TaskStandardTable[工作类型ID],0)),INDEX(TaskStandardTable[接入复用M档人天],MATCH($AM39,TaskStandardTable[工作类型ID],0)),"-")</f>
        <v>-</v>
      </c>
      <c r="AT39" s="34" t="str">
        <f aca="false">INDEX(TaskStandardTable[标准交付物],MATCH($AM39,TaskStandardTable[工作类型ID],0))</f>
        <v>面向人工阅读的正式业务报表</v>
      </c>
      <c r="AU39" s="34" t="str">
        <f aca="false">IF(INDEX(TaskStandardTable[新建适用],MATCH($AM39,TaskStandardTable[工作类型ID],0)),"新建："&amp;INDEX(TaskStandardTable[新建完成标准],MATCH($AM39,TaskStandardTable[工作类型ID],0)),"")&amp;IF(INDEX(TaskStandardTable[调整适用],MATCH($AM39,TaskStandardTable[工作类型ID],0)),IF(OR(INDEX(TaskStandardTable[新建适用],MATCH($AM39,TaskStandardTable[工作类型ID],0))),CHAR(10),"")&amp;"调整："&amp;INDEX(TaskStandardTable[调整完成标准],MATCH($AM39,TaskStandardTable[工作类型ID],0)),"")&amp;IF(INDEX(TaskStandardTable[接入复用适用],MATCH($AM39,TaskStandardTable[工作类型ID],0)),IF(OR(INDEX(TaskStandardTable[新建适用],MATCH($AM39,TaskStandardTable[工作类型ID],0)),INDEX(TaskStandardTable[调整适用],MATCH($AM39,TaskStandardTable[工作类型ID],0))),CHAR(10),"")&amp;"接入复用："&amp;INDEX(TaskStandardTable[接入复用完成标准],MATCH($AM39,TaskStandardTable[工作类型ID],0)),"")</f>
        <v>新建：形成“面向人工阅读的正式业务报表”并通过约定验收。
调整：完成“面向人工阅读的正式业务报表”的目标变更和影响核验，并按交付对象性质通过评审、复核、演练或回归验证。</v>
      </c>
      <c r="AV39" s="34" t="str">
        <f aca="false">INDEX(TaskStandardTable[说明],MATCH($AM39,TaskStandardTable[工作类型ID],0))</f>
        <v>复杂聚合通过复杂度体现。</v>
      </c>
      <c r="AW39" s="34" t="str">
        <f aca="false">INDEX(TaskStandardTable[主要计量维度],MATCH($AM39,TaskStandardTable[工作类型ID],0))</f>
        <v>数据源、字段/指标、计算规则、交互/版式</v>
      </c>
      <c r="AX39" s="34" t="str">
        <f aca="false">INDEX(TaskStandardTable[S标准],MATCH($AM39,TaskStandardTable[工作类型ID],0))</f>
        <v>1 个数据源；≤10 个字段/指标；≤3 条计算；固定版式</v>
      </c>
      <c r="AY39" s="34" t="str">
        <f aca="false">INDEX(TaskStandardTable[M标准],MATCH($AM39,TaskStandardTable[工作类型ID],0))</f>
        <v>2～3 个相关数据源；11～30 个字段/指标；4～10 条计算；含筛选、分组或导出</v>
      </c>
      <c r="AZ39" s="34" t="str">
        <f aca="false">INDEX(TaskStandardTable[L标准],MATCH($AM39,TaskStandardTable[工作类型ID],0))</f>
        <v>4～6 个紧密相关数据源、31～60 个字段/指标或 11～20 条计算；涉及多层分组/交叉汇总、跨页汇总/受控分页、签署分发归档、监管固定格式，或受监管证据</v>
      </c>
      <c r="BA39" s="34" t="str">
        <f aca="false">INDEX(TaskStandardTable[X/拆分条件],MATCH($AM39,TaskStandardTable[工作类型ID],0))</f>
        <v>数据源 &gt;6、字段/指标 &gt;60、计算 &gt;20，包含多张可独立验收的报表/独立口径，或业务口径和签署人未明确</v>
      </c>
      <c r="BB39" s="34" t="str">
        <f aca="false">INDEX(TaskStandardTable[模式适用说明],MATCH($AM39,TaskStandardTable[工作类型ID],0))</f>
        <v>新建看完整报表；调整只看变化口径、字段、版式和必要数据回归</v>
      </c>
    </row>
    <row r="40" customFormat="false" ht="66" hidden="false" customHeight="true" outlineLevel="0" collapsed="false">
      <c r="A40" s="38" t="n">
        <v>36</v>
      </c>
      <c r="B40" s="39" t="s">
        <v>739</v>
      </c>
      <c r="C40" s="38" t="s">
        <v>897</v>
      </c>
      <c r="D40" s="39" t="s">
        <v>898</v>
      </c>
      <c r="E40" s="39" t="s">
        <v>899</v>
      </c>
      <c r="F40" s="39" t="s">
        <v>900</v>
      </c>
      <c r="G40" s="39" t="s">
        <v>901</v>
      </c>
      <c r="H40" s="39" t="s">
        <v>902</v>
      </c>
      <c r="I40" s="39" t="s">
        <v>903</v>
      </c>
      <c r="J40" s="40" t="b">
        <f aca="false">TRUE()</f>
        <v>1</v>
      </c>
      <c r="K40" s="41" t="n">
        <v>2</v>
      </c>
      <c r="L40" s="39" t="s">
        <v>904</v>
      </c>
      <c r="M40" s="40" t="b">
        <f aca="false">TRUE()</f>
        <v>1</v>
      </c>
      <c r="N40" s="41" t="n">
        <v>1.5</v>
      </c>
      <c r="O40" s="39" t="s">
        <v>905</v>
      </c>
      <c r="P40" s="40" t="b">
        <f aca="false">FALSE()</f>
        <v>0</v>
      </c>
      <c r="Q40" s="41"/>
      <c r="R40" s="39"/>
      <c r="S40" s="39" t="s">
        <v>906</v>
      </c>
      <c r="T40" s="39" t="s">
        <v>907</v>
      </c>
      <c r="U40" s="39" t="s">
        <v>908</v>
      </c>
      <c r="V40" s="39" t="s">
        <v>909</v>
      </c>
      <c r="W40" s="39" t="s">
        <v>910</v>
      </c>
      <c r="X40" s="39" t="s">
        <v>911</v>
      </c>
      <c r="Y40" s="39"/>
      <c r="Z40" s="39" t="s">
        <v>334</v>
      </c>
      <c r="AA40" s="39" t="s">
        <v>374</v>
      </c>
      <c r="AB40" s="38" t="s">
        <v>336</v>
      </c>
      <c r="AC40" s="38" t="s">
        <v>337</v>
      </c>
      <c r="AD40" s="38" t="s">
        <v>338</v>
      </c>
      <c r="AE40" s="39" t="s">
        <v>339</v>
      </c>
      <c r="AM40" s="42" t="s">
        <v>897</v>
      </c>
      <c r="AN40" s="42" t="str">
        <f aca="false">INDEX(TaskStandardTable[分类],MATCH($AM40,TaskStandardTable[工作类型ID],0))</f>
        <v>数据交付</v>
      </c>
      <c r="AO40" s="43" t="str">
        <f aca="false">INDEX(TaskStandardTable[工作类型名称],MATCH($AM40,TaskStandardTable[工作类型ID],0))</f>
        <v>业务文档与模板生成</v>
      </c>
      <c r="AP40" s="42" t="str">
        <f aca="false">INDEX(TaskStandardTable[计量单位],MATCH($AM40,TaskStandardTable[工作类型ID],0))</f>
        <v>每模板</v>
      </c>
      <c r="AQ40" s="44" t="n">
        <f aca="false">IF(INDEX(TaskStandardTable[新建适用],MATCH($AM40,TaskStandardTable[工作类型ID],0)),INDEX(TaskStandardTable[新建M档人天],MATCH($AM40,TaskStandardTable[工作类型ID],0)),"-")</f>
        <v>2</v>
      </c>
      <c r="AR40" s="44" t="n">
        <f aca="false">IF(INDEX(TaskStandardTable[调整适用],MATCH($AM40,TaskStandardTable[工作类型ID],0)),INDEX(TaskStandardTable[调整M档人天],MATCH($AM40,TaskStandardTable[工作类型ID],0)),"-")</f>
        <v>1.5</v>
      </c>
      <c r="AS40" s="44" t="str">
        <f aca="false">IF(INDEX(TaskStandardTable[接入复用适用],MATCH($AM40,TaskStandardTable[工作类型ID],0)),INDEX(TaskStandardTable[接入复用M档人天],MATCH($AM40,TaskStandardTable[工作类型ID],0)),"-")</f>
        <v>-</v>
      </c>
      <c r="AT40" s="42" t="str">
        <f aca="false">INDEX(TaskStandardTable[标准交付物],MATCH($AM40,TaskStandardTable[工作类型ID],0))</f>
        <v>满足内容和版式要求的业务文档</v>
      </c>
      <c r="AU40" s="42" t="str">
        <f aca="false">IF(INDEX(TaskStandardTable[新建适用],MATCH($AM40,TaskStandardTable[工作类型ID],0)),"新建："&amp;INDEX(TaskStandardTable[新建完成标准],MATCH($AM40,TaskStandardTable[工作类型ID],0)),"")&amp;IF(INDEX(TaskStandardTable[调整适用],MATCH($AM40,TaskStandardTable[工作类型ID],0)),IF(OR(INDEX(TaskStandardTable[新建适用],MATCH($AM40,TaskStandardTable[工作类型ID],0))),CHAR(10),"")&amp;"调整："&amp;INDEX(TaskStandardTable[调整完成标准],MATCH($AM40,TaskStandardTable[工作类型ID],0)),"")&amp;IF(INDEX(TaskStandardTable[接入复用适用],MATCH($AM40,TaskStandardTable[工作类型ID],0)),IF(OR(INDEX(TaskStandardTable[新建适用],MATCH($AM40,TaskStandardTable[工作类型ID],0)),INDEX(TaskStandardTable[调整适用],MATCH($AM40,TaskStandardTable[工作类型ID],0))),CHAR(10),"")&amp;"接入复用："&amp;INDEX(TaskStandardTable[接入复用完成标准],MATCH($AM40,TaskStandardTable[工作类型ID],0)),"")</f>
        <v>新建：形成“满足内容和版式要求的业务文档”并通过约定验收。
调整：完成“满足内容和版式要求的业务文档”的目标变更和影响核验，并按交付对象性质通过评审、复核、演练或回归验证。</v>
      </c>
      <c r="AV40" s="42" t="str">
        <f aca="false">INDEX(TaskStandardTable[说明],MATCH($AM40,TaskStandardTable[工作类型ID],0))</f>
        <v>每个独立业务用途和版式计一项。</v>
      </c>
      <c r="AW40" s="42" t="str">
        <f aca="false">INDEX(TaskStandardTable[主要计量维度],MATCH($AM40,TaskStandardTable[工作类型ID],0))</f>
        <v>模板、动态区块、条件规则、输出格式</v>
      </c>
      <c r="AX40" s="42" t="str">
        <f aca="false">INDEX(TaskStandardTable[S标准],MATCH($AM40,TaskStandardTable[工作类型ID],0))</f>
        <v>1 个模板；≤10 个动态字段；≤2 个条件区块；≤2 条条件规则；1 种输出格式</v>
      </c>
      <c r="AY40" s="42" t="str">
        <f aca="false">INDEX(TaskStandardTable[M标准],MATCH($AM40,TaskStandardTable[工作类型ID],0))</f>
        <v>1 个模板含 11～40 个字段；3～8 个区块；3～8 条条件；2 种相关格式</v>
      </c>
      <c r="AZ40" s="42" t="str">
        <f aca="false">INDEX(TaskStandardTable[L标准],MATCH($AM40,TaskStandardTable[工作类型ID],0))</f>
        <v>1 个模板含 41～80 个字段、9～16 个区块、9～16 条条件或 3～4 种输出格式；涉及条件分页/重复页块、数字签章、Locale 版式分支，或受监管证据</v>
      </c>
      <c r="BA40" s="42" t="str">
        <f aca="false">INDEX(TaskStandardTable[X/拆分条件],MATCH($AM40,TaskStandardTable[工作类型ID],0))</f>
        <v>字段 &gt;80、区块 &gt;16、条件 &gt;16、格式 &gt;4，包含多个可独立发布的模板，或版式、数据来源和法律文本责任未明确</v>
      </c>
      <c r="BB40" s="42" t="str">
        <f aca="false">INDEX(TaskStandardTable[模式适用说明],MATCH($AM40,TaskStandardTable[工作类型ID],0))</f>
        <v>新建看完整模板结果；调整只看变化字段、区块、规则、版式和回归</v>
      </c>
    </row>
    <row r="41" customFormat="false" ht="68" hidden="false" customHeight="true" outlineLevel="0" collapsed="false">
      <c r="A41" s="25" t="n">
        <v>37</v>
      </c>
      <c r="B41" s="26" t="s">
        <v>739</v>
      </c>
      <c r="C41" s="25" t="s">
        <v>912</v>
      </c>
      <c r="D41" s="26" t="s">
        <v>913</v>
      </c>
      <c r="E41" s="26" t="s">
        <v>914</v>
      </c>
      <c r="F41" s="26" t="s">
        <v>915</v>
      </c>
      <c r="G41" s="26" t="s">
        <v>916</v>
      </c>
      <c r="H41" s="26" t="s">
        <v>917</v>
      </c>
      <c r="I41" s="26" t="s">
        <v>918</v>
      </c>
      <c r="J41" s="27" t="b">
        <f aca="false">TRUE()</f>
        <v>1</v>
      </c>
      <c r="K41" s="28" t="n">
        <v>2</v>
      </c>
      <c r="L41" s="26" t="s">
        <v>919</v>
      </c>
      <c r="M41" s="27" t="b">
        <f aca="false">TRUE()</f>
        <v>1</v>
      </c>
      <c r="N41" s="28" t="n">
        <v>1.5</v>
      </c>
      <c r="O41" s="29" t="s">
        <v>920</v>
      </c>
      <c r="P41" s="30" t="b">
        <f aca="false">FALSE()</f>
        <v>0</v>
      </c>
      <c r="Q41" s="31"/>
      <c r="R41" s="29"/>
      <c r="S41" s="29" t="s">
        <v>921</v>
      </c>
      <c r="T41" s="29" t="s">
        <v>922</v>
      </c>
      <c r="U41" s="29" t="s">
        <v>923</v>
      </c>
      <c r="V41" s="29" t="s">
        <v>924</v>
      </c>
      <c r="W41" s="29" t="s">
        <v>925</v>
      </c>
      <c r="X41" s="29" t="s">
        <v>926</v>
      </c>
      <c r="Y41" s="29"/>
      <c r="Z41" s="29" t="s">
        <v>334</v>
      </c>
      <c r="AA41" s="29" t="s">
        <v>927</v>
      </c>
      <c r="AB41" s="32" t="s">
        <v>336</v>
      </c>
      <c r="AC41" s="32" t="s">
        <v>337</v>
      </c>
      <c r="AD41" s="32" t="s">
        <v>338</v>
      </c>
      <c r="AE41" s="29" t="s">
        <v>339</v>
      </c>
      <c r="AM41" s="34" t="s">
        <v>912</v>
      </c>
      <c r="AN41" s="34" t="str">
        <f aca="false">INDEX(TaskStandardTable[分类],MATCH($AM41,TaskStandardTable[工作类型ID],0))</f>
        <v>数据交付</v>
      </c>
      <c r="AO41" s="35" t="str">
        <f aca="false">INDEX(TaskStandardTable[工作类型名称],MATCH($AM41,TaskStandardTable[工作类型ID],0))</f>
        <v>业务指标与看板数据集</v>
      </c>
      <c r="AP41" s="34" t="str">
        <f aca="false">INDEX(TaskStandardTable[计量单位],MATCH($AM41,TaskStandardTable[工作类型ID],0))</f>
        <v>每指标组</v>
      </c>
      <c r="AQ41" s="36" t="n">
        <f aca="false">IF(INDEX(TaskStandardTable[新建适用],MATCH($AM41,TaskStandardTable[工作类型ID],0)),INDEX(TaskStandardTable[新建M档人天],MATCH($AM41,TaskStandardTable[工作类型ID],0)),"-")</f>
        <v>2</v>
      </c>
      <c r="AR41" s="36" t="n">
        <f aca="false">IF(INDEX(TaskStandardTable[调整适用],MATCH($AM41,TaskStandardTable[工作类型ID],0)),INDEX(TaskStandardTable[调整M档人天],MATCH($AM41,TaskStandardTable[工作类型ID],0)),"-")</f>
        <v>1.5</v>
      </c>
      <c r="AS41" s="36" t="str">
        <f aca="false">IF(INDEX(TaskStandardTable[接入复用适用],MATCH($AM41,TaskStandardTable[工作类型ID],0)),INDEX(TaskStandardTable[接入复用M档人天],MATCH($AM41,TaskStandardTable[工作类型ID],0)),"-")</f>
        <v>-</v>
      </c>
      <c r="AT41" s="34" t="str">
        <f aca="false">INDEX(TaskStandardTable[标准交付物],MATCH($AM41,TaskStandardTable[工作类型ID],0))</f>
        <v>共同口径、聚合、校验和发布的指标数据集</v>
      </c>
      <c r="AU41" s="34" t="str">
        <f aca="false">IF(INDEX(TaskStandardTable[新建适用],MATCH($AM41,TaskStandardTable[工作类型ID],0)),"新建："&amp;INDEX(TaskStandardTable[新建完成标准],MATCH($AM41,TaskStandardTable[工作类型ID],0)),"")&amp;IF(INDEX(TaskStandardTable[调整适用],MATCH($AM41,TaskStandardTable[工作类型ID],0)),IF(OR(INDEX(TaskStandardTable[新建适用],MATCH($AM41,TaskStandardTable[工作类型ID],0))),CHAR(10),"")&amp;"调整："&amp;INDEX(TaskStandardTable[调整完成标准],MATCH($AM41,TaskStandardTable[工作类型ID],0)),"")&amp;IF(INDEX(TaskStandardTable[接入复用适用],MATCH($AM41,TaskStandardTable[工作类型ID],0)),IF(OR(INDEX(TaskStandardTable[新建适用],MATCH($AM41,TaskStandardTable[工作类型ID],0)),INDEX(TaskStandardTable[调整适用],MATCH($AM41,TaskStandardTable[工作类型ID],0))),CHAR(10),"")&amp;"接入复用："&amp;INDEX(TaskStandardTable[接入复用完成标准],MATCH($AM41,TaskStandardTable[工作类型ID],0)),"")</f>
        <v>新建：形成“共同口径、聚合、校验和发布的指标数据集”并通过约定验收。
调整：完成“共同口径、聚合、校验和发布的指标数据集”的目标变更和影响核验，并按交付对象性质通过评审、复核、演练或回归验证。</v>
      </c>
      <c r="AV41" s="34" t="str">
        <f aca="false">INDEX(TaskStandardTable[说明],MATCH($AM41,TaskStandardTable[工作类型ID],0))</f>
        <v>页面内部查询不单列。</v>
      </c>
      <c r="AW41" s="34" t="str">
        <f aca="false">INDEX(TaskStandardTable[主要计量维度],MATCH($AM41,TaskStandardTable[工作类型ID],0))</f>
        <v>指标、来源、维度、刷新间隔</v>
      </c>
      <c r="AX41" s="34" t="str">
        <f aca="false">INDEX(TaskStandardTable[S标准],MATCH($AM41,TaskStandardTable[工作类型ID],0))</f>
        <v>≤3 个同口径指标；1 个来源；≤2 个维度；刷新间隔 ≥24 小时</v>
      </c>
      <c r="AY41" s="34" t="str">
        <f aca="false">INDEX(TaskStandardTable[M标准],MATCH($AM41,TaskStandardTable[工作类型ID],0))</f>
        <v>4～10 个相关指标；2～3 个来源；3～6 个维度；刷新间隔 ≥1 小时并 &lt;24 小时</v>
      </c>
      <c r="AZ41" s="34" t="str">
        <f aca="false">INDEX(TaskStandardTable[L标准],MATCH($AM41,TaskStandardTable[工作类型ID],0))</f>
        <v>11～20 个紧密相关指标、4～6 个来源或 7～12 个维度；刷新间隔 ≥1 分钟并 &lt;1 小时；涉及归因模型、回溯重算，或受监管证据</v>
      </c>
      <c r="BA41" s="34" t="str">
        <f aca="false">INDEX(TaskStandardTable[X/拆分条件],MATCH($AM41,TaskStandardTable[工作类型ID],0))</f>
        <v>刷新间隔 &lt;1 分钟，指标 &gt;20、来源 &gt;6、维度 &gt;12，包含多组独立指标口径/数据集，或指标所有者、公式和时点未明确</v>
      </c>
      <c r="BB41" s="34" t="str">
        <f aca="false">INDEX(TaskStandardTable[模式适用说明],MATCH($AM41,TaskStandardTable[工作类型ID],0))</f>
        <v>新建看完整指标组；调整只看变化指标、来源、维度、刷新和必要回算</v>
      </c>
    </row>
    <row r="42" customFormat="false" ht="96" hidden="false" customHeight="true" outlineLevel="0" collapsed="false">
      <c r="A42" s="38" t="n">
        <v>38</v>
      </c>
      <c r="B42" s="39" t="s">
        <v>739</v>
      </c>
      <c r="C42" s="38" t="s">
        <v>928</v>
      </c>
      <c r="D42" s="39" t="s">
        <v>929</v>
      </c>
      <c r="E42" s="39" t="s">
        <v>930</v>
      </c>
      <c r="F42" s="39" t="s">
        <v>931</v>
      </c>
      <c r="G42" s="39" t="s">
        <v>932</v>
      </c>
      <c r="H42" s="39" t="s">
        <v>933</v>
      </c>
      <c r="I42" s="39" t="s">
        <v>934</v>
      </c>
      <c r="J42" s="40" t="b">
        <f aca="false">TRUE()</f>
        <v>1</v>
      </c>
      <c r="K42" s="41" t="n">
        <v>2.5</v>
      </c>
      <c r="L42" s="39" t="s">
        <v>935</v>
      </c>
      <c r="M42" s="40" t="b">
        <f aca="false">TRUE()</f>
        <v>1</v>
      </c>
      <c r="N42" s="41" t="n">
        <v>1.5</v>
      </c>
      <c r="O42" s="39" t="s">
        <v>936</v>
      </c>
      <c r="P42" s="40" t="b">
        <f aca="false">TRUE()</f>
        <v>1</v>
      </c>
      <c r="Q42" s="41" t="n">
        <v>1</v>
      </c>
      <c r="R42" s="39" t="s">
        <v>937</v>
      </c>
      <c r="S42" s="39" t="s">
        <v>938</v>
      </c>
      <c r="T42" s="39" t="s">
        <v>939</v>
      </c>
      <c r="U42" s="39" t="s">
        <v>940</v>
      </c>
      <c r="V42" s="39" t="s">
        <v>941</v>
      </c>
      <c r="W42" s="39" t="s">
        <v>942</v>
      </c>
      <c r="X42" s="39" t="s">
        <v>943</v>
      </c>
      <c r="Y42" s="39"/>
      <c r="Z42" s="39" t="s">
        <v>334</v>
      </c>
      <c r="AA42" s="39" t="s">
        <v>944</v>
      </c>
      <c r="AB42" s="38" t="s">
        <v>336</v>
      </c>
      <c r="AC42" s="38" t="s">
        <v>337</v>
      </c>
      <c r="AD42" s="38" t="s">
        <v>338</v>
      </c>
      <c r="AE42" s="39" t="s">
        <v>339</v>
      </c>
      <c r="AM42" s="42" t="s">
        <v>928</v>
      </c>
      <c r="AN42" s="42" t="str">
        <f aca="false">INDEX(TaskStandardTable[分类],MATCH($AM42,TaskStandardTable[工作类型ID],0))</f>
        <v>数据交付</v>
      </c>
      <c r="AO42" s="43" t="str">
        <f aca="false">INDEX(TaskStandardTable[工作类型名称],MATCH($AM42,TaskStandardTable[工作类型ID],0))</f>
        <v>数据目录、元数据与血缘治理</v>
      </c>
      <c r="AP42" s="42" t="str">
        <f aca="false">INDEX(TaskStandardTable[计量单位],MATCH($AM42,TaskStandardTable[工作类型ID],0))</f>
        <v>每个数据域的治理范围</v>
      </c>
      <c r="AQ42" s="44" t="n">
        <f aca="false">IF(INDEX(TaskStandardTable[新建适用],MATCH($AM42,TaskStandardTable[工作类型ID],0)),INDEX(TaskStandardTable[新建M档人天],MATCH($AM42,TaskStandardTable[工作类型ID],0)),"-")</f>
        <v>2.5</v>
      </c>
      <c r="AR42" s="44" t="n">
        <f aca="false">IF(INDEX(TaskStandardTable[调整适用],MATCH($AM42,TaskStandardTable[工作类型ID],0)),INDEX(TaskStandardTable[调整M档人天],MATCH($AM42,TaskStandardTable[工作类型ID],0)),"-")</f>
        <v>1.5</v>
      </c>
      <c r="AS42" s="44" t="n">
        <f aca="false">IF(INDEX(TaskStandardTable[接入复用适用],MATCH($AM42,TaskStandardTable[工作类型ID],0)),INDEX(TaskStandardTable[接入复用M档人天],MATCH($AM42,TaskStandardTable[工作类型ID],0)),"-")</f>
        <v>1</v>
      </c>
      <c r="AT42" s="42" t="str">
        <f aca="false">INDEX(TaskStandardTable[标准交付物],MATCH($AM42,TaskStandardTable[工作类型ID],0))</f>
        <v>可查询、可追踪并有明确责任方的数据目录、业务术语、技术元数据、分级和血缘关系</v>
      </c>
      <c r="AU42" s="42" t="str">
        <f aca="false">IF(INDEX(TaskStandardTable[新建适用],MATCH($AM42,TaskStandardTable[工作类型ID],0)),"新建："&amp;INDEX(TaskStandardTable[新建完成标准],MATCH($AM42,TaskStandardTable[工作类型ID],0)),"")&amp;IF(INDEX(TaskStandardTable[调整适用],MATCH($AM42,TaskStandardTable[工作类型ID],0)),IF(OR(INDEX(TaskStandardTable[新建适用],MATCH($AM42,TaskStandardTable[工作类型ID],0))),CHAR(10),"")&amp;"调整："&amp;INDEX(TaskStandardTable[调整完成标准],MATCH($AM42,TaskStandardTable[工作类型ID],0)),"")&amp;IF(INDEX(TaskStandardTable[接入复用适用],MATCH($AM42,TaskStandardTable[工作类型ID],0)),IF(OR(INDEX(TaskStandardTable[新建适用],MATCH($AM42,TaskStandardTable[工作类型ID],0)),INDEX(TaskStandardTable[调整适用],MATCH($AM42,TaskStandardTable[工作类型ID],0))),CHAR(10),"")&amp;"接入复用："&amp;INDEX(TaskStandardTable[接入复用完成标准],MATCH($AM42,TaskStandardTable[工作类型ID],0)),"")</f>
        <v>新建：形成一个数据域的目录、术语、元数据、分级、责任方和血缘关系并通过验收。
调整：完成既有目录条目、元数据、分级、责任方或血缘关系的变更和核验。
接入复用：既有数据治理平台不变，项目完成数据源注册、元数据映射、分级、责任方绑定、血缘采集和验证。</v>
      </c>
      <c r="AV42" s="42" t="str">
        <f aca="false">INDEX(TaskStandardTable[说明],MATCH($AM42,TaskStandardTable[工作类型ID],0))</f>
        <v>只在这些治理成果可独立发布和验收时单列；数据处理流程内部的临时字段映射或血缘记录包含在所属数据处理 Task 中。</v>
      </c>
      <c r="AW42" s="42" t="str">
        <f aca="false">INDEX(TaskStandardTable[主要计量维度],MATCH($AM42,TaskStandardTable[工作类型ID],0))</f>
        <v>数据资产、术语/字段、来源系统、血缘关系</v>
      </c>
      <c r="AX42" s="42" t="str">
        <f aca="false">INDEX(TaskStandardTable[S标准],MATCH($AM42,TaskStandardTable[工作类型ID],0))</f>
        <v>≤10 个数据资产；≤30 个术语或字段；1 个来源系统；≤10 条血缘关系</v>
      </c>
      <c r="AY42" s="42" t="str">
        <f aca="false">INDEX(TaskStandardTable[M标准],MATCH($AM42,TaskStandardTable[工作类型ID],0))</f>
        <v>11～30 个数据资产，或 31～100 个术语/字段，或 2～3 个来源系统，或 11～30 条血缘关系；含责任方和分级</v>
      </c>
      <c r="AZ42" s="42" t="str">
        <f aca="false">INDEX(TaskStandardTable[L标准],MATCH($AM42,TaskStandardTable[工作类型ID],0))</f>
        <v>31～60 个数据资产、101～200 个术语/字段、4～6 个来源系统或 31～60 条血缘关系；涉及跨系统字段级血缘、受控数据分级</v>
      </c>
      <c r="BA42" s="42" t="str">
        <f aca="false">INDEX(TaskStandardTable[X/拆分条件],MATCH($AM42,TaskStandardTable[工作类型ID],0))</f>
        <v>数据资产 &gt;60、术语/字段 &gt;200、来源系统 &gt;6、血缘关系 &gt;60，包含多个独立数据域，或责任方、分级规则和血缘来源未明确</v>
      </c>
      <c r="BB42" s="42" t="str">
        <f aca="false">INDEX(TaskStandardTable[模式适用说明],MATCH($AM42,TaskStandardTable[工作类型ID],0))</f>
        <v>新建和调整按治理成果实际范围判档；接入复用只看项目侧注册、映射、分级、责任方绑定、血缘采集和验证</v>
      </c>
    </row>
    <row r="43" customFormat="false" ht="82" hidden="false" customHeight="true" outlineLevel="0" collapsed="false">
      <c r="A43" s="32" t="n">
        <v>39</v>
      </c>
      <c r="B43" s="29" t="s">
        <v>945</v>
      </c>
      <c r="C43" s="32" t="s">
        <v>618</v>
      </c>
      <c r="D43" s="29" t="s">
        <v>136</v>
      </c>
      <c r="E43" s="29" t="s">
        <v>946</v>
      </c>
      <c r="F43" s="29" t="s">
        <v>947</v>
      </c>
      <c r="G43" s="29" t="s">
        <v>948</v>
      </c>
      <c r="H43" s="29" t="s">
        <v>949</v>
      </c>
      <c r="I43" s="29" t="s">
        <v>950</v>
      </c>
      <c r="J43" s="30" t="b">
        <f aca="false">TRUE()</f>
        <v>1</v>
      </c>
      <c r="K43" s="31" t="n">
        <v>2</v>
      </c>
      <c r="L43" s="29" t="s">
        <v>951</v>
      </c>
      <c r="M43" s="30" t="b">
        <f aca="false">TRUE()</f>
        <v>1</v>
      </c>
      <c r="N43" s="31" t="n">
        <v>1.5</v>
      </c>
      <c r="O43" s="29" t="s">
        <v>952</v>
      </c>
      <c r="P43" s="30" t="b">
        <f aca="false">TRUE()</f>
        <v>1</v>
      </c>
      <c r="Q43" s="31" t="n">
        <v>1</v>
      </c>
      <c r="R43" s="29" t="s">
        <v>953</v>
      </c>
      <c r="S43" s="29" t="s">
        <v>954</v>
      </c>
      <c r="T43" s="29" t="s">
        <v>955</v>
      </c>
      <c r="U43" s="29" t="s">
        <v>956</v>
      </c>
      <c r="V43" s="29" t="s">
        <v>957</v>
      </c>
      <c r="W43" s="29" t="s">
        <v>958</v>
      </c>
      <c r="X43" s="29" t="s">
        <v>959</v>
      </c>
      <c r="Y43" s="29" t="s">
        <v>603</v>
      </c>
      <c r="Z43" s="29" t="s">
        <v>960</v>
      </c>
      <c r="AA43" s="29" t="s">
        <v>374</v>
      </c>
      <c r="AB43" s="32" t="s">
        <v>336</v>
      </c>
      <c r="AC43" s="32" t="s">
        <v>337</v>
      </c>
      <c r="AD43" s="32" t="s">
        <v>338</v>
      </c>
      <c r="AE43" s="29" t="s">
        <v>339</v>
      </c>
      <c r="AM43" s="34" t="s">
        <v>618</v>
      </c>
      <c r="AN43" s="34" t="str">
        <f aca="false">INDEX(TaskStandardTable[分类],MATCH($AM43,TaskStandardTable[工作类型ID],0))</f>
        <v>身份安全与治理</v>
      </c>
      <c r="AO43" s="35" t="str">
        <f aca="false">INDEX(TaskStandardTable[工作类型名称],MATCH($AM43,TaskStandardTable[工作类型ID],0))</f>
        <v>功能与资源访问控制</v>
      </c>
      <c r="AP43" s="34" t="str">
        <f aca="false">INDEX(TaskStandardTable[计量单位],MATCH($AM43,TaskStandardTable[工作类型ID],0))</f>
        <v>每权限域</v>
      </c>
      <c r="AQ43" s="36" t="n">
        <f aca="false">IF(INDEX(TaskStandardTable[新建适用],MATCH($AM43,TaskStandardTable[工作类型ID],0)),INDEX(TaskStandardTable[新建M档人天],MATCH($AM43,TaskStandardTable[工作类型ID],0)),"-")</f>
        <v>2</v>
      </c>
      <c r="AR43" s="36" t="n">
        <f aca="false">IF(INDEX(TaskStandardTable[调整适用],MATCH($AM43,TaskStandardTable[工作类型ID],0)),INDEX(TaskStandardTable[调整M档人天],MATCH($AM43,TaskStandardTable[工作类型ID],0)),"-")</f>
        <v>1.5</v>
      </c>
      <c r="AS43" s="36" t="n">
        <f aca="false">IF(INDEX(TaskStandardTable[接入复用适用],MATCH($AM43,TaskStandardTable[工作类型ID],0)),INDEX(TaskStandardTable[接入复用M档人天],MATCH($AM43,TaskStandardTable[工作类型ID],0)),"-")</f>
        <v>1</v>
      </c>
      <c r="AT43" s="34" t="str">
        <f aca="false">INDEX(TaskStandardTable[标准交付物],MATCH($AM43,TaskStandardTable[工作类型ID],0))</f>
        <v>角色、操作及资源访问控制结果</v>
      </c>
      <c r="AU43" s="34" t="str">
        <f aca="false">IF(INDEX(TaskStandardTable[新建适用],MATCH($AM43,TaskStandardTable[工作类型ID],0)),"新建："&amp;INDEX(TaskStandardTable[新建完成标准],MATCH($AM43,TaskStandardTable[工作类型ID],0)),"")&amp;IF(INDEX(TaskStandardTable[调整适用],MATCH($AM43,TaskStandardTable[工作类型ID],0)),IF(OR(INDEX(TaskStandardTable[新建适用],MATCH($AM43,TaskStandardTable[工作类型ID],0))),CHAR(10),"")&amp;"调整："&amp;INDEX(TaskStandardTable[调整完成标准],MATCH($AM43,TaskStandardTable[工作类型ID],0)),"")&amp;IF(INDEX(TaskStandardTable[接入复用适用],MATCH($AM43,TaskStandardTable[工作类型ID],0)),IF(OR(INDEX(TaskStandardTable[新建适用],MATCH($AM43,TaskStandardTable[工作类型ID],0)),INDEX(TaskStandardTable[调整适用],MATCH($AM43,TaskStandardTable[工作类型ID],0))),CHAR(10),"")&amp;"接入复用："&amp;INDEX(TaskStandardTable[接入复用完成标准],MATCH($AM43,TaskStandardTable[工作类型ID],0)),"")</f>
        <v>新建：形成“角色、操作及资源访问控制结果”并通过约定验收。
调整：完成“角色、操作及资源访问控制结果”的目标变更和影响核验，并按交付对象性质通过评审、复核、演练或回归验证。
接入复用：既有权限平台不变，项目角色、资源和操作规则配置及验证完成。</v>
      </c>
      <c r="AV43" s="34" t="str">
        <f aca="false">INDEX(TaskStandardTable[说明],MATCH($AM43,TaskStandardTable[工作类型ID],0))</f>
        <v>本类型负责本地角色或主体到操作、资源的允许/拒绝规则；外部 Claim 或属性到本地主体、用户组的映射由 IN-IDENTITY 负责。直接用 Claim 决定权限时，只按最终访问控制结果计量，不在身份集成中重复计算。</v>
      </c>
      <c r="AW43" s="34" t="str">
        <f aca="false">INDEX(TaskStandardTable[主要计量维度],MATCH($AM43,TaskStandardTable[工作类型ID],0))</f>
        <v>角色、资源、操作、策略规则</v>
      </c>
      <c r="AX43" s="34" t="str">
        <f aca="false">INDEX(TaskStandardTable[S标准],MATCH($AM43,TaskStandardTable[工作类型ID],0))</f>
        <v>≤2 个角色；≤3 个资源；≤5 条允许/拒绝规则；标准 RBAC</v>
      </c>
      <c r="AY43" s="34" t="str">
        <f aca="false">INDEX(TaskStandardTable[M标准],MATCH($AM43,TaskStandardTable[工作类型ID],0))</f>
        <v>3～6 个角色；4～10 个资源；6～20 条规则；含角色继承或租户范围</v>
      </c>
      <c r="AZ43" s="34" t="str">
        <f aca="false">INDEX(TaskStandardTable[L标准],MATCH($AM43,TaskStandardTable[工作类型ID],0))</f>
        <v>7～12 个角色、11～20 个资源或 21～40 条规则；涉及属性策略、授权委托、职责分离、跨系统授权一致性、紧急授权，或动态策略、受监管证据</v>
      </c>
      <c r="BA43" s="34" t="str">
        <f aca="false">INDEX(TaskStandardTable[X/拆分条件],MATCH($AM43,TaskStandardTable[工作类型ID],0))</f>
        <v>角色 &gt;12、资源 &gt;20、规则 &gt;40，包含多个独立权限域，或角色、资源、默认拒绝和审批责任未明确</v>
      </c>
      <c r="BB43" s="34" t="str">
        <f aca="false">INDEX(TaskStandardTable[模式适用说明],MATCH($AM43,TaskStandardTable[工作类型ID],0))</f>
        <v>调整只看既有策略变化；复用只看项目角色/资源映射、权限配置和验证</v>
      </c>
    </row>
    <row r="44" customFormat="false" ht="96" hidden="false" customHeight="true" outlineLevel="0" collapsed="false">
      <c r="A44" s="38" t="n">
        <v>40</v>
      </c>
      <c r="B44" s="39" t="s">
        <v>945</v>
      </c>
      <c r="C44" s="38" t="s">
        <v>737</v>
      </c>
      <c r="D44" s="39" t="s">
        <v>961</v>
      </c>
      <c r="E44" s="39" t="s">
        <v>946</v>
      </c>
      <c r="F44" s="39" t="s">
        <v>962</v>
      </c>
      <c r="G44" s="39" t="s">
        <v>963</v>
      </c>
      <c r="H44" s="39" t="s">
        <v>949</v>
      </c>
      <c r="I44" s="39" t="s">
        <v>964</v>
      </c>
      <c r="J44" s="40" t="b">
        <f aca="false">TRUE()</f>
        <v>1</v>
      </c>
      <c r="K44" s="41" t="n">
        <v>2.5</v>
      </c>
      <c r="L44" s="39" t="s">
        <v>965</v>
      </c>
      <c r="M44" s="40" t="b">
        <f aca="false">TRUE()</f>
        <v>1</v>
      </c>
      <c r="N44" s="41" t="n">
        <v>2</v>
      </c>
      <c r="O44" s="39" t="s">
        <v>966</v>
      </c>
      <c r="P44" s="40" t="b">
        <f aca="false">TRUE()</f>
        <v>1</v>
      </c>
      <c r="Q44" s="41" t="n">
        <v>1.5</v>
      </c>
      <c r="R44" s="39" t="s">
        <v>967</v>
      </c>
      <c r="S44" s="39" t="s">
        <v>968</v>
      </c>
      <c r="T44" s="39" t="s">
        <v>969</v>
      </c>
      <c r="U44" s="39" t="s">
        <v>970</v>
      </c>
      <c r="V44" s="39" t="s">
        <v>971</v>
      </c>
      <c r="W44" s="39" t="s">
        <v>972</v>
      </c>
      <c r="X44" s="39" t="s">
        <v>973</v>
      </c>
      <c r="Y44" s="39" t="s">
        <v>974</v>
      </c>
      <c r="Z44" s="39" t="s">
        <v>975</v>
      </c>
      <c r="AA44" s="39" t="s">
        <v>374</v>
      </c>
      <c r="AB44" s="38" t="s">
        <v>336</v>
      </c>
      <c r="AC44" s="38" t="s">
        <v>337</v>
      </c>
      <c r="AD44" s="38" t="s">
        <v>338</v>
      </c>
      <c r="AE44" s="39" t="s">
        <v>339</v>
      </c>
      <c r="AM44" s="42" t="s">
        <v>737</v>
      </c>
      <c r="AN44" s="42" t="str">
        <f aca="false">INDEX(TaskStandardTable[分类],MATCH($AM44,TaskStandardTable[工作类型ID],0))</f>
        <v>身份安全与治理</v>
      </c>
      <c r="AO44" s="43" t="str">
        <f aca="false">INDEX(TaskStandardTable[工作类型名称],MATCH($AM44,TaskStandardTable[工作类型ID],0))</f>
        <v>数据访问权限控制</v>
      </c>
      <c r="AP44" s="42" t="str">
        <f aca="false">INDEX(TaskStandardTable[计量单位],MATCH($AM44,TaskStandardTable[工作类型ID],0))</f>
        <v>每权限域</v>
      </c>
      <c r="AQ44" s="44" t="n">
        <f aca="false">IF(INDEX(TaskStandardTable[新建适用],MATCH($AM44,TaskStandardTable[工作类型ID],0)),INDEX(TaskStandardTable[新建M档人天],MATCH($AM44,TaskStandardTable[工作类型ID],0)),"-")</f>
        <v>2.5</v>
      </c>
      <c r="AR44" s="44" t="n">
        <f aca="false">IF(INDEX(TaskStandardTable[调整适用],MATCH($AM44,TaskStandardTable[工作类型ID],0)),INDEX(TaskStandardTable[调整M档人天],MATCH($AM44,TaskStandardTable[工作类型ID],0)),"-")</f>
        <v>2</v>
      </c>
      <c r="AS44" s="44" t="n">
        <f aca="false">IF(INDEX(TaskStandardTable[接入复用适用],MATCH($AM44,TaskStandardTable[工作类型ID],0)),INDEX(TaskStandardTable[接入复用M档人天],MATCH($AM44,TaskStandardTable[工作类型ID],0)),"-")</f>
        <v>1.5</v>
      </c>
      <c r="AT44" s="42" t="str">
        <f aca="false">INDEX(TaskStandardTable[标准交付物],MATCH($AM44,TaskStandardTable[工作类型ID],0))</f>
        <v>用户、角色或组织的数据范围控制结果</v>
      </c>
      <c r="AU44" s="42" t="str">
        <f aca="false">IF(INDEX(TaskStandardTable[新建适用],MATCH($AM44,TaskStandardTable[工作类型ID],0)),"新建："&amp;INDEX(TaskStandardTable[新建完成标准],MATCH($AM44,TaskStandardTable[工作类型ID],0)),"")&amp;IF(INDEX(TaskStandardTable[调整适用],MATCH($AM44,TaskStandardTable[工作类型ID],0)),IF(OR(INDEX(TaskStandardTable[新建适用],MATCH($AM44,TaskStandardTable[工作类型ID],0))),CHAR(10),"")&amp;"调整："&amp;INDEX(TaskStandardTable[调整完成标准],MATCH($AM44,TaskStandardTable[工作类型ID],0)),"")&amp;IF(INDEX(TaskStandardTable[接入复用适用],MATCH($AM44,TaskStandardTable[工作类型ID],0)),IF(OR(INDEX(TaskStandardTable[新建适用],MATCH($AM44,TaskStandardTable[工作类型ID],0)),INDEX(TaskStandardTable[调整适用],MATCH($AM44,TaskStandardTable[工作类型ID],0))),CHAR(10),"")&amp;"接入复用："&amp;INDEX(TaskStandardTable[接入复用完成标准],MATCH($AM44,TaskStandardTable[工作类型ID],0)),"")</f>
        <v>新建：形成“用户、角色或组织的数据范围控制结果”并通过约定验收。
调整：完成“用户、角色或组织的数据范围控制结果”的目标变更和影响核验，并按交付对象性质通过评审、复核、演练或回归验证。
接入复用：既有数据权限机制不变，项目数据范围规则、映射和验证完成。</v>
      </c>
      <c r="AV44" s="42" t="str">
        <f aca="false">INDEX(TaskStandardTable[说明],MATCH($AM44,TaskStandardTable[工作类型ID],0))</f>
        <v>控制能看到或操作哪些数据。</v>
      </c>
      <c r="AW44" s="42" t="str">
        <f aca="false">INDEX(TaskStandardTable[主要计量维度],MATCH($AM44,TaskStandardTable[工作类型ID],0))</f>
        <v>角色/主体、数据维度、策略、过滤层级</v>
      </c>
      <c r="AX44" s="42" t="str">
        <f aca="false">INDEX(TaskStandardTable[S标准],MATCH($AM44,TaskStandardTable[工作类型ID],0))</f>
        <v>≤2 个主体；1 个数据维度；≤5 条策略；单层行级过滤</v>
      </c>
      <c r="AY44" s="42" t="str">
        <f aca="false">INDEX(TaskStandardTable[M标准],MATCH($AM44,TaskStandardTable[工作类型ID],0))</f>
        <v>3～6 个主体；2～3 个维度；6～20 条策略；含行列组合、租户或组织层级</v>
      </c>
      <c r="AZ44" s="42" t="str">
        <f aca="false">INDEX(TaskStandardTable[L标准],MATCH($AM44,TaskStandardTable[工作类型ID],0))</f>
        <v>7～12 个主体、4～6 个维度或 21～40 条策略；涉及按授权条件控制字段可见性、跨源授权一致性、越权拒绝证明矩阵，或动态策略、受监管证据</v>
      </c>
      <c r="BA44" s="42" t="str">
        <f aca="false">INDEX(TaskStandardTable[X/拆分条件],MATCH($AM44,TaskStandardTable[工作类型ID],0))</f>
        <v>主体 &gt;12、维度 &gt;6、策略 &gt;40，包含多个独立数据权限域，或数据所有者、继承和冲突优先级未明确</v>
      </c>
      <c r="BB44" s="42" t="str">
        <f aca="false">INDEX(TaskStandardTable[模式适用说明],MATCH($AM44,TaskStandardTable[工作类型ID],0))</f>
        <v>调整只看既有策略变化；复用只看项目侧主体、数据映射、策略和验证；加密或脱敏处理实现使用 GOV-DATA-SECURITY</v>
      </c>
    </row>
    <row r="45" customFormat="false" ht="96" hidden="false" customHeight="true" outlineLevel="0" collapsed="false">
      <c r="A45" s="32" t="n">
        <v>41</v>
      </c>
      <c r="B45" s="29" t="s">
        <v>945</v>
      </c>
      <c r="C45" s="32" t="s">
        <v>974</v>
      </c>
      <c r="D45" s="29" t="s">
        <v>976</v>
      </c>
      <c r="E45" s="29" t="s">
        <v>977</v>
      </c>
      <c r="F45" s="29" t="s">
        <v>978</v>
      </c>
      <c r="G45" s="29" t="s">
        <v>979</v>
      </c>
      <c r="H45" s="29" t="s">
        <v>980</v>
      </c>
      <c r="I45" s="29" t="s">
        <v>981</v>
      </c>
      <c r="J45" s="30" t="b">
        <f aca="false">TRUE()</f>
        <v>1</v>
      </c>
      <c r="K45" s="31" t="n">
        <v>1.5</v>
      </c>
      <c r="L45" s="29" t="s">
        <v>982</v>
      </c>
      <c r="M45" s="30" t="b">
        <f aca="false">TRUE()</f>
        <v>1</v>
      </c>
      <c r="N45" s="31" t="n">
        <v>1</v>
      </c>
      <c r="O45" s="29" t="s">
        <v>983</v>
      </c>
      <c r="P45" s="30" t="b">
        <f aca="false">TRUE()</f>
        <v>1</v>
      </c>
      <c r="Q45" s="31" t="n">
        <v>1</v>
      </c>
      <c r="R45" s="29" t="s">
        <v>984</v>
      </c>
      <c r="S45" s="29" t="s">
        <v>985</v>
      </c>
      <c r="T45" s="29" t="s">
        <v>986</v>
      </c>
      <c r="U45" s="29" t="s">
        <v>987</v>
      </c>
      <c r="V45" s="29" t="s">
        <v>988</v>
      </c>
      <c r="W45" s="29" t="s">
        <v>989</v>
      </c>
      <c r="X45" s="29" t="s">
        <v>990</v>
      </c>
      <c r="Y45" s="29"/>
      <c r="Z45" s="29" t="s">
        <v>334</v>
      </c>
      <c r="AA45" s="29" t="s">
        <v>374</v>
      </c>
      <c r="AB45" s="32" t="s">
        <v>336</v>
      </c>
      <c r="AC45" s="32" t="s">
        <v>337</v>
      </c>
      <c r="AD45" s="32" t="s">
        <v>338</v>
      </c>
      <c r="AE45" s="29" t="s">
        <v>339</v>
      </c>
      <c r="AM45" s="34" t="s">
        <v>974</v>
      </c>
      <c r="AN45" s="34" t="str">
        <f aca="false">INDEX(TaskStandardTable[分类],MATCH($AM45,TaskStandardTable[工作类型ID],0))</f>
        <v>身份安全与治理</v>
      </c>
      <c r="AO45" s="35" t="str">
        <f aca="false">INDEX(TaskStandardTable[工作类型名称],MATCH($AM45,TaskStandardTable[工作类型ID],0))</f>
        <v>数据安全处理</v>
      </c>
      <c r="AP45" s="34" t="str">
        <f aca="false">INDEX(TaskStandardTable[计量单位],MATCH($AM45,TaskStandardTable[工作类型ID],0))</f>
        <v>每安全场景</v>
      </c>
      <c r="AQ45" s="36" t="n">
        <f aca="false">IF(INDEX(TaskStandardTable[新建适用],MATCH($AM45,TaskStandardTable[工作类型ID],0)),INDEX(TaskStandardTable[新建M档人天],MATCH($AM45,TaskStandardTable[工作类型ID],0)),"-")</f>
        <v>1.5</v>
      </c>
      <c r="AR45" s="36" t="n">
        <f aca="false">IF(INDEX(TaskStandardTable[调整适用],MATCH($AM45,TaskStandardTable[工作类型ID],0)),INDEX(TaskStandardTable[调整M档人天],MATCH($AM45,TaskStandardTable[工作类型ID],0)),"-")</f>
        <v>1</v>
      </c>
      <c r="AS45" s="36" t="n">
        <f aca="false">IF(INDEX(TaskStandardTable[接入复用适用],MATCH($AM45,TaskStandardTable[工作类型ID],0)),INDEX(TaskStandardTable[接入复用M档人天],MATCH($AM45,TaskStandardTable[工作类型ID],0)),"-")</f>
        <v>1</v>
      </c>
      <c r="AT45" s="34" t="str">
        <f aca="false">INDEX(TaskStandardTable[标准交付物],MATCH($AM45,TaskStandardTable[工作类型ID],0))</f>
        <v>脱敏、加密、签名或其他数据安全结果</v>
      </c>
      <c r="AU45" s="34" t="str">
        <f aca="false">IF(INDEX(TaskStandardTable[新建适用],MATCH($AM45,TaskStandardTable[工作类型ID],0)),"新建："&amp;INDEX(TaskStandardTable[新建完成标准],MATCH($AM45,TaskStandardTable[工作类型ID],0)),"")&amp;IF(INDEX(TaskStandardTable[调整适用],MATCH($AM45,TaskStandardTable[工作类型ID],0)),IF(OR(INDEX(TaskStandardTable[新建适用],MATCH($AM45,TaskStandardTable[工作类型ID],0))),CHAR(10),"")&amp;"调整："&amp;INDEX(TaskStandardTable[调整完成标准],MATCH($AM45,TaskStandardTable[工作类型ID],0)),"")&amp;IF(INDEX(TaskStandardTable[接入复用适用],MATCH($AM45,TaskStandardTable[工作类型ID],0)),IF(OR(INDEX(TaskStandardTable[新建适用],MATCH($AM45,TaskStandardTable[工作类型ID],0)),INDEX(TaskStandardTable[调整适用],MATCH($AM45,TaskStandardTable[工作类型ID],0))),CHAR(10),"")&amp;"接入复用："&amp;INDEX(TaskStandardTable[接入复用完成标准],MATCH($AM45,TaskStandardTable[工作类型ID],0)),"")</f>
        <v>新建：形成“脱敏、加密、签名或其他数据安全结果”并通过约定验收。
调整：完成“脱敏、加密、签名或其他数据安全结果”的目标变更和影响核验，并按交付对象性质通过评审、复核、演练或回归验证。
接入复用：既有安全服务不变，项目字段或场景策略、密钥引用和验证完成。</v>
      </c>
      <c r="AV45" s="34" t="str">
        <f aca="false">INDEX(TaskStandardTable[说明],MATCH($AM45,TaskStandardTable[工作类型ID],0))</f>
        <v>通用框架不按业务场景重复计量。</v>
      </c>
      <c r="AW45" s="34" t="str">
        <f aca="false">INDEX(TaskStandardTable[主要计量维度],MATCH($AM45,TaskStandardTable[工作类型ID],0))</f>
        <v>数据字段/类别、处理动作、密钥、数据流</v>
      </c>
      <c r="AX45" s="34" t="str">
        <f aca="false">INDEX(TaskStandardTable[S标准],MATCH($AM45,TaskStandardTable[工作类型ID],0))</f>
        <v>≤5 个字段；1 类数据；1 个处理动作；标准静态配置</v>
      </c>
      <c r="AY45" s="34" t="str">
        <f aca="false">INDEX(TaskStandardTable[M标准],MATCH($AM45,TaskStandardTable[工作类型ID],0))</f>
        <v>6～20 个字段；2～3 类数据；2～4 个处理动作；含密钥、轮换或审计</v>
      </c>
      <c r="AZ45" s="34" t="str">
        <f aca="false">INDEX(TaskStandardTable[L标准],MATCH($AM45,TaskStandardTable[工作类型ID],0))</f>
        <v>21～40 个字段、4～6 类数据或 5～8 个动作；涉及硬件保护密钥、格式保留加密/脱敏、多跳数据流控制，或高敏感数据或权限控制、受监管证据</v>
      </c>
      <c r="BA45" s="34" t="str">
        <f aca="false">INDEX(TaskStandardTable[X/拆分条件],MATCH($AM45,TaskStandardTable[工作类型ID],0))</f>
        <v>字段 &gt;40、数据类别 &gt;6、动作 &gt;8，包含多个独立安全场景/数据流，或分类、密钥责任和可逆性未明确</v>
      </c>
      <c r="BB45" s="34" t="str">
        <f aca="false">INDEX(TaskStandardTable[模式适用说明],MATCH($AM45,TaskStandardTable[工作类型ID],0))</f>
        <v>调整只看处理规则变化；复用只看项目侧密钥/策略绑定、配置和验证</v>
      </c>
    </row>
    <row r="46" customFormat="false" ht="96" hidden="false" customHeight="true" outlineLevel="0" collapsed="false">
      <c r="A46" s="38" t="n">
        <v>42</v>
      </c>
      <c r="B46" s="39" t="s">
        <v>945</v>
      </c>
      <c r="C46" s="38" t="s">
        <v>991</v>
      </c>
      <c r="D46" s="39" t="s">
        <v>160</v>
      </c>
      <c r="E46" s="39" t="s">
        <v>992</v>
      </c>
      <c r="F46" s="39" t="s">
        <v>993</v>
      </c>
      <c r="G46" s="39" t="s">
        <v>994</v>
      </c>
      <c r="H46" s="39" t="s">
        <v>995</v>
      </c>
      <c r="I46" s="39" t="s">
        <v>996</v>
      </c>
      <c r="J46" s="40" t="b">
        <f aca="false">TRUE()</f>
        <v>1</v>
      </c>
      <c r="K46" s="41" t="n">
        <v>1.5</v>
      </c>
      <c r="L46" s="39" t="s">
        <v>997</v>
      </c>
      <c r="M46" s="40" t="b">
        <f aca="false">TRUE()</f>
        <v>1</v>
      </c>
      <c r="N46" s="41" t="n">
        <v>1</v>
      </c>
      <c r="O46" s="39" t="s">
        <v>998</v>
      </c>
      <c r="P46" s="40" t="b">
        <f aca="false">TRUE()</f>
        <v>1</v>
      </c>
      <c r="Q46" s="41" t="n">
        <v>1</v>
      </c>
      <c r="R46" s="39" t="s">
        <v>999</v>
      </c>
      <c r="S46" s="39" t="s">
        <v>1000</v>
      </c>
      <c r="T46" s="39" t="s">
        <v>1001</v>
      </c>
      <c r="U46" s="39" t="s">
        <v>1002</v>
      </c>
      <c r="V46" s="39" t="s">
        <v>1003</v>
      </c>
      <c r="W46" s="39" t="s">
        <v>1004</v>
      </c>
      <c r="X46" s="39" t="s">
        <v>1005</v>
      </c>
      <c r="Y46" s="39"/>
      <c r="Z46" s="39" t="s">
        <v>334</v>
      </c>
      <c r="AA46" s="39" t="s">
        <v>1006</v>
      </c>
      <c r="AB46" s="38" t="s">
        <v>336</v>
      </c>
      <c r="AC46" s="38" t="s">
        <v>337</v>
      </c>
      <c r="AD46" s="38" t="s">
        <v>338</v>
      </c>
      <c r="AE46" s="39" t="s">
        <v>339</v>
      </c>
      <c r="AM46" s="42" t="s">
        <v>991</v>
      </c>
      <c r="AN46" s="42" t="str">
        <f aca="false">INDEX(TaskStandardTable[分类],MATCH($AM46,TaskStandardTable[工作类型ID],0))</f>
        <v>身份安全与治理</v>
      </c>
      <c r="AO46" s="43" t="str">
        <f aca="false">INDEX(TaskStandardTable[工作类型名称],MATCH($AM46,TaskStandardTable[工作类型ID],0))</f>
        <v>业务操作审计追踪</v>
      </c>
      <c r="AP46" s="42" t="str">
        <f aca="false">INDEX(TaskStandardTable[计量单位],MATCH($AM46,TaskStandardTable[工作类型ID],0))</f>
        <v>每业务域</v>
      </c>
      <c r="AQ46" s="44" t="n">
        <f aca="false">IF(INDEX(TaskStandardTable[新建适用],MATCH($AM46,TaskStandardTable[工作类型ID],0)),INDEX(TaskStandardTable[新建M档人天],MATCH($AM46,TaskStandardTable[工作类型ID],0)),"-")</f>
        <v>1.5</v>
      </c>
      <c r="AR46" s="44" t="n">
        <f aca="false">IF(INDEX(TaskStandardTable[调整适用],MATCH($AM46,TaskStandardTable[工作类型ID],0)),INDEX(TaskStandardTable[调整M档人天],MATCH($AM46,TaskStandardTable[工作类型ID],0)),"-")</f>
        <v>1</v>
      </c>
      <c r="AS46" s="44" t="n">
        <f aca="false">IF(INDEX(TaskStandardTable[接入复用适用],MATCH($AM46,TaskStandardTable[工作类型ID],0)),INDEX(TaskStandardTable[接入复用M档人天],MATCH($AM46,TaskStandardTable[工作类型ID],0)),"-")</f>
        <v>1</v>
      </c>
      <c r="AT46" s="42" t="str">
        <f aca="false">INDEX(TaskStandardTable[标准交付物],MATCH($AM46,TaskStandardTable[工作类型ID],0))</f>
        <v>完整、可查询且可追溯的业务审计记录</v>
      </c>
      <c r="AU46" s="42" t="str">
        <f aca="false">IF(INDEX(TaskStandardTable[新建适用],MATCH($AM46,TaskStandardTable[工作类型ID],0)),"新建："&amp;INDEX(TaskStandardTable[新建完成标准],MATCH($AM46,TaskStandardTable[工作类型ID],0)),"")&amp;IF(INDEX(TaskStandardTable[调整适用],MATCH($AM46,TaskStandardTable[工作类型ID],0)),IF(OR(INDEX(TaskStandardTable[新建适用],MATCH($AM46,TaskStandardTable[工作类型ID],0))),CHAR(10),"")&amp;"调整："&amp;INDEX(TaskStandardTable[调整完成标准],MATCH($AM46,TaskStandardTable[工作类型ID],0)),"")&amp;IF(INDEX(TaskStandardTable[接入复用适用],MATCH($AM46,TaskStandardTable[工作类型ID],0)),IF(OR(INDEX(TaskStandardTable[新建适用],MATCH($AM46,TaskStandardTable[工作类型ID],0)),INDEX(TaskStandardTable[调整适用],MATCH($AM46,TaskStandardTable[工作类型ID],0))),CHAR(10),"")&amp;"接入复用："&amp;INDEX(TaskStandardTable[接入复用完成标准],MATCH($AM46,TaskStandardTable[工作类型ID],0)),"")</f>
        <v>新建：形成“完整、可查询且可追溯的业务审计记录”并通过约定验收。
调整：完成“完整、可查询且可追溯的业务审计记录”的目标变更和影响核验，并按交付对象性质通过评审、复核、演练或回归验证。
接入复用：既有审计框架不变，项目事件映射、字段配置、查询和追溯验证完成。</v>
      </c>
      <c r="AV46" s="42" t="str">
        <f aca="false">INDEX(TaskStandardTable[说明],MATCH($AM46,TaskStandardTable[工作类型ID],0))</f>
        <v>普通技术日志不属于业务审计。</v>
      </c>
      <c r="AW46" s="42" t="str">
        <f aca="false">INDEX(TaskStandardTable[主要计量维度],MATCH($AM46,TaskStandardTable[工作类型ID],0))</f>
        <v>事件、字段、关联对象、留存/防篡改</v>
      </c>
      <c r="AX46" s="42" t="str">
        <f aca="false">INDEX(TaskStandardTable[S标准],MATCH($AM46,TaskStandardTable[工作类型ID],0))</f>
        <v>≤5 类事件；≤10 个字段；单一业务对象；常规留存</v>
      </c>
      <c r="AY46" s="42" t="str">
        <f aca="false">INDEX(TaskStandardTable[M标准],MATCH($AM46,TaskStandardTable[工作类型ID],0))</f>
        <v>6～15 类事件；11～30 个字段；2～3 个关联对象；含检索、留存和访问控制</v>
      </c>
      <c r="AZ46" s="42" t="str">
        <f aca="false">INDEX(TaskStandardTable[L标准],MATCH($AM46,TaskStandardTable[工作类型ID],0))</f>
        <v>16～30 类事件、31～60 个字段或 4～6 个关联对象；涉及跨系统事件关联、防篡改存储，或受监管证据、量化服务目标</v>
      </c>
      <c r="BA46" s="42" t="str">
        <f aca="false">INDEX(TaskStandardTable[X/拆分条件],MATCH($AM46,TaskStandardTable[工作类型ID],0))</f>
        <v>事件 &gt;30、字段 &gt;60、关联对象 &gt;6，包含多个独立业务域/审计目标，或事件口径、留存和访问责任未明确</v>
      </c>
      <c r="BB46" s="42" t="str">
        <f aca="false">INDEX(TaskStandardTable[模式适用说明],MATCH($AM46,TaskStandardTable[工作类型ID],0))</f>
        <v>调整只看审计契约变化；复用只看项目事件映射、采集配置、查询和专项验证</v>
      </c>
    </row>
    <row r="47" customFormat="false" ht="66" hidden="false" customHeight="true" outlineLevel="0" collapsed="false">
      <c r="A47" s="32" t="n">
        <v>43</v>
      </c>
      <c r="B47" s="29" t="s">
        <v>1007</v>
      </c>
      <c r="C47" s="32" t="s">
        <v>1008</v>
      </c>
      <c r="D47" s="29" t="s">
        <v>172</v>
      </c>
      <c r="E47" s="29" t="s">
        <v>1009</v>
      </c>
      <c r="F47" s="29" t="s">
        <v>1010</v>
      </c>
      <c r="G47" s="29" t="s">
        <v>1011</v>
      </c>
      <c r="H47" s="29" t="s">
        <v>1012</v>
      </c>
      <c r="I47" s="29" t="s">
        <v>1013</v>
      </c>
      <c r="J47" s="30" t="b">
        <f aca="false">TRUE()</f>
        <v>1</v>
      </c>
      <c r="K47" s="31" t="n">
        <v>1.5</v>
      </c>
      <c r="L47" s="29" t="s">
        <v>1014</v>
      </c>
      <c r="M47" s="30" t="b">
        <f aca="false">TRUE()</f>
        <v>1</v>
      </c>
      <c r="N47" s="31" t="n">
        <v>1</v>
      </c>
      <c r="O47" s="29" t="s">
        <v>1015</v>
      </c>
      <c r="P47" s="30" t="b">
        <f aca="false">FALSE()</f>
        <v>0</v>
      </c>
      <c r="Q47" s="31"/>
      <c r="R47" s="29"/>
      <c r="S47" s="29" t="s">
        <v>1016</v>
      </c>
      <c r="T47" s="29" t="s">
        <v>1017</v>
      </c>
      <c r="U47" s="29" t="s">
        <v>1018</v>
      </c>
      <c r="V47" s="29" t="s">
        <v>1019</v>
      </c>
      <c r="W47" s="29" t="s">
        <v>1020</v>
      </c>
      <c r="X47" s="29" t="s">
        <v>1021</v>
      </c>
      <c r="Y47" s="29"/>
      <c r="Z47" s="29" t="s">
        <v>334</v>
      </c>
      <c r="AA47" s="29" t="s">
        <v>1022</v>
      </c>
      <c r="AB47" s="32" t="s">
        <v>336</v>
      </c>
      <c r="AC47" s="32" t="s">
        <v>337</v>
      </c>
      <c r="AD47" s="32" t="s">
        <v>338</v>
      </c>
      <c r="AE47" s="29" t="s">
        <v>339</v>
      </c>
      <c r="AM47" s="34" t="s">
        <v>1008</v>
      </c>
      <c r="AN47" s="34" t="str">
        <f aca="false">INDEX(TaskStandardTable[分类],MATCH($AM47,TaskStandardTable[工作类型ID],0))</f>
        <v>测试与验证</v>
      </c>
      <c r="AO47" s="35" t="str">
        <f aca="false">INDEX(TaskStandardTable[工作类型名称],MATCH($AM47,TaskStandardTable[工作类型ID],0))</f>
        <v>API 自动化回归测试</v>
      </c>
      <c r="AP47" s="34" t="str">
        <f aca="false">INDEX(TaskStandardTable[计量单位],MATCH($AM47,TaskStandardTable[工作类型ID],0))</f>
        <v>每个业务场景</v>
      </c>
      <c r="AQ47" s="36" t="n">
        <f aca="false">IF(INDEX(TaskStandardTable[新建适用],MATCH($AM47,TaskStandardTable[工作类型ID],0)),INDEX(TaskStandardTable[新建M档人天],MATCH($AM47,TaskStandardTable[工作类型ID],0)),"-")</f>
        <v>1.5</v>
      </c>
      <c r="AR47" s="36" t="n">
        <f aca="false">IF(INDEX(TaskStandardTable[调整适用],MATCH($AM47,TaskStandardTable[工作类型ID],0)),INDEX(TaskStandardTable[调整M档人天],MATCH($AM47,TaskStandardTable[工作类型ID],0)),"-")</f>
        <v>1</v>
      </c>
      <c r="AS47" s="36" t="str">
        <f aca="false">IF(INDEX(TaskStandardTable[接入复用适用],MATCH($AM47,TaskStandardTable[工作类型ID],0)),INDEX(TaskStandardTable[接入复用M档人天],MATCH($AM47,TaskStandardTable[工作类型ID],0)),"-")</f>
        <v>-</v>
      </c>
      <c r="AT47" s="34" t="str">
        <f aca="false">INDEX(TaskStandardTable[标准交付物],MATCH($AM47,TaskStandardTable[工作类型ID],0))</f>
        <v>可版本化的 API 自动化测试资产及验证结果</v>
      </c>
      <c r="AU47" s="34" t="str">
        <f aca="false">IF(INDEX(TaskStandardTable[新建适用],MATCH($AM47,TaskStandardTable[工作类型ID],0)),"新建："&amp;INDEX(TaskStandardTable[新建完成标准],MATCH($AM47,TaskStandardTable[工作类型ID],0)),"")&amp;IF(INDEX(TaskStandardTable[调整适用],MATCH($AM47,TaskStandardTable[工作类型ID],0)),IF(OR(INDEX(TaskStandardTable[新建适用],MATCH($AM47,TaskStandardTable[工作类型ID],0))),CHAR(10),"")&amp;"调整："&amp;INDEX(TaskStandardTable[调整完成标准],MATCH($AM47,TaskStandardTable[工作类型ID],0)),"")&amp;IF(INDEX(TaskStandardTable[接入复用适用],MATCH($AM47,TaskStandardTable[工作类型ID],0)),IF(OR(INDEX(TaskStandardTable[新建适用],MATCH($AM47,TaskStandardTable[工作类型ID],0)),INDEX(TaskStandardTable[调整适用],MATCH($AM47,TaskStandardTable[工作类型ID],0))),CHAR(10),"")&amp;"接入复用："&amp;INDEX(TaskStandardTable[接入复用完成标准],MATCH($AM47,TaskStandardTable[工作类型ID],0)),"")</f>
        <v>新建：形成新的脚本、数据、断言和模拟依赖资产，执行约定范围并通过验收。
调整：改变既有测试资产，执行受影响范围并通过回归验证。</v>
      </c>
      <c r="AV47" s="34" t="str">
        <f aca="false">INDEX(TaskStandardTable[说明],MATCH($AM47,TaskStandardTable[工作类型ID],0))</f>
        <v>普通 Unit Test、资产未变化的例行执行和缺陷复测不单列。M 档覆盖 6～15 个用例和 11～30 个断言。</v>
      </c>
      <c r="AW47" s="34" t="str">
        <f aca="false">INDEX(TaskStandardTable[主要计量维度],MATCH($AM47,TaskStandardTable[工作类型ID],0))</f>
        <v>用例路径、断言、数据组合、角色、依赖</v>
      </c>
      <c r="AX47" s="34" t="str">
        <f aca="false">INDEX(TaskStandardTable[S标准],MATCH($AM47,TaskStandardTable[工作类型ID],0))</f>
        <v>1 条主路径；≤5 个用例；≤10 个断言；1 个角色；固定数据；无外部模拟</v>
      </c>
      <c r="AY47" s="34" t="str">
        <f aca="false">INDEX(TaskStandardTable[M标准],MATCH($AM47,TaskStandardTable[工作类型ID],0))</f>
        <v>2～4 条相关路径；6～15 个用例；11～30 个断言；2～3 个角色；动态数据或 1～2 个模拟依赖</v>
      </c>
      <c r="AZ47" s="34" t="str">
        <f aca="false">INDEX(TaskStandardTable[L标准],MATCH($AM47,TaskStandardTable[工作类型ID],0))</f>
        <v>5～8 条紧密相关路径、16～30 个用例、31～60 个断言、4～6 个角色或 3～4 个模拟依赖；涉及异步结果轮询/回调、故障注入，或动态策略、受限外部环境</v>
      </c>
      <c r="BA47" s="34" t="str">
        <f aca="false">INDEX(TaskStandardTable[X/拆分条件],MATCH($AM47,TaskStandardTable[工作类型ID],0))</f>
        <v>路径 &gt;8、用例 &gt;30、断言 &gt;60、角色 &gt;6、模拟依赖 &gt;4，包含多个独立业务场景/接口组，或预期结果和测试数据未明确</v>
      </c>
      <c r="BB47" s="34" t="str">
        <f aca="false">INDEX(TaskStandardTable[模式适用说明],MATCH($AM47,TaskStandardTable[工作类型ID],0))</f>
        <v>新建看完整新测试资产；调整只看资产变化、受影响执行和必要回归；资产未变化的重复执行不计</v>
      </c>
    </row>
    <row r="48" customFormat="false" ht="66" hidden="false" customHeight="true" outlineLevel="0" collapsed="false">
      <c r="A48" s="38" t="n">
        <v>44</v>
      </c>
      <c r="B48" s="39" t="s">
        <v>1007</v>
      </c>
      <c r="C48" s="38" t="s">
        <v>1023</v>
      </c>
      <c r="D48" s="39" t="s">
        <v>177</v>
      </c>
      <c r="E48" s="39" t="s">
        <v>1024</v>
      </c>
      <c r="F48" s="39" t="s">
        <v>1025</v>
      </c>
      <c r="G48" s="39" t="s">
        <v>1026</v>
      </c>
      <c r="H48" s="39" t="s">
        <v>1027</v>
      </c>
      <c r="I48" s="39" t="s">
        <v>1028</v>
      </c>
      <c r="J48" s="40" t="b">
        <f aca="false">TRUE()</f>
        <v>1</v>
      </c>
      <c r="K48" s="41" t="n">
        <v>1.5</v>
      </c>
      <c r="L48" s="39" t="s">
        <v>1029</v>
      </c>
      <c r="M48" s="40" t="b">
        <f aca="false">TRUE()</f>
        <v>1</v>
      </c>
      <c r="N48" s="41" t="n">
        <v>1</v>
      </c>
      <c r="O48" s="39" t="s">
        <v>1030</v>
      </c>
      <c r="P48" s="40" t="b">
        <f aca="false">FALSE()</f>
        <v>0</v>
      </c>
      <c r="Q48" s="41"/>
      <c r="R48" s="39"/>
      <c r="S48" s="39" t="s">
        <v>1031</v>
      </c>
      <c r="T48" s="39" t="s">
        <v>1032</v>
      </c>
      <c r="U48" s="39" t="s">
        <v>1033</v>
      </c>
      <c r="V48" s="39" t="s">
        <v>1034</v>
      </c>
      <c r="W48" s="39" t="s">
        <v>1035</v>
      </c>
      <c r="X48" s="39" t="s">
        <v>1021</v>
      </c>
      <c r="Y48" s="39"/>
      <c r="Z48" s="39" t="s">
        <v>334</v>
      </c>
      <c r="AA48" s="39" t="s">
        <v>1036</v>
      </c>
      <c r="AB48" s="38" t="s">
        <v>336</v>
      </c>
      <c r="AC48" s="38" t="s">
        <v>337</v>
      </c>
      <c r="AD48" s="38" t="s">
        <v>338</v>
      </c>
      <c r="AE48" s="39" t="s">
        <v>339</v>
      </c>
      <c r="AM48" s="42" t="s">
        <v>1023</v>
      </c>
      <c r="AN48" s="42" t="str">
        <f aca="false">INDEX(TaskStandardTable[分类],MATCH($AM48,TaskStandardTable[工作类型ID],0))</f>
        <v>测试与验证</v>
      </c>
      <c r="AO48" s="43" t="str">
        <f aca="false">INDEX(TaskStandardTable[工作类型名称],MATCH($AM48,TaskStandardTable[工作类型ID],0))</f>
        <v>用户界面端到端自动化测试</v>
      </c>
      <c r="AP48" s="42" t="str">
        <f aca="false">INDEX(TaskStandardTable[计量单位],MATCH($AM48,TaskStandardTable[工作类型ID],0))</f>
        <v>每个业务流程</v>
      </c>
      <c r="AQ48" s="44" t="n">
        <f aca="false">IF(INDEX(TaskStandardTable[新建适用],MATCH($AM48,TaskStandardTable[工作类型ID],0)),INDEX(TaskStandardTable[新建M档人天],MATCH($AM48,TaskStandardTable[工作类型ID],0)),"-")</f>
        <v>1.5</v>
      </c>
      <c r="AR48" s="44" t="n">
        <f aca="false">IF(INDEX(TaskStandardTable[调整适用],MATCH($AM48,TaskStandardTable[工作类型ID],0)),INDEX(TaskStandardTable[调整M档人天],MATCH($AM48,TaskStandardTable[工作类型ID],0)),"-")</f>
        <v>1</v>
      </c>
      <c r="AS48" s="44" t="str">
        <f aca="false">IF(INDEX(TaskStandardTable[接入复用适用],MATCH($AM48,TaskStandardTable[工作类型ID],0)),INDEX(TaskStandardTable[接入复用M档人天],MATCH($AM48,TaskStandardTable[工作类型ID],0)),"-")</f>
        <v>-</v>
      </c>
      <c r="AT48" s="42" t="str">
        <f aca="false">INDEX(TaskStandardTable[标准交付物],MATCH($AM48,TaskStandardTable[工作类型ID],0))</f>
        <v>可版本化的端到端界面自动化测试资产及验证结果</v>
      </c>
      <c r="AU48" s="42" t="str">
        <f aca="false">IF(INDEX(TaskStandardTable[新建适用],MATCH($AM48,TaskStandardTable[工作类型ID],0)),"新建："&amp;INDEX(TaskStandardTable[新建完成标准],MATCH($AM48,TaskStandardTable[工作类型ID],0)),"")&amp;IF(INDEX(TaskStandardTable[调整适用],MATCH($AM48,TaskStandardTable[工作类型ID],0)),IF(OR(INDEX(TaskStandardTable[新建适用],MATCH($AM48,TaskStandardTable[工作类型ID],0))),CHAR(10),"")&amp;"调整："&amp;INDEX(TaskStandardTable[调整完成标准],MATCH($AM48,TaskStandardTable[工作类型ID],0)),"")&amp;IF(INDEX(TaskStandardTable[接入复用适用],MATCH($AM48,TaskStandardTable[工作类型ID],0)),IF(OR(INDEX(TaskStandardTable[新建适用],MATCH($AM48,TaskStandardTable[工作类型ID],0)),INDEX(TaskStandardTable[调整适用],MATCH($AM48,TaskStandardTable[工作类型ID],0))),CHAR(10),"")&amp;"接入复用："&amp;INDEX(TaskStandardTable[接入复用完成标准],MATCH($AM48,TaskStandardTable[工作类型ID],0)),"")</f>
        <v>新建：形成新的流程脚本、数据、断言和运行配置，执行并通过验收。
调整：改变既有自动化资产，执行受影响范围并通过回归验证。</v>
      </c>
      <c r="AV48" s="42" t="str">
        <f aca="false">INDEX(TaskStandardTable[说明],MATCH($AM48,TaskStandardTable[工作类型ID],0))</f>
        <v>参数化数据不重复形成工作项；资产未变化的例行执行和缺陷复测不单列。</v>
      </c>
      <c r="AW48" s="42" t="str">
        <f aca="false">INDEX(TaskStandardTable[主要计量维度],MATCH($AM48,TaskStandardTable[工作类型ID],0))</f>
        <v>步骤、分支、角色、浏览器、数据组合</v>
      </c>
      <c r="AX48" s="42" t="str">
        <f aca="false">INDEX(TaskStandardTable[S标准],MATCH($AM48,TaskStandardTable[工作类型ID],0))</f>
        <v>≤5 个步骤；单一路径；1 个角色；1 个浏览器；固定数据</v>
      </c>
      <c r="AY48" s="42" t="str">
        <f aca="false">INDEX(TaskStandardTable[M标准],MATCH($AM48,TaskStandardTable[工作类型ID],0))</f>
        <v>6～15 个步骤，或 2～4 条分支，或 2～3 个角色，或 2～3 个浏览器；动态数据和常规等待</v>
      </c>
      <c r="AZ48" s="42" t="str">
        <f aca="false">INDEX(TaskStandardTable[L标准],MATCH($AM48,TaskStandardTable[工作类型ID],0))</f>
        <v>16～30 个步骤、5～8 条分支、4～6 个角色或 4～6 个浏览器；涉及跨系统异步等待、多窗口/设备、视觉基线核对，或动态策略 / 受限外部环境</v>
      </c>
      <c r="BA48" s="42" t="str">
        <f aca="false">INDEX(TaskStandardTable[X/拆分条件],MATCH($AM48,TaskStandardTable[工作类型ID],0))</f>
        <v>步骤 &gt;30、分支 &gt;8、角色 &gt;6、浏览器 &gt;6，包含多个可独立启动和验收的业务流程，或稳定定位、角色、浏览器、数据或预期未明确</v>
      </c>
      <c r="BB48" s="42" t="str">
        <f aca="false">INDEX(TaskStandardTable[模式适用说明],MATCH($AM48,TaskStandardTable[工作类型ID],0))</f>
        <v>新建看完整新测试资产；调整只看资产变化、受影响执行和必要回归；资产未变化的重复执行不计</v>
      </c>
    </row>
    <row r="49" customFormat="false" ht="66" hidden="false" customHeight="true" outlineLevel="0" collapsed="false">
      <c r="A49" s="32" t="n">
        <v>45</v>
      </c>
      <c r="B49" s="29" t="s">
        <v>1007</v>
      </c>
      <c r="C49" s="32" t="s">
        <v>1037</v>
      </c>
      <c r="D49" s="29" t="s">
        <v>182</v>
      </c>
      <c r="E49" s="29" t="s">
        <v>1038</v>
      </c>
      <c r="F49" s="29" t="s">
        <v>1039</v>
      </c>
      <c r="G49" s="29" t="s">
        <v>1040</v>
      </c>
      <c r="H49" s="29" t="s">
        <v>1041</v>
      </c>
      <c r="I49" s="29" t="s">
        <v>1042</v>
      </c>
      <c r="J49" s="30" t="b">
        <f aca="false">TRUE()</f>
        <v>1</v>
      </c>
      <c r="K49" s="31" t="n">
        <v>1.5</v>
      </c>
      <c r="L49" s="29" t="s">
        <v>1043</v>
      </c>
      <c r="M49" s="30" t="b">
        <f aca="false">TRUE()</f>
        <v>1</v>
      </c>
      <c r="N49" s="31" t="n">
        <v>1</v>
      </c>
      <c r="O49" s="29" t="s">
        <v>1044</v>
      </c>
      <c r="P49" s="30" t="b">
        <f aca="false">FALSE()</f>
        <v>0</v>
      </c>
      <c r="Q49" s="31"/>
      <c r="R49" s="29"/>
      <c r="S49" s="29" t="s">
        <v>1045</v>
      </c>
      <c r="T49" s="29" t="s">
        <v>1046</v>
      </c>
      <c r="U49" s="29" t="s">
        <v>1047</v>
      </c>
      <c r="V49" s="29" t="s">
        <v>1048</v>
      </c>
      <c r="W49" s="29" t="s">
        <v>1049</v>
      </c>
      <c r="X49" s="29" t="s">
        <v>1021</v>
      </c>
      <c r="Y49" s="29"/>
      <c r="Z49" s="29" t="s">
        <v>334</v>
      </c>
      <c r="AA49" s="29" t="s">
        <v>1050</v>
      </c>
      <c r="AB49" s="32" t="s">
        <v>336</v>
      </c>
      <c r="AC49" s="32" t="s">
        <v>337</v>
      </c>
      <c r="AD49" s="32" t="s">
        <v>338</v>
      </c>
      <c r="AE49" s="29" t="s">
        <v>339</v>
      </c>
      <c r="AM49" s="34" t="s">
        <v>1037</v>
      </c>
      <c r="AN49" s="34" t="str">
        <f aca="false">INDEX(TaskStandardTable[分类],MATCH($AM49,TaskStandardTable[工作类型ID],0))</f>
        <v>测试与验证</v>
      </c>
      <c r="AO49" s="35" t="str">
        <f aca="false">INDEX(TaskStandardTable[工作类型名称],MATCH($AM49,TaskStandardTable[工作类型ID],0))</f>
        <v>接口契约测试</v>
      </c>
      <c r="AP49" s="34" t="str">
        <f aca="false">INDEX(TaskStandardTable[计量单位],MATCH($AM49,TaskStandardTable[工作类型ID],0))</f>
        <v>每个接口组</v>
      </c>
      <c r="AQ49" s="36" t="n">
        <f aca="false">IF(INDEX(TaskStandardTable[新建适用],MATCH($AM49,TaskStandardTable[工作类型ID],0)),INDEX(TaskStandardTable[新建M档人天],MATCH($AM49,TaskStandardTable[工作类型ID],0)),"-")</f>
        <v>1.5</v>
      </c>
      <c r="AR49" s="36" t="n">
        <f aca="false">IF(INDEX(TaskStandardTable[调整适用],MATCH($AM49,TaskStandardTable[工作类型ID],0)),INDEX(TaskStandardTable[调整M档人天],MATCH($AM49,TaskStandardTable[工作类型ID],0)),"-")</f>
        <v>1</v>
      </c>
      <c r="AS49" s="36" t="str">
        <f aca="false">IF(INDEX(TaskStandardTable[接入复用适用],MATCH($AM49,TaskStandardTable[工作类型ID],0)),INDEX(TaskStandardTable[接入复用M档人天],MATCH($AM49,TaskStandardTable[工作类型ID],0)),"-")</f>
        <v>-</v>
      </c>
      <c r="AT49" s="34" t="str">
        <f aca="false">INDEX(TaskStandardTable[标准交付物],MATCH($AM49,TaskStandardTable[工作类型ID],0))</f>
        <v>可版本化的接口契约测试资产及验证结果</v>
      </c>
      <c r="AU49" s="34" t="str">
        <f aca="false">IF(INDEX(TaskStandardTable[新建适用],MATCH($AM49,TaskStandardTable[工作类型ID],0)),"新建："&amp;INDEX(TaskStandardTable[新建完成标准],MATCH($AM49,TaskStandardTable[工作类型ID],0)),"")&amp;IF(INDEX(TaskStandardTable[调整适用],MATCH($AM49,TaskStandardTable[工作类型ID],0)),IF(OR(INDEX(TaskStandardTable[新建适用],MATCH($AM49,TaskStandardTable[工作类型ID],0))),CHAR(10),"")&amp;"调整："&amp;INDEX(TaskStandardTable[调整完成标准],MATCH($AM49,TaskStandardTable[工作类型ID],0)),"")&amp;IF(INDEX(TaskStandardTable[接入复用适用],MATCH($AM49,TaskStandardTable[工作类型ID],0)),IF(OR(INDEX(TaskStandardTable[新建适用],MATCH($AM49,TaskStandardTable[工作类型ID],0)),INDEX(TaskStandardTable[调整适用],MATCH($AM49,TaskStandardTable[工作类型ID],0))),CHAR(10),"")&amp;"接入复用："&amp;INDEX(TaskStandardTable[接入复用完成标准],MATCH($AM49,TaskStandardTable[工作类型ID],0)),"")</f>
        <v>新建：形成新的契约样本、匹配规则和执行资产，执行并通过验收。
调整：改变既有契约测试资产，执行受影响范围并通过回归验证。</v>
      </c>
      <c r="AV49" s="34" t="str">
        <f aca="false">INDEX(TaskStandardTable[说明],MATCH($AM49,TaskStandardTable[工作类型ID],0))</f>
        <v>按统一管理和发布的一组接口计量；资产未变化的重复执行不单列。</v>
      </c>
      <c r="AW49" s="34" t="str">
        <f aca="false">INDEX(TaskStandardTable[主要计量维度],MATCH($AM49,TaskStandardTable[工作类型ID],0))</f>
        <v>接口、消息/数据结构、版本、消费者</v>
      </c>
      <c r="AX49" s="34" t="str">
        <f aca="false">INDEX(TaskStandardTable[S标准],MATCH($AM49,TaskStandardTable[工作类型ID],0))</f>
        <v>1～2 个接口；1 个版本；1 个消费者；≤10 条契约断言</v>
      </c>
      <c r="AY49" s="34" t="str">
        <f aca="false">INDEX(TaskStandardTable[M标准],MATCH($AM49,TaskStandardTable[工作类型ID],0))</f>
        <v>3～6 个相关接口；2～3 个版本；2～3 个消费者；11～30 条断言；含兼容和模拟</v>
      </c>
      <c r="AZ49" s="34" t="str">
        <f aca="false">INDEX(TaskStandardTable[L标准],MATCH($AM49,TaskStandardTable[工作类型ID],0))</f>
        <v>7～12 个接口、4～6 个版本、4～6 个消费者或 31～60 条断言；涉及异步消息契约、自定义结构/语义匹配器，或严格向后兼容、多方联合交付</v>
      </c>
      <c r="BA49" s="34" t="str">
        <f aca="false">INDEX(TaskStandardTable[X/拆分条件],MATCH($AM49,TaskStandardTable[工作类型ID],0))</f>
        <v>接口 &gt;12、版本 &gt;6、消费者 &gt;6、断言 &gt;60，包含多个独立接口组/契约域，或提供方、消费者和兼容策略未明确</v>
      </c>
      <c r="BB49" s="34" t="str">
        <f aca="false">INDEX(TaskStandardTable[模式适用说明],MATCH($AM49,TaskStandardTable[工作类型ID],0))</f>
        <v>新建看完整新测试资产；调整只看资产变化、受影响执行和必要回归；资产未变化的重复执行不计</v>
      </c>
    </row>
    <row r="50" customFormat="false" ht="82" hidden="false" customHeight="true" outlineLevel="0" collapsed="false">
      <c r="A50" s="38" t="n">
        <v>46</v>
      </c>
      <c r="B50" s="39" t="s">
        <v>1007</v>
      </c>
      <c r="C50" s="38" t="s">
        <v>1051</v>
      </c>
      <c r="D50" s="39" t="s">
        <v>185</v>
      </c>
      <c r="E50" s="39" t="s">
        <v>1052</v>
      </c>
      <c r="F50" s="39" t="s">
        <v>1053</v>
      </c>
      <c r="G50" s="39" t="s">
        <v>1054</v>
      </c>
      <c r="H50" s="39" t="s">
        <v>1055</v>
      </c>
      <c r="I50" s="39" t="s">
        <v>1056</v>
      </c>
      <c r="J50" s="40" t="b">
        <f aca="false">TRUE()</f>
        <v>1</v>
      </c>
      <c r="K50" s="41" t="n">
        <v>2</v>
      </c>
      <c r="L50" s="39" t="s">
        <v>1057</v>
      </c>
      <c r="M50" s="40" t="b">
        <f aca="false">TRUE()</f>
        <v>1</v>
      </c>
      <c r="N50" s="41" t="n">
        <v>1</v>
      </c>
      <c r="O50" s="39" t="s">
        <v>1058</v>
      </c>
      <c r="P50" s="40" t="b">
        <f aca="false">TRUE()</f>
        <v>1</v>
      </c>
      <c r="Q50" s="41" t="n">
        <v>1</v>
      </c>
      <c r="R50" s="39" t="s">
        <v>1059</v>
      </c>
      <c r="S50" s="39" t="s">
        <v>1060</v>
      </c>
      <c r="T50" s="39" t="s">
        <v>1061</v>
      </c>
      <c r="U50" s="39" t="s">
        <v>1062</v>
      </c>
      <c r="V50" s="39" t="s">
        <v>1063</v>
      </c>
      <c r="W50" s="39" t="s">
        <v>1064</v>
      </c>
      <c r="X50" s="39" t="s">
        <v>1065</v>
      </c>
      <c r="Y50" s="39"/>
      <c r="Z50" s="39" t="s">
        <v>334</v>
      </c>
      <c r="AA50" s="39" t="s">
        <v>1066</v>
      </c>
      <c r="AB50" s="38" t="s">
        <v>336</v>
      </c>
      <c r="AC50" s="38" t="s">
        <v>337</v>
      </c>
      <c r="AD50" s="38" t="s">
        <v>338</v>
      </c>
      <c r="AE50" s="39" t="s">
        <v>339</v>
      </c>
      <c r="AM50" s="42" t="s">
        <v>1051</v>
      </c>
      <c r="AN50" s="42" t="str">
        <f aca="false">INDEX(TaskStandardTable[分类],MATCH($AM50,TaskStandardTable[工作类型ID],0))</f>
        <v>测试与验证</v>
      </c>
      <c r="AO50" s="43" t="str">
        <f aca="false">INDEX(TaskStandardTable[工作类型名称],MATCH($AM50,TaskStandardTable[工作类型ID],0))</f>
        <v>可复用测试支撑资产</v>
      </c>
      <c r="AP50" s="42" t="str">
        <f aca="false">INDEX(TaskStandardTable[计量单位],MATCH($AM50,TaskStandardTable[工作类型ID],0))</f>
        <v>每个可独立发布的共享资产或项目适配包</v>
      </c>
      <c r="AQ50" s="44" t="n">
        <f aca="false">IF(INDEX(TaskStandardTable[新建适用],MATCH($AM50,TaskStandardTable[工作类型ID],0)),INDEX(TaskStandardTable[新建M档人天],MATCH($AM50,TaskStandardTable[工作类型ID],0)),"-")</f>
        <v>2</v>
      </c>
      <c r="AR50" s="44" t="n">
        <f aca="false">IF(INDEX(TaskStandardTable[调整适用],MATCH($AM50,TaskStandardTable[工作类型ID],0)),INDEX(TaskStandardTable[调整M档人天],MATCH($AM50,TaskStandardTable[工作类型ID],0)),"-")</f>
        <v>1</v>
      </c>
      <c r="AS50" s="44" t="n">
        <f aca="false">IF(INDEX(TaskStandardTable[接入复用适用],MATCH($AM50,TaskStandardTable[工作类型ID],0)),INDEX(TaskStandardTable[接入复用M档人天],MATCH($AM50,TaskStandardTable[工作类型ID],0)),"-")</f>
        <v>1</v>
      </c>
      <c r="AT50" s="42" t="str">
        <f aca="false">INDEX(TaskStandardTable[标准交付物],MATCH($AM50,TaskStandardTable[工作类型ID],0))</f>
        <v>可复用、可独立维护的 Mock、Harness、数据生成器、脱敏/合成数据包、报告能力或项目适配包</v>
      </c>
      <c r="AU50" s="42" t="str">
        <f aca="false">IF(INDEX(TaskStandardTable[新建适用],MATCH($AM50,TaskStandardTable[工作类型ID],0)),"新建："&amp;INDEX(TaskStandardTable[新建完成标准],MATCH($AM50,TaskStandardTable[工作类型ID],0)),"")&amp;IF(INDEX(TaskStandardTable[调整适用],MATCH($AM50,TaskStandardTable[工作类型ID],0)),IF(OR(INDEX(TaskStandardTable[新建适用],MATCH($AM50,TaskStandardTable[工作类型ID],0))),CHAR(10),"")&amp;"调整："&amp;INDEX(TaskStandardTable[调整完成标准],MATCH($AM50,TaskStandardTable[工作类型ID],0)),"")&amp;IF(INDEX(TaskStandardTable[接入复用适用],MATCH($AM50,TaskStandardTable[工作类型ID],0)),IF(OR(INDEX(TaskStandardTable[新建适用],MATCH($AM50,TaskStandardTable[工作类型ID],0)),INDEX(TaskStandardTable[调整适用],MATCH($AM50,TaskStandardTable[工作类型ID],0))),CHAR(10),"")&amp;"接入复用："&amp;INDEX(TaskStandardTable[接入复用完成标准],MATCH($AM50,TaskStandardTable[工作类型ID],0)),"")</f>
        <v>新建：形成可独立发布、维护和验证的测试支撑资产。
调整：完成既有支撑资产能力、适配器、数据或环境范围的变更和回归。
接入复用：既有支撑资产不变，形成可独立版本化和验收的项目适配包。</v>
      </c>
      <c r="AV50" s="42" t="str">
        <f aca="false">INDEX(TaskStandardTable[说明],MATCH($AM50,TaskStandardTable[工作类型ID],0))</f>
        <v>单场景临时数据或测试 Task 内的普通工具配置不单列；Runner、流水线和运行环境使用对应 ENG-* 类型。</v>
      </c>
      <c r="AW50" s="42" t="str">
        <f aca="false">INDEX(TaskStandardTable[主要计量维度],MATCH($AM50,TaskStandardTable[工作类型ID],0))</f>
        <v>支撑能力、适配器/数据变体、数据域、环境</v>
      </c>
      <c r="AX50" s="42" t="str">
        <f aca="false">INDEX(TaskStandardTable[S标准],MATCH($AM50,TaskStandardTable[工作类型ID],0))</f>
        <v>1 个能力；≤2 个适配器或数据变体；单数据域/环境；标准技术栈</v>
      </c>
      <c r="AY50" s="42" t="str">
        <f aca="false">INDEX(TaskStandardTable[M标准],MATCH($AM50,TaskStandardTable[工作类型ID],0))</f>
        <v>2～4 个相关能力；3～5 个适配器/数据变体；2～3 个环境；含数据准备、报告或并行执行</v>
      </c>
      <c r="AZ50" s="42" t="str">
        <f aca="false">INDEX(TaskStandardTable[L标准],MATCH($AM50,TaskStandardTable[工作类型ID],0))</f>
        <v>5～8 个紧密相关能力、6～10 个适配器/数据变体或 4～6 个环境；涉及服务虚拟化、约束保持合成数据、隔离执行、并行执行、插件扩展，或受限外部环境</v>
      </c>
      <c r="BA50" s="42" t="str">
        <f aca="false">INDEX(TaskStandardTable[X/拆分条件],MATCH($AM50,TaskStandardTable[工作类型ID],0))</f>
        <v>能力 &gt;8、适配器/数据变体 &gt;10、环境 &gt;6，包含多个可独立发布的支撑资产/数据域，或要建设完整测试平台</v>
      </c>
      <c r="BB50" s="42" t="str">
        <f aca="false">INDEX(TaskStandardTable[模式适用说明],MATCH($AM50,TaskStandardTable[工作类型ID],0))</f>
        <v>调整只看资产能力、适配器、数据和环境变化；接入复用只看可独立验收的项目适配包；仅在测试 Task 内配置既有工具不单列</v>
      </c>
    </row>
    <row r="51" customFormat="false" ht="66" hidden="false" customHeight="true" outlineLevel="0" collapsed="false">
      <c r="A51" s="32" t="n">
        <v>47</v>
      </c>
      <c r="B51" s="29" t="s">
        <v>1007</v>
      </c>
      <c r="C51" s="32" t="s">
        <v>1067</v>
      </c>
      <c r="D51" s="29" t="s">
        <v>191</v>
      </c>
      <c r="E51" s="29" t="s">
        <v>1068</v>
      </c>
      <c r="F51" s="29" t="s">
        <v>1069</v>
      </c>
      <c r="G51" s="29" t="s">
        <v>1070</v>
      </c>
      <c r="H51" s="29" t="s">
        <v>1071</v>
      </c>
      <c r="I51" s="29" t="s">
        <v>1072</v>
      </c>
      <c r="J51" s="30" t="b">
        <f aca="false">TRUE()</f>
        <v>1</v>
      </c>
      <c r="K51" s="31" t="n">
        <v>2</v>
      </c>
      <c r="L51" s="29" t="s">
        <v>1073</v>
      </c>
      <c r="M51" s="30" t="b">
        <f aca="false">TRUE()</f>
        <v>1</v>
      </c>
      <c r="N51" s="31" t="n">
        <v>1.5</v>
      </c>
      <c r="O51" s="29" t="s">
        <v>1074</v>
      </c>
      <c r="P51" s="30" t="b">
        <f aca="false">FALSE()</f>
        <v>0</v>
      </c>
      <c r="Q51" s="31"/>
      <c r="R51" s="29"/>
      <c r="S51" s="29" t="s">
        <v>1075</v>
      </c>
      <c r="T51" s="29" t="s">
        <v>1076</v>
      </c>
      <c r="U51" s="29" t="s">
        <v>1077</v>
      </c>
      <c r="V51" s="29" t="s">
        <v>1078</v>
      </c>
      <c r="W51" s="29" t="s">
        <v>1079</v>
      </c>
      <c r="X51" s="29" t="s">
        <v>1080</v>
      </c>
      <c r="Y51" s="29"/>
      <c r="Z51" s="29" t="s">
        <v>334</v>
      </c>
      <c r="AA51" s="29" t="s">
        <v>1081</v>
      </c>
      <c r="AB51" s="32" t="s">
        <v>336</v>
      </c>
      <c r="AC51" s="32" t="s">
        <v>337</v>
      </c>
      <c r="AD51" s="32" t="s">
        <v>338</v>
      </c>
      <c r="AE51" s="29" t="s">
        <v>339</v>
      </c>
      <c r="AM51" s="34" t="s">
        <v>1067</v>
      </c>
      <c r="AN51" s="34" t="str">
        <f aca="false">INDEX(TaskStandardTable[分类],MATCH($AM51,TaskStandardTable[工作类型ID],0))</f>
        <v>测试与验证</v>
      </c>
      <c r="AO51" s="35" t="str">
        <f aca="false">INDEX(TaskStandardTable[工作类型名称],MATCH($AM51,TaskStandardTable[工作类型ID],0))</f>
        <v>性能、容量与稳定性验证</v>
      </c>
      <c r="AP51" s="34" t="str">
        <f aca="false">INDEX(TaskStandardTable[计量单位],MATCH($AM51,TaskStandardTable[工作类型ID],0))</f>
        <v>每个验证目标的独立负载模型</v>
      </c>
      <c r="AQ51" s="36" t="n">
        <f aca="false">IF(INDEX(TaskStandardTable[新建适用],MATCH($AM51,TaskStandardTable[工作类型ID],0)),INDEX(TaskStandardTable[新建M档人天],MATCH($AM51,TaskStandardTable[工作类型ID],0)),"-")</f>
        <v>2</v>
      </c>
      <c r="AR51" s="36" t="n">
        <f aca="false">IF(INDEX(TaskStandardTable[调整适用],MATCH($AM51,TaskStandardTable[工作类型ID],0)),INDEX(TaskStandardTable[调整M档人天],MATCH($AM51,TaskStandardTable[工作类型ID],0)),"-")</f>
        <v>1.5</v>
      </c>
      <c r="AS51" s="36" t="str">
        <f aca="false">IF(INDEX(TaskStandardTable[接入复用适用],MATCH($AM51,TaskStandardTable[工作类型ID],0)),INDEX(TaskStandardTable[接入复用M档人天],MATCH($AM51,TaskStandardTable[工作类型ID],0)),"-")</f>
        <v>-</v>
      </c>
      <c r="AT51" s="34" t="str">
        <f aca="false">INDEX(TaskStandardTable[标准交付物],MATCH($AM51,TaskStandardTable[工作类型ID],0))</f>
        <v>可版本化的负载模型、执行资产及验证结论</v>
      </c>
      <c r="AU51" s="34" t="str">
        <f aca="false">IF(INDEX(TaskStandardTable[新建适用],MATCH($AM51,TaskStandardTable[工作类型ID],0)),"新建："&amp;INDEX(TaskStandardTable[新建完成标准],MATCH($AM51,TaskStandardTable[工作类型ID],0)),"")&amp;IF(INDEX(TaskStandardTable[调整适用],MATCH($AM51,TaskStandardTable[工作类型ID],0)),IF(OR(INDEX(TaskStandardTable[新建适用],MATCH($AM51,TaskStandardTable[工作类型ID],0))),CHAR(10),"")&amp;"调整："&amp;INDEX(TaskStandardTable[调整完成标准],MATCH($AM51,TaskStandardTable[工作类型ID],0)),"")&amp;IF(INDEX(TaskStandardTable[接入复用适用],MATCH($AM51,TaskStandardTable[工作类型ID],0)),IF(OR(INDEX(TaskStandardTable[新建适用],MATCH($AM51,TaskStandardTable[工作类型ID],0)),INDEX(TaskStandardTable[调整适用],MATCH($AM51,TaskStandardTable[工作类型ID],0))),CHAR(10),"")&amp;"接入复用："&amp;INDEX(TaskStandardTable[接入复用完成标准],MATCH($AM51,TaskStandardTable[工作类型ID],0)),"")</f>
        <v>新建：形成新的负载模型、数据、脚本和判据，执行并通过验收。
调整：改变既有负载模型或执行资产，执行受影响范围并完成验证。</v>
      </c>
      <c r="AV51" s="34" t="str">
        <f aca="false">INDEX(TaskStandardTable[说明],MATCH($AM51,TaskStandardTable[工作类型ID],0))</f>
        <v>同一负载模型内的多个指标不拆行；资产未变化的重复压测和调优复测不单列。</v>
      </c>
      <c r="AW51" s="34" t="str">
        <f aca="false">INDEX(TaskStandardTable[主要计量维度],MATCH($AM51,TaskStandardTable[工作类型ID],0))</f>
        <v>负载场景、指标、持续时间、系统范围、调优复测轮数</v>
      </c>
      <c r="AX51" s="34" t="str">
        <f aca="false">INDEX(TaskStandardTable[S标准],MATCH($AM51,TaskStandardTable[工作类型ID],0))</f>
        <v>1 个负载场景；≤3 个指标；≤30 分钟；单组件；0 轮调优复测</v>
      </c>
      <c r="AY51" s="34" t="str">
        <f aca="false">INDEX(TaskStandardTable[M标准],MATCH($AM51,TaskStandardTable[工作类型ID],0))</f>
        <v>2～3 个相关场景；4～8 个指标；含峰值或 &gt;30 分钟且 ≤4 小时长稳；2～3 个组件；1～2 轮调优复测</v>
      </c>
      <c r="AZ51" s="34" t="str">
        <f aca="false">INDEX(TaskStandardTable[L标准],MATCH($AM51,TaskStandardTable[工作类型ID],0))</f>
        <v>4～6 个紧密相关场景、9～16 个指标、&gt;4 小时且 ≤24 小时、4～6 个组件或 3～4 轮调优复测；涉及分布式负载路径、容量边界建模、生产分布复现，或高敏感数据或权限控制</v>
      </c>
      <c r="BA51" s="34" t="str">
        <f aca="false">INDEX(TaskStandardTable[X/拆分条件],MATCH($AM51,TaskStandardTable[工作类型ID],0))</f>
        <v>场景 &gt;6、指标 &gt;16、时长 &gt;24 小时、组件 &gt;6、调优复测 &gt;4 轮，包含多个独立负载模型/系统目标，或阈值、基线、数据和环境未明确</v>
      </c>
      <c r="BB51" s="34" t="str">
        <f aca="false">INDEX(TaskStandardTable[模式适用说明],MATCH($AM51,TaskStandardTable[工作类型ID],0))</f>
        <v>新建看完整新负载模型和验证资产；调整只看资产变化、受影响执行和必要回归；资产未变化的重复压测不计</v>
      </c>
    </row>
    <row r="52" customFormat="false" ht="66" hidden="false" customHeight="true" outlineLevel="0" collapsed="false">
      <c r="A52" s="38" t="n">
        <v>48</v>
      </c>
      <c r="B52" s="39" t="s">
        <v>1007</v>
      </c>
      <c r="C52" s="38" t="s">
        <v>701</v>
      </c>
      <c r="D52" s="39" t="s">
        <v>1082</v>
      </c>
      <c r="E52" s="39" t="s">
        <v>1083</v>
      </c>
      <c r="F52" s="39" t="s">
        <v>1084</v>
      </c>
      <c r="G52" s="39" t="s">
        <v>1085</v>
      </c>
      <c r="H52" s="39" t="s">
        <v>1086</v>
      </c>
      <c r="I52" s="39" t="s">
        <v>1087</v>
      </c>
      <c r="J52" s="40" t="b">
        <f aca="false">TRUE()</f>
        <v>1</v>
      </c>
      <c r="K52" s="41" t="n">
        <v>2.5</v>
      </c>
      <c r="L52" s="39" t="s">
        <v>1088</v>
      </c>
      <c r="M52" s="40" t="b">
        <f aca="false">TRUE()</f>
        <v>1</v>
      </c>
      <c r="N52" s="41" t="n">
        <v>2</v>
      </c>
      <c r="O52" s="39" t="s">
        <v>1089</v>
      </c>
      <c r="P52" s="40" t="b">
        <f aca="false">FALSE()</f>
        <v>0</v>
      </c>
      <c r="Q52" s="41"/>
      <c r="R52" s="39"/>
      <c r="S52" s="39" t="s">
        <v>1090</v>
      </c>
      <c r="T52" s="39" t="s">
        <v>1091</v>
      </c>
      <c r="U52" s="39" t="s">
        <v>1092</v>
      </c>
      <c r="V52" s="39" t="s">
        <v>1093</v>
      </c>
      <c r="W52" s="39" t="s">
        <v>1094</v>
      </c>
      <c r="X52" s="39" t="s">
        <v>1095</v>
      </c>
      <c r="Y52" s="39"/>
      <c r="Z52" s="39" t="s">
        <v>334</v>
      </c>
      <c r="AA52" s="39" t="s">
        <v>1096</v>
      </c>
      <c r="AB52" s="38" t="s">
        <v>336</v>
      </c>
      <c r="AC52" s="38" t="s">
        <v>337</v>
      </c>
      <c r="AD52" s="38" t="s">
        <v>338</v>
      </c>
      <c r="AE52" s="39" t="s">
        <v>339</v>
      </c>
      <c r="AM52" s="42" t="s">
        <v>701</v>
      </c>
      <c r="AN52" s="42" t="str">
        <f aca="false">INDEX(TaskStandardTable[分类],MATCH($AM52,TaskStandardTable[工作类型ID],0))</f>
        <v>测试与验证</v>
      </c>
      <c r="AO52" s="43" t="str">
        <f aca="false">INDEX(TaskStandardTable[工作类型名称],MATCH($AM52,TaskStandardTable[工作类型ID],0))</f>
        <v>系统韧性与灾难恢复验证</v>
      </c>
      <c r="AP52" s="42" t="str">
        <f aca="false">INDEX(TaskStandardTable[计量单位],MATCH($AM52,TaskStandardTable[工作类型ID],0))</f>
        <v>每个恢复能力</v>
      </c>
      <c r="AQ52" s="44" t="n">
        <f aca="false">IF(INDEX(TaskStandardTable[新建适用],MATCH($AM52,TaskStandardTable[工作类型ID],0)),INDEX(TaskStandardTable[新建M档人天],MATCH($AM52,TaskStandardTable[工作类型ID],0)),"-")</f>
        <v>2.5</v>
      </c>
      <c r="AR52" s="44" t="n">
        <f aca="false">IF(INDEX(TaskStandardTable[调整适用],MATCH($AM52,TaskStandardTable[工作类型ID],0)),INDEX(TaskStandardTable[调整M档人天],MATCH($AM52,TaskStandardTable[工作类型ID],0)),"-")</f>
        <v>2</v>
      </c>
      <c r="AS52" s="44" t="str">
        <f aca="false">IF(INDEX(TaskStandardTable[接入复用适用],MATCH($AM52,TaskStandardTable[工作类型ID],0)),INDEX(TaskStandardTable[接入复用M档人天],MATCH($AM52,TaskStandardTable[工作类型ID],0)),"-")</f>
        <v>-</v>
      </c>
      <c r="AT52" s="42" t="str">
        <f aca="false">INDEX(TaskStandardTable[标准交付物],MATCH($AM52,TaskStandardTable[工作类型ID],0))</f>
        <v>可版本化的故障注入、切换与恢复验证资产及结果</v>
      </c>
      <c r="AU52" s="42" t="str">
        <f aca="false">IF(INDEX(TaskStandardTable[新建适用],MATCH($AM52,TaskStandardTable[工作类型ID],0)),"新建："&amp;INDEX(TaskStandardTable[新建完成标准],MATCH($AM52,TaskStandardTable[工作类型ID],0)),"")&amp;IF(INDEX(TaskStandardTable[调整适用],MATCH($AM52,TaskStandardTable[工作类型ID],0)),IF(OR(INDEX(TaskStandardTable[新建适用],MATCH($AM52,TaskStandardTable[工作类型ID],0))),CHAR(10),"")&amp;"调整："&amp;INDEX(TaskStandardTable[调整完成标准],MATCH($AM52,TaskStandardTable[工作类型ID],0)),"")&amp;IF(INDEX(TaskStandardTable[接入复用适用],MATCH($AM52,TaskStandardTable[工作类型ID],0)),IF(OR(INDEX(TaskStandardTable[新建适用],MATCH($AM52,TaskStandardTable[工作类型ID],0)),INDEX(TaskStandardTable[调整适用],MATCH($AM52,TaskStandardTable[工作类型ID],0))),CHAR(10),"")&amp;"接入复用："&amp;INDEX(TaskStandardTable[接入复用完成标准],MATCH($AM52,TaskStandardTable[工作类型ID],0)),"")</f>
        <v>新建：形成新的方案、步骤和判据，完成故障注入、切换、恢复、数据核对和退出门禁并通过验收。
调整：改变既有验证资产，执行受影响范围并完成验证。</v>
      </c>
      <c r="AV52" s="42" t="str">
        <f aca="false">INDEX(TaskStandardTable[说明],MATCH($AM52,TaskStandardTable[工作类型ID],0))</f>
        <v>建设能力不包含在验证中；资产未变化的重复演练不单列。</v>
      </c>
      <c r="AW52" s="42" t="str">
        <f aca="false">INDEX(TaskStandardTable[主要计量维度],MATCH($AM52,TaskStandardTable[工作类型ID],0))</f>
        <v>故障场景、组件、恢复步骤、RTO、RPO 证据</v>
      </c>
      <c r="AX52" s="42" t="str">
        <f aca="false">INDEX(TaskStandardTable[S标准],MATCH($AM52,TaskStandardTable[工作类型ID],0))</f>
        <v>1 个故障场景；≤2 个组件；≤5 个步骤；RTO ≥4 小时且 RPO ≥24 小时</v>
      </c>
      <c r="AY52" s="42" t="str">
        <f aca="false">INDEX(TaskStandardTable[M标准],MATCH($AM52,TaskStandardTable[工作类型ID],0))</f>
        <v>2～3 个相关场景；3～6 个组件；6～15 个步骤；RTO 为 1～&lt;4 小时或 RPO 为 1～&lt;24 小时；含切换、降级和数据核对</v>
      </c>
      <c r="AZ52" s="42" t="str">
        <f aca="false">INDEX(TaskStandardTable[L标准],MATCH($AM52,TaskStandardTable[工作类型ID],0))</f>
        <v>4～6 个紧密相关场景、7～12 个组件或 16～30 个步骤；RTO 为 15 分钟～&lt;1 小时或 RPO 为 5 分钟～&lt;1 小时，或跨区域连续性、多方联合交付</v>
      </c>
      <c r="BA52" s="42" t="str">
        <f aca="false">INDEX(TaskStandardTable[X/拆分条件],MATCH($AM52,TaskStandardTable[工作类型ID],0))</f>
        <v>场景 &gt;6、组件 &gt;12、步骤 &gt;30、RTO &lt;15 分钟或 RPO &lt;5 分钟，包含多个独立系统/恢复能力，或成功阈值、演练权限和回退方案未明确</v>
      </c>
      <c r="BB52" s="42" t="str">
        <f aca="false">INDEX(TaskStandardTable[模式适用说明],MATCH($AM52,TaskStandardTable[工作类型ID],0))</f>
        <v>新建看完整新验证资产；调整只看资产变化、受影响执行和必要回归；资产未变化的重复演练不计</v>
      </c>
    </row>
    <row r="53" customFormat="false" ht="66" hidden="false" customHeight="true" outlineLevel="0" collapsed="false">
      <c r="A53" s="32" t="n">
        <v>49</v>
      </c>
      <c r="B53" s="29" t="s">
        <v>1007</v>
      </c>
      <c r="C53" s="32" t="s">
        <v>1097</v>
      </c>
      <c r="D53" s="29" t="s">
        <v>194</v>
      </c>
      <c r="E53" s="29" t="s">
        <v>1098</v>
      </c>
      <c r="F53" s="29" t="s">
        <v>1099</v>
      </c>
      <c r="G53" s="29" t="s">
        <v>1100</v>
      </c>
      <c r="H53" s="29" t="s">
        <v>1101</v>
      </c>
      <c r="I53" s="29" t="s">
        <v>1102</v>
      </c>
      <c r="J53" s="30" t="b">
        <f aca="false">TRUE()</f>
        <v>1</v>
      </c>
      <c r="K53" s="31" t="n">
        <v>2</v>
      </c>
      <c r="L53" s="29" t="s">
        <v>1103</v>
      </c>
      <c r="M53" s="30" t="b">
        <f aca="false">TRUE()</f>
        <v>1</v>
      </c>
      <c r="N53" s="31" t="n">
        <v>1.5</v>
      </c>
      <c r="O53" s="29" t="s">
        <v>1104</v>
      </c>
      <c r="P53" s="30" t="b">
        <f aca="false">FALSE()</f>
        <v>0</v>
      </c>
      <c r="Q53" s="31"/>
      <c r="R53" s="29"/>
      <c r="S53" s="29" t="s">
        <v>1105</v>
      </c>
      <c r="T53" s="29" t="s">
        <v>1106</v>
      </c>
      <c r="U53" s="29" t="s">
        <v>1107</v>
      </c>
      <c r="V53" s="29" t="s">
        <v>1108</v>
      </c>
      <c r="W53" s="29" t="s">
        <v>1109</v>
      </c>
      <c r="X53" s="29" t="s">
        <v>1110</v>
      </c>
      <c r="Y53" s="29"/>
      <c r="Z53" s="29" t="s">
        <v>334</v>
      </c>
      <c r="AA53" s="29" t="s">
        <v>1111</v>
      </c>
      <c r="AB53" s="32" t="s">
        <v>336</v>
      </c>
      <c r="AC53" s="32" t="s">
        <v>337</v>
      </c>
      <c r="AD53" s="32" t="s">
        <v>338</v>
      </c>
      <c r="AE53" s="29" t="s">
        <v>339</v>
      </c>
      <c r="AM53" s="34" t="s">
        <v>1097</v>
      </c>
      <c r="AN53" s="34" t="str">
        <f aca="false">INDEX(TaskStandardTable[分类],MATCH($AM53,TaskStandardTable[工作类型ID],0))</f>
        <v>测试与验证</v>
      </c>
      <c r="AO53" s="35" t="str">
        <f aca="false">INDEX(TaskStandardTable[工作类型名称],MATCH($AM53,TaskStandardTable[工作类型ID],0))</f>
        <v>应用信息安全（Cybersecurity）验证</v>
      </c>
      <c r="AP53" s="34" t="str">
        <f aca="false">INDEX(TaskStandardTable[计量单位],MATCH($AM53,TaskStandardTable[工作类型ID],0))</f>
        <v>每个信息安全专题</v>
      </c>
      <c r="AQ53" s="36" t="n">
        <f aca="false">IF(INDEX(TaskStandardTable[新建适用],MATCH($AM53,TaskStandardTable[工作类型ID],0)),INDEX(TaskStandardTable[新建M档人天],MATCH($AM53,TaskStandardTable[工作类型ID],0)),"-")</f>
        <v>2</v>
      </c>
      <c r="AR53" s="36" t="n">
        <f aca="false">IF(INDEX(TaskStandardTable[调整适用],MATCH($AM53,TaskStandardTable[工作类型ID],0)),INDEX(TaskStandardTable[调整M档人天],MATCH($AM53,TaskStandardTable[工作类型ID],0)),"-")</f>
        <v>1.5</v>
      </c>
      <c r="AS53" s="36" t="str">
        <f aca="false">IF(INDEX(TaskStandardTable[接入复用适用],MATCH($AM53,TaskStandardTable[工作类型ID],0)),INDEX(TaskStandardTable[接入复用M档人天],MATCH($AM53,TaskStandardTable[工作类型ID],0)),"-")</f>
        <v>-</v>
      </c>
      <c r="AT53" s="34" t="str">
        <f aca="false">INDEX(TaskStandardTable[标准交付物],MATCH($AM53,TaskStandardTable[工作类型ID],0))</f>
        <v>可版本化的信息安全验证资产、风险记录及结论</v>
      </c>
      <c r="AU53" s="34" t="str">
        <f aca="false">IF(INDEX(TaskStandardTable[新建适用],MATCH($AM53,TaskStandardTable[工作类型ID],0)),"新建："&amp;INDEX(TaskStandardTable[新建完成标准],MATCH($AM53,TaskStandardTable[工作类型ID],0)),"")&amp;IF(INDEX(TaskStandardTable[调整适用],MATCH($AM53,TaskStandardTable[工作类型ID],0)),IF(OR(INDEX(TaskStandardTable[新建适用],MATCH($AM53,TaskStandardTable[工作类型ID],0))),CHAR(10),"")&amp;"调整："&amp;INDEX(TaskStandardTable[调整完成标准],MATCH($AM53,TaskStandardTable[工作类型ID],0)),"")&amp;IF(INDEX(TaskStandardTable[接入复用适用],MATCH($AM53,TaskStandardTable[工作类型ID],0)),IF(OR(INDEX(TaskStandardTable[新建适用],MATCH($AM53,TaskStandardTable[工作类型ID],0)),INDEX(TaskStandardTable[调整适用],MATCH($AM53,TaskStandardTable[工作类型ID],0))),CHAR(10),"")&amp;"接入复用："&amp;INDEX(TaskStandardTable[接入复用完成标准],MATCH($AM53,TaskStandardTable[工作类型ID],0)),"")</f>
        <v>新建：形成新的范围、测试方法、数据和判据，执行并通过验收。
调整：改变既有信息安全验证资产，执行受影响范围并完成验证。</v>
      </c>
      <c r="AV53" s="34" t="str">
        <f aca="false">INDEX(TaskStandardTable[说明],MATCH($AM53,TaskStandardTable[工作类型ID],0))</f>
        <v>身份、授权、数据保护和攻击面等主题共用；资产未变化的重复执行和整改复测不单列；独立专业渗透/认证按目录外服务处理。</v>
      </c>
      <c r="AW53" s="34" t="str">
        <f aca="false">INDEX(TaskStandardTable[主要计量维度],MATCH($AM53,TaskStandardTable[工作类型ID],0))</f>
        <v>攻击面、控制族、身份角色、证据深度</v>
      </c>
      <c r="AX53" s="34" t="str">
        <f aca="false">INDEX(TaskStandardTable[S标准],MATCH($AM53,TaskStandardTable[工作类型ID],0))</f>
        <v>1 个攻击面；≤2 个控制族；1 个角色；标准自动扫描和配置检查</v>
      </c>
      <c r="AY53" s="34" t="str">
        <f aca="false">INDEX(TaskStandardTable[M标准],MATCH($AM53,TaskStandardTable[工作类型ID],0))</f>
        <v>2～3 个相关攻击面；3～5 个控制族；2～3 个角色；含人工 API/权限/数据流验证</v>
      </c>
      <c r="AZ53" s="34" t="str">
        <f aca="false">INDEX(TaskStandardTable[L标准],MATCH($AM53,TaskStandardTable[工作类型ID],0))</f>
        <v>≥4 个紧密相关攻击面、≥6 个控制族或 ≥4 个角色；涉及授权绕过验证、威胁建模，或高敏感数据或权限控制、受监管证据</v>
      </c>
      <c r="BA53" s="34" t="str">
        <f aca="false">INDEX(TaskStandardTable[X/拆分条件],MATCH($AM53,TaskStandardTable[工作类型ID],0))</f>
        <v>需要独立专业团队正式渗透测试/认证时转目录外专业服务；涉及多个独立应用/信息安全专题，或目标、范围和处置责任未明确</v>
      </c>
      <c r="BB53" s="34" t="str">
        <f aca="false">INDEX(TaskStandardTable[模式适用说明],MATCH($AM53,TaskStandardTable[工作类型ID],0))</f>
        <v>新建指项目团队负责的新验证专题；调整只看既有测试方案、工具配置、脚本和判据变化；目录内准备/整改成果按真实类型另计</v>
      </c>
    </row>
    <row r="54" customFormat="false" ht="68" hidden="false" customHeight="true" outlineLevel="0" collapsed="false">
      <c r="A54" s="38" t="n">
        <v>50</v>
      </c>
      <c r="B54" s="39" t="s">
        <v>1007</v>
      </c>
      <c r="C54" s="38" t="s">
        <v>1112</v>
      </c>
      <c r="D54" s="39" t="s">
        <v>1113</v>
      </c>
      <c r="E54" s="39" t="s">
        <v>1114</v>
      </c>
      <c r="F54" s="39" t="s">
        <v>1115</v>
      </c>
      <c r="G54" s="39" t="s">
        <v>1116</v>
      </c>
      <c r="H54" s="39" t="s">
        <v>1117</v>
      </c>
      <c r="I54" s="39" t="s">
        <v>1118</v>
      </c>
      <c r="J54" s="40" t="b">
        <f aca="false">TRUE()</f>
        <v>1</v>
      </c>
      <c r="K54" s="41" t="n">
        <v>2</v>
      </c>
      <c r="L54" s="39" t="s">
        <v>1119</v>
      </c>
      <c r="M54" s="40" t="b">
        <f aca="false">TRUE()</f>
        <v>1</v>
      </c>
      <c r="N54" s="41" t="n">
        <v>1.5</v>
      </c>
      <c r="O54" s="39" t="s">
        <v>1089</v>
      </c>
      <c r="P54" s="40" t="b">
        <f aca="false">FALSE()</f>
        <v>0</v>
      </c>
      <c r="Q54" s="41"/>
      <c r="R54" s="39"/>
      <c r="S54" s="39" t="s">
        <v>1120</v>
      </c>
      <c r="T54" s="39" t="s">
        <v>1121</v>
      </c>
      <c r="U54" s="39" t="s">
        <v>1122</v>
      </c>
      <c r="V54" s="39" t="s">
        <v>1123</v>
      </c>
      <c r="W54" s="39" t="s">
        <v>1124</v>
      </c>
      <c r="X54" s="39" t="s">
        <v>1125</v>
      </c>
      <c r="Y54" s="39"/>
      <c r="Z54" s="39" t="s">
        <v>334</v>
      </c>
      <c r="AA54" s="39" t="s">
        <v>1126</v>
      </c>
      <c r="AB54" s="38" t="s">
        <v>336</v>
      </c>
      <c r="AC54" s="38" t="s">
        <v>337</v>
      </c>
      <c r="AD54" s="38" t="s">
        <v>338</v>
      </c>
      <c r="AE54" s="39" t="s">
        <v>339</v>
      </c>
      <c r="AM54" s="42" t="s">
        <v>1112</v>
      </c>
      <c r="AN54" s="42" t="str">
        <f aca="false">INDEX(TaskStandardTable[分类],MATCH($AM54,TaskStandardTable[工作类型ID],0))</f>
        <v>测试与验证</v>
      </c>
      <c r="AO54" s="43" t="str">
        <f aca="false">INDEX(TaskStandardTable[工作类型名称],MATCH($AM54,TaskStandardTable[工作类型ID],0))</f>
        <v>兼容性与无障碍验证</v>
      </c>
      <c r="AP54" s="42" t="str">
        <f aca="false">INDEX(TaskStandardTable[计量单位],MATCH($AM54,TaskStandardTable[工作类型ID],0))</f>
        <v>每个目标标准下的环境组合</v>
      </c>
      <c r="AQ54" s="44" t="n">
        <f aca="false">IF(INDEX(TaskStandardTable[新建适用],MATCH($AM54,TaskStandardTable[工作类型ID],0)),INDEX(TaskStandardTable[新建M档人天],MATCH($AM54,TaskStandardTable[工作类型ID],0)),"-")</f>
        <v>2</v>
      </c>
      <c r="AR54" s="44" t="n">
        <f aca="false">IF(INDEX(TaskStandardTable[调整适用],MATCH($AM54,TaskStandardTable[工作类型ID],0)),INDEX(TaskStandardTable[调整M档人天],MATCH($AM54,TaskStandardTable[工作类型ID],0)),"-")</f>
        <v>1.5</v>
      </c>
      <c r="AS54" s="44" t="str">
        <f aca="false">IF(INDEX(TaskStandardTable[接入复用适用],MATCH($AM54,TaskStandardTable[工作类型ID],0)),INDEX(TaskStandardTable[接入复用M档人天],MATCH($AM54,TaskStandardTable[工作类型ID],0)),"-")</f>
        <v>-</v>
      </c>
      <c r="AT54" s="42" t="str">
        <f aca="false">INDEX(TaskStandardTable[标准交付物],MATCH($AM54,TaskStandardTable[工作类型ID],0))</f>
        <v>可版本化的验证矩阵、执行资产及差异结论</v>
      </c>
      <c r="AU54" s="42" t="str">
        <f aca="false">IF(INDEX(TaskStandardTable[新建适用],MATCH($AM54,TaskStandardTable[工作类型ID],0)),"新建："&amp;INDEX(TaskStandardTable[新建完成标准],MATCH($AM54,TaskStandardTable[工作类型ID],0)),"")&amp;IF(INDEX(TaskStandardTable[调整适用],MATCH($AM54,TaskStandardTable[工作类型ID],0)),IF(OR(INDEX(TaskStandardTable[新建适用],MATCH($AM54,TaskStandardTable[工作类型ID],0))),CHAR(10),"")&amp;"调整："&amp;INDEX(TaskStandardTable[调整完成标准],MATCH($AM54,TaskStandardTable[工作类型ID],0)),"")&amp;IF(INDEX(TaskStandardTable[接入复用适用],MATCH($AM54,TaskStandardTable[工作类型ID],0)),IF(OR(INDEX(TaskStandardTable[新建适用],MATCH($AM54,TaskStandardTable[工作类型ID],0)),INDEX(TaskStandardTable[调整适用],MATCH($AM54,TaskStandardTable[工作类型ID],0))),CHAR(10),"")&amp;"接入复用："&amp;INDEX(TaskStandardTable[接入复用完成标准],MATCH($AM54,TaskStandardTable[工作类型ID],0)),"")</f>
        <v>新建：形成新的环境/辅助技术矩阵、步骤和判据，执行并通过验收。
调整：改变既有验证资产，执行受影响范围并完成验证。</v>
      </c>
      <c r="AV54" s="42" t="str">
        <f aca="false">INDEX(TaskStandardTable[说明],MATCH($AM54,TaskStandardTable[工作类型ID],0))</f>
        <v>资产未变化的重复执行不单列；必须登记实际执行矩阵单元和抽样覆盖，不能用隐含笛卡尔积放大范围。</v>
      </c>
      <c r="AW54" s="42" t="str">
        <f aca="false">INDEX(TaskStandardTable[主要计量维度],MATCH($AM54,TaskStandardTable[工作类型ID],0))</f>
        <v>实际执行矩阵单元、环境组合、Locale/书写方向、页面/流程、辅助技术</v>
      </c>
      <c r="AX54" s="42" t="str">
        <f aca="false">INDEX(TaskStandardTable[S标准],MATCH($AM54,TaskStandardTable[工作类型ID],0))</f>
        <v>≤12 个实际执行矩阵单元；≤4 个浏览器×OS×设备组合；≤3 个页面/模式；单一 Locale/书写方向；基础键盘/语义检查</v>
      </c>
      <c r="AY54" s="42" t="str">
        <f aca="false">INDEX(TaskStandardTable[M标准],MATCH($AM54,TaskStandardTable[工作类型ID],0))</f>
        <v>13～40 个实际执行矩阵单元；5～12 个环境组合；4～10 个页面/模式；2～4 个 Locale；含读屏、响应式、焦点和 WCAG 2.x AA 检查</v>
      </c>
      <c r="AZ54" s="42" t="str">
        <f aca="false">INDEX(TaskStandardTable[L标准],MATCH($AM54,TaskStandardTable[工作类型ID],0))</f>
        <v>41～80 个实际执行矩阵单元、13～24 个环境组合、11～20 个页面/模式或 5～8 个 Locale；涉及RTL 验证、复合控件焦点状态机验证，或受监管证据</v>
      </c>
      <c r="BA54" s="42" t="str">
        <f aca="false">INDEX(TaskStandardTable[X/拆分条件],MATCH($AM54,TaskStandardTable[工作类型ID],0))</f>
        <v>实际执行矩阵单元 &gt;80、环境组合 &gt;24、页面/模式 &gt;20、Locale &gt;8，包含多个独立产品/平台矩阵或不同符合标准，或未给出唯一矩阵单元清单、抽样规则和目标覆盖</v>
      </c>
      <c r="BB54" s="42" t="str">
        <f aca="false">INDEX(TaskStandardTable[模式适用说明],MATCH($AM54,TaskStandardTable[工作类型ID],0))</f>
        <v>“实际执行矩阵单元”是一次被执行并保存结果的唯一 (环境组合, 页面/模式, Locale/书写方向, 辅助技术/规则集)；并非各维度上限的隐含笛卡尔积。新建看完整新验证资产；调整只看矩阵和判据变化及必要回归；资产未变化的重复执行不计</v>
      </c>
    </row>
    <row r="55" customFormat="false" ht="66" hidden="false" customHeight="true" outlineLevel="0" collapsed="false">
      <c r="A55" s="32" t="n">
        <v>51</v>
      </c>
      <c r="B55" s="29" t="s">
        <v>1007</v>
      </c>
      <c r="C55" s="32" t="s">
        <v>1127</v>
      </c>
      <c r="D55" s="29" t="s">
        <v>1128</v>
      </c>
      <c r="E55" s="29" t="s">
        <v>1009</v>
      </c>
      <c r="F55" s="29" t="s">
        <v>1129</v>
      </c>
      <c r="G55" s="29" t="s">
        <v>1130</v>
      </c>
      <c r="H55" s="29" t="s">
        <v>1131</v>
      </c>
      <c r="I55" s="29" t="s">
        <v>1132</v>
      </c>
      <c r="J55" s="30" t="b">
        <f aca="false">TRUE()</f>
        <v>1</v>
      </c>
      <c r="K55" s="31" t="n">
        <v>1.5</v>
      </c>
      <c r="L55" s="29" t="s">
        <v>1133</v>
      </c>
      <c r="M55" s="30" t="b">
        <f aca="false">TRUE()</f>
        <v>1</v>
      </c>
      <c r="N55" s="31" t="n">
        <v>1</v>
      </c>
      <c r="O55" s="29" t="s">
        <v>1134</v>
      </c>
      <c r="P55" s="30" t="b">
        <f aca="false">FALSE()</f>
        <v>0</v>
      </c>
      <c r="Q55" s="31"/>
      <c r="R55" s="29"/>
      <c r="S55" s="29" t="s">
        <v>1135</v>
      </c>
      <c r="T55" s="29" t="s">
        <v>1136</v>
      </c>
      <c r="U55" s="29" t="s">
        <v>1137</v>
      </c>
      <c r="V55" s="29" t="s">
        <v>1138</v>
      </c>
      <c r="W55" s="29" t="s">
        <v>1139</v>
      </c>
      <c r="X55" s="29" t="s">
        <v>1140</v>
      </c>
      <c r="Y55" s="29"/>
      <c r="Z55" s="29" t="s">
        <v>334</v>
      </c>
      <c r="AA55" s="29" t="s">
        <v>1141</v>
      </c>
      <c r="AB55" s="32" t="s">
        <v>336</v>
      </c>
      <c r="AC55" s="32" t="s">
        <v>337</v>
      </c>
      <c r="AD55" s="32" t="s">
        <v>338</v>
      </c>
      <c r="AE55" s="29" t="s">
        <v>339</v>
      </c>
      <c r="AM55" s="34" t="s">
        <v>1127</v>
      </c>
      <c r="AN55" s="34" t="str">
        <f aca="false">INDEX(TaskStandardTable[分类],MATCH($AM55,TaskStandardTable[工作类型ID],0))</f>
        <v>测试与验证</v>
      </c>
      <c r="AO55" s="35" t="str">
        <f aca="false">INDEX(TaskStandardTable[工作类型名称],MATCH($AM55,TaskStandardTable[工作类型ID],0))</f>
        <v>集成联调与端到端技术验证</v>
      </c>
      <c r="AP55" s="34" t="str">
        <f aca="false">INDEX(TaskStandardTable[计量单位],MATCH($AM55,TaskStandardTable[工作类型ID],0))</f>
        <v>每个业务场景</v>
      </c>
      <c r="AQ55" s="36" t="n">
        <f aca="false">IF(INDEX(TaskStandardTable[新建适用],MATCH($AM55,TaskStandardTable[工作类型ID],0)),INDEX(TaskStandardTable[新建M档人天],MATCH($AM55,TaskStandardTable[工作类型ID],0)),"-")</f>
        <v>1.5</v>
      </c>
      <c r="AR55" s="36" t="n">
        <f aca="false">IF(INDEX(TaskStandardTable[调整适用],MATCH($AM55,TaskStandardTable[工作类型ID],0)),INDEX(TaskStandardTable[调整M档人天],MATCH($AM55,TaskStandardTable[工作类型ID],0)),"-")</f>
        <v>1</v>
      </c>
      <c r="AS55" s="36" t="str">
        <f aca="false">IF(INDEX(TaskStandardTable[接入复用适用],MATCH($AM55,TaskStandardTable[工作类型ID],0)),INDEX(TaskStandardTable[接入复用M档人天],MATCH($AM55,TaskStandardTable[工作类型ID],0)),"-")</f>
        <v>-</v>
      </c>
      <c r="AT55" s="34" t="str">
        <f aca="false">INDEX(TaskStandardTable[标准交付物],MATCH($AM55,TaskStandardTable[工作类型ID],0))</f>
        <v>可版本化的联调方案、数据、步骤、证据及结论</v>
      </c>
      <c r="AU55" s="34" t="str">
        <f aca="false">IF(INDEX(TaskStandardTable[新建适用],MATCH($AM55,TaskStandardTable[工作类型ID],0)),"新建："&amp;INDEX(TaskStandardTable[新建完成标准],MATCH($AM55,TaskStandardTable[工作类型ID],0)),"")&amp;IF(INDEX(TaskStandardTable[调整适用],MATCH($AM55,TaskStandardTable[工作类型ID],0)),IF(OR(INDEX(TaskStandardTable[新建适用],MATCH($AM55,TaskStandardTable[工作类型ID],0))),CHAR(10),"")&amp;"调整："&amp;INDEX(TaskStandardTable[调整完成标准],MATCH($AM55,TaskStandardTable[工作类型ID],0)),"")&amp;IF(INDEX(TaskStandardTable[接入复用适用],MATCH($AM55,TaskStandardTable[工作类型ID],0)),IF(OR(INDEX(TaskStandardTable[新建适用],MATCH($AM55,TaskStandardTable[工作类型ID],0)),INDEX(TaskStandardTable[调整适用],MATCH($AM55,TaskStandardTable[工作类型ID],0))),CHAR(10),"")&amp;"接入复用："&amp;INDEX(TaskStandardTable[接入复用完成标准],MATCH($AM55,TaskStandardTable[工作类型ID],0)),"")</f>
        <v>新建：形成新的联调方案、数据、步骤和判据，执行并通过验收。
调整：改变既有联调资产，执行受影响范围并完成验证。</v>
      </c>
      <c r="AV55" s="34" t="str">
        <f aca="false">INDEX(TaskStandardTable[说明],MATCH($AM55,TaskStandardTable[工作类型ID],0))</f>
        <v>普通基本联调包含在开发 Task 中；资产未变化的重复联调不单列。</v>
      </c>
      <c r="AW55" s="34" t="str">
        <f aca="false">INDEX(TaskStandardTable[主要计量维度],MATCH($AM55,TaskStandardTable[工作类型ID],0))</f>
        <v>系统、步骤、路径、环境/数据依赖</v>
      </c>
      <c r="AX55" s="34" t="str">
        <f aca="false">INDEX(TaskStandardTable[S标准],MATCH($AM55,TaskStandardTable[工作类型ID],0))</f>
        <v>2 个系统；≤5 个步骤；单一路径；稳定环境和固定数据</v>
      </c>
      <c r="AY55" s="34" t="str">
        <f aca="false">INDEX(TaskStandardTable[M标准],MATCH($AM55,TaskStandardTable[工作类型ID],0))</f>
        <v>3 个系统或 6～12 个步骤；2～4 条路径；需动态数据、异步等待和跨团队排期</v>
      </c>
      <c r="AZ55" s="34" t="str">
        <f aca="false">INDEX(TaskStandardTable[L标准],MATCH($AM55,TaskStandardTable[工作类型ID],0))</f>
        <v>4～6 个紧密协同系统、13～24 个步骤或 5～8 条路径；涉及跨系统关联结果核对，或受限外部环境、非标准恢复或回滚、受监管证据、多方联合交付</v>
      </c>
      <c r="BA55" s="34" t="str">
        <f aca="false">INDEX(TaskStandardTable[X/拆分条件],MATCH($AM55,TaskStandardTable[工作类型ID],0))</f>
        <v>系统 &gt;6、步骤 &gt;24、路径 &gt;8，或少于 2 个系统，包含多个独立 Integration/业务场景，或环境、责任方、数据和预期未明确</v>
      </c>
      <c r="BB55" s="34" t="str">
        <f aca="false">INDEX(TaskStandardTable[模式适用说明],MATCH($AM55,TaskStandardTable[工作类型ID],0))</f>
        <v>新建看完整新联调资产；调整只看资产变化、受影响执行和必要回归；资产未变化的重复联调不计</v>
      </c>
    </row>
    <row r="56" customFormat="false" ht="96" hidden="false" customHeight="true" outlineLevel="0" collapsed="false">
      <c r="A56" s="38" t="n">
        <v>52</v>
      </c>
      <c r="B56" s="39" t="s">
        <v>1142</v>
      </c>
      <c r="C56" s="38" t="s">
        <v>1143</v>
      </c>
      <c r="D56" s="39" t="s">
        <v>1144</v>
      </c>
      <c r="E56" s="39" t="s">
        <v>1145</v>
      </c>
      <c r="F56" s="39" t="s">
        <v>1146</v>
      </c>
      <c r="G56" s="39" t="s">
        <v>1147</v>
      </c>
      <c r="H56" s="39" t="s">
        <v>1148</v>
      </c>
      <c r="I56" s="39" t="s">
        <v>1149</v>
      </c>
      <c r="J56" s="40" t="b">
        <f aca="false">TRUE()</f>
        <v>1</v>
      </c>
      <c r="K56" s="41" t="n">
        <v>2</v>
      </c>
      <c r="L56" s="39" t="s">
        <v>1150</v>
      </c>
      <c r="M56" s="40" t="b">
        <f aca="false">TRUE()</f>
        <v>1</v>
      </c>
      <c r="N56" s="41" t="n">
        <v>1</v>
      </c>
      <c r="O56" s="39" t="s">
        <v>1151</v>
      </c>
      <c r="P56" s="40" t="b">
        <f aca="false">TRUE()</f>
        <v>1</v>
      </c>
      <c r="Q56" s="41" t="n">
        <v>1</v>
      </c>
      <c r="R56" s="39" t="s">
        <v>1152</v>
      </c>
      <c r="S56" s="39" t="s">
        <v>1153</v>
      </c>
      <c r="T56" s="39" t="s">
        <v>1154</v>
      </c>
      <c r="U56" s="39" t="s">
        <v>1155</v>
      </c>
      <c r="V56" s="39" t="s">
        <v>1156</v>
      </c>
      <c r="W56" s="39" t="s">
        <v>1157</v>
      </c>
      <c r="X56" s="39" t="s">
        <v>1158</v>
      </c>
      <c r="Y56" s="39"/>
      <c r="Z56" s="39" t="s">
        <v>334</v>
      </c>
      <c r="AA56" s="39" t="s">
        <v>374</v>
      </c>
      <c r="AB56" s="38" t="s">
        <v>336</v>
      </c>
      <c r="AC56" s="38" t="s">
        <v>337</v>
      </c>
      <c r="AD56" s="38" t="s">
        <v>338</v>
      </c>
      <c r="AE56" s="39" t="s">
        <v>339</v>
      </c>
      <c r="AM56" s="42" t="s">
        <v>1143</v>
      </c>
      <c r="AN56" s="42" t="str">
        <f aca="false">INDEX(TaskStandardTable[分类],MATCH($AM56,TaskStandardTable[工作类型ID],0))</f>
        <v>工程化</v>
      </c>
      <c r="AO56" s="43" t="str">
        <f aca="false">INDEX(TaskStandardTable[工作类型名称],MATCH($AM56,TaskStandardTable[工作类型ID],0))</f>
        <v>应用工程初始化与开发规范接入</v>
      </c>
      <c r="AP56" s="42" t="str">
        <f aca="false">INDEX(TaskStandardTable[计量单位],MATCH($AM56,TaskStandardTable[工作类型ID],0))</f>
        <v>每个可独立构建的代码库</v>
      </c>
      <c r="AQ56" s="44" t="n">
        <f aca="false">IF(INDEX(TaskStandardTable[新建适用],MATCH($AM56,TaskStandardTable[工作类型ID],0)),INDEX(TaskStandardTable[新建M档人天],MATCH($AM56,TaskStandardTable[工作类型ID],0)),"-")</f>
        <v>2</v>
      </c>
      <c r="AR56" s="44" t="n">
        <f aca="false">IF(INDEX(TaskStandardTable[调整适用],MATCH($AM56,TaskStandardTable[工作类型ID],0)),INDEX(TaskStandardTable[调整M档人天],MATCH($AM56,TaskStandardTable[工作类型ID],0)),"-")</f>
        <v>1</v>
      </c>
      <c r="AS56" s="44" t="n">
        <f aca="false">IF(INDEX(TaskStandardTable[接入复用适用],MATCH($AM56,TaskStandardTable[工作类型ID],0)),INDEX(TaskStandardTable[接入复用M档人天],MATCH($AM56,TaskStandardTable[工作类型ID],0)),"-")</f>
        <v>1</v>
      </c>
      <c r="AT56" s="42" t="str">
        <f aca="false">INDEX(TaskStandardTable[标准交付物],MATCH($AM56,TaskStandardTable[工作类型ID],0))</f>
        <v>可开发、可构建并通过基础质量门禁的工程</v>
      </c>
      <c r="AU56" s="42" t="str">
        <f aca="false">IF(INDEX(TaskStandardTable[新建适用],MATCH($AM56,TaskStandardTable[工作类型ID],0)),"新建："&amp;INDEX(TaskStandardTable[新建完成标准],MATCH($AM56,TaskStandardTable[工作类型ID],0)),"")&amp;IF(INDEX(TaskStandardTable[调整适用],MATCH($AM56,TaskStandardTable[工作类型ID],0)),IF(OR(INDEX(TaskStandardTable[新建适用],MATCH($AM56,TaskStandardTable[工作类型ID],0))),CHAR(10),"")&amp;"调整："&amp;INDEX(TaskStandardTable[调整完成标准],MATCH($AM56,TaskStandardTable[工作类型ID],0)),"")&amp;IF(INDEX(TaskStandardTable[接入复用适用],MATCH($AM56,TaskStandardTable[工作类型ID],0)),IF(OR(INDEX(TaskStandardTable[新建适用],MATCH($AM56,TaskStandardTable[工作类型ID],0)),INDEX(TaskStandardTable[调整适用],MATCH($AM56,TaskStandardTable[工作类型ID],0))),CHAR(10),"")&amp;"接入复用："&amp;INDEX(TaskStandardTable[接入复用完成标准],MATCH($AM56,TaskStandardTable[工作类型ID],0)),"")</f>
        <v>新建：形成“可开发、可构建并通过基础质量门禁的工程”并通过约定验收。
调整：完成“可开发、可构建并通过基础质量门禁的工程”的目标变更和影响核验，并按交付对象性质通过评审、复核、演练或回归验证。
接入复用：既有工程模板不变，项目代码库实例化、参数配置和质量门禁验证完成。</v>
      </c>
      <c r="AV56" s="42" t="str">
        <f aca="false">INDEX(TaskStandardTable[说明],MATCH($AM56,TaskStandardTable[工作类型ID],0))</f>
        <v>不包含 CI/CD。</v>
      </c>
      <c r="AW56" s="42" t="str">
        <f aca="false">INDEX(TaskStandardTable[主要计量维度],MATCH($AM56,TaskStandardTable[工作类型ID],0))</f>
        <v>模块、技术语言、工程规则、质量门禁</v>
      </c>
      <c r="AX56" s="42" t="str">
        <f aca="false">INDEX(TaskStandardTable[S标准],MATCH($AM56,TaskStandardTable[工作类型ID],0))</f>
        <v>单仓库单模块；1 种语言；≤3 类基础门禁；使用标准模板</v>
      </c>
      <c r="AY56" s="42" t="str">
        <f aca="false">INDEX(TaskStandardTable[M标准],MATCH($AM56,TaskStandardTable[工作类型ID],0))</f>
        <v>单仓库 2～5 个模块；1 种语言但模块或门禁超过 S，或 2 种语言；4～8 类门禁；含自定义目录和多环境配置</v>
      </c>
      <c r="AZ56" s="42" t="str">
        <f aca="false">INDEX(TaskStandardTable[L标准],MATCH($AM56,TaskStandardTable[工作类型ID],0))</f>
        <v>单仓库 6～10 个紧密相关模块、3～4 种语言或 9～16 类门禁；涉及项目专用代码生成器、项目专用质量门禁执行器，或高敏感数据或权限控制、受监管证据、严格向后兼容</v>
      </c>
      <c r="BA56" s="42" t="str">
        <f aca="false">INDEX(TaskStandardTable[X/拆分条件],MATCH($AM56,TaskStandardTable[工作类型ID],0))</f>
        <v>模块 &gt;10、语言 &gt;4、门禁 &gt;16，包含多个独立应用/代码库，或要建设组织级工程模板能力</v>
      </c>
      <c r="BB56" s="42" t="str">
        <f aca="false">INDEX(TaskStandardTable[模式适用说明],MATCH($AM56,TaskStandardTable[工作类型ID],0))</f>
        <v>调整只看现有工程结构/规范变化；接入复用只看模板实例化、项目参数和门禁验证</v>
      </c>
    </row>
    <row r="57" customFormat="false" ht="66" hidden="false" customHeight="true" outlineLevel="0" collapsed="false">
      <c r="A57" s="32" t="n">
        <v>53</v>
      </c>
      <c r="B57" s="29" t="s">
        <v>1142</v>
      </c>
      <c r="C57" s="32" t="s">
        <v>1159</v>
      </c>
      <c r="D57" s="29" t="s">
        <v>1160</v>
      </c>
      <c r="E57" s="29" t="s">
        <v>1161</v>
      </c>
      <c r="F57" s="29" t="s">
        <v>1162</v>
      </c>
      <c r="G57" s="29" t="s">
        <v>1163</v>
      </c>
      <c r="H57" s="29" t="s">
        <v>1164</v>
      </c>
      <c r="I57" s="29" t="s">
        <v>1165</v>
      </c>
      <c r="J57" s="30" t="b">
        <f aca="false">FALSE()</f>
        <v>0</v>
      </c>
      <c r="K57" s="31"/>
      <c r="L57" s="29"/>
      <c r="M57" s="30" t="b">
        <f aca="false">TRUE()</f>
        <v>1</v>
      </c>
      <c r="N57" s="31" t="n">
        <v>2.5</v>
      </c>
      <c r="O57" s="29" t="s">
        <v>1166</v>
      </c>
      <c r="P57" s="30" t="b">
        <f aca="false">FALSE()</f>
        <v>0</v>
      </c>
      <c r="Q57" s="31"/>
      <c r="R57" s="29"/>
      <c r="S57" s="29" t="s">
        <v>1167</v>
      </c>
      <c r="T57" s="29" t="s">
        <v>1168</v>
      </c>
      <c r="U57" s="29" t="s">
        <v>1169</v>
      </c>
      <c r="V57" s="29" t="s">
        <v>1170</v>
      </c>
      <c r="W57" s="29" t="s">
        <v>1171</v>
      </c>
      <c r="X57" s="29" t="s">
        <v>1172</v>
      </c>
      <c r="Y57" s="29"/>
      <c r="Z57" s="29" t="s">
        <v>334</v>
      </c>
      <c r="AA57" s="29" t="s">
        <v>374</v>
      </c>
      <c r="AB57" s="32" t="s">
        <v>336</v>
      </c>
      <c r="AC57" s="32" t="s">
        <v>337</v>
      </c>
      <c r="AD57" s="32" t="s">
        <v>338</v>
      </c>
      <c r="AE57" s="29" t="s">
        <v>339</v>
      </c>
      <c r="AM57" s="34" t="s">
        <v>1159</v>
      </c>
      <c r="AN57" s="34" t="str">
        <f aca="false">INDEX(TaskStandardTable[分类],MATCH($AM57,TaskStandardTable[工作类型ID],0))</f>
        <v>工程化</v>
      </c>
      <c r="AO57" s="35" t="str">
        <f aca="false">INDEX(TaskStandardTable[工作类型名称],MATCH($AM57,TaskStandardTable[工作类型ID],0))</f>
        <v>应用技术栈与依赖升级</v>
      </c>
      <c r="AP57" s="34" t="str">
        <f aca="false">INDEX(TaskStandardTable[计量单位],MATCH($AM57,TaskStandardTable[工作类型ID],0))</f>
        <v>每个应用的独立技术栈升级范围</v>
      </c>
      <c r="AQ57" s="36" t="str">
        <f aca="false">IF(INDEX(TaskStandardTable[新建适用],MATCH($AM57,TaskStandardTable[工作类型ID],0)),INDEX(TaskStandardTable[新建M档人天],MATCH($AM57,TaskStandardTable[工作类型ID],0)),"-")</f>
        <v>-</v>
      </c>
      <c r="AR57" s="36" t="n">
        <f aca="false">IF(INDEX(TaskStandardTable[调整适用],MATCH($AM57,TaskStandardTable[工作类型ID],0)),INDEX(TaskStandardTable[调整M档人天],MATCH($AM57,TaskStandardTable[工作类型ID],0)),"-")</f>
        <v>2.5</v>
      </c>
      <c r="AS57" s="36" t="str">
        <f aca="false">IF(INDEX(TaskStandardTable[接入复用适用],MATCH($AM57,TaskStandardTable[工作类型ID],0)),INDEX(TaskStandardTable[接入复用M档人天],MATCH($AM57,TaskStandardTable[工作类型ID],0)),"-")</f>
        <v>-</v>
      </c>
      <c r="AT57" s="34" t="str">
        <f aca="false">INDEX(TaskStandardTable[标准交付物],MATCH($AM57,TaskStandardTable[工作类型ID],0))</f>
        <v>既有应用的运行时、框架与依赖版本基线</v>
      </c>
      <c r="AU57" s="34" t="str">
        <f aca="false">IF(INDEX(TaskStandardTable[新建适用],MATCH($AM57,TaskStandardTable[工作类型ID],0)),"新建："&amp;INDEX(TaskStandardTable[新建完成标准],MATCH($AM57,TaskStandardTable[工作类型ID],0)),"")&amp;IF(INDEX(TaskStandardTable[调整适用],MATCH($AM57,TaskStandardTable[工作类型ID],0)),IF(OR(INDEX(TaskStandardTable[新建适用],MATCH($AM57,TaskStandardTable[工作类型ID],0))),CHAR(10),"")&amp;"调整："&amp;INDEX(TaskStandardTable[调整完成标准],MATCH($AM57,TaskStandardTable[工作类型ID],0)),"")&amp;IF(INDEX(TaskStandardTable[接入复用适用],MATCH($AM57,TaskStandardTable[工作类型ID],0)),IF(OR(INDEX(TaskStandardTable[新建适用],MATCH($AM57,TaskStandardTable[工作类型ID],0)),INDEX(TaskStandardTable[调整适用],MATCH($AM57,TaskStandardTable[工作类型ID],0))),CHAR(10),"")&amp;"接入复用："&amp;INDEX(TaskStandardTable[接入复用完成标准],MATCH($AM57,TaskStandardTable[工作类型ID],0)),"")</f>
        <v>调整：将既有版本基线升级到批准目标，完成必要的代码/配置迁移、兼容修正、构建运行验证和受影响回归。</v>
      </c>
      <c r="AV57" s="34" t="str">
        <f aca="false">INDEX(TaskStandardTable[说明],MATCH($AM57,TaskStandardTable[工作类型ID],0))</f>
        <v>本类型只修改既有技术栈基线；从无到有使用工程初始化。普通补丁升级可用简单复杂度。</v>
      </c>
      <c r="AW57" s="34" t="str">
        <f aca="false">INDEX(TaskStandardTable[主要计量维度],MATCH($AM57,TaskStandardTable[工作类型ID],0))</f>
        <v>依赖/框架、版本跨度、模块、破坏性变化</v>
      </c>
      <c r="AX57" s="34" t="str">
        <f aca="false">INDEX(TaskStandardTable[S标准],MATCH($AM57,TaskStandardTable[工作类型ID],0))</f>
        <v>≤3 个依赖的补丁/次版本；单模块；无破坏性 API 变化</v>
      </c>
      <c r="AY57" s="34" t="str">
        <f aca="false">INDEX(TaskStandardTable[M标准],MATCH($AM57,TaskStandardTable[工作类型ID],0))</f>
        <v>4～10 个相关依赖或 1 个主要框架大版本；2～5 个模块；有限迁移和回归</v>
      </c>
      <c r="AZ57" s="34" t="str">
        <f aca="false">INDEX(TaskStandardTable[L标准],MATCH($AM57,TaskStandardTable[工作类型ID],0))</f>
        <v>11～20 个相关依赖、跨越 ≥2 个主要版本边界或 6～10 个紧密相关模块；涉及持久数据/配置格式迁移，或严格向后兼容</v>
      </c>
      <c r="BA57" s="34" t="str">
        <f aca="false">INDEX(TaskStandardTable[X/拆分条件],MATCH($AM57,TaskStandardTable[工作类型ID],0))</f>
        <v>依赖 &gt;20、跨越的主要版本边界无法确定、模块 &gt;10，包含多个独立应用/技术栈，或目标版本、兼容矩阵和回退路径未明确</v>
      </c>
      <c r="BB57" s="34" t="str">
        <f aca="false">INDEX(TaskStandardTable[模式适用说明],MATCH($AM57,TaskStandardTable[工作类型ID],0))</f>
        <v>仅调整；复杂度只看升级范围、破坏性变化和必要回归，不看整个应用规模</v>
      </c>
    </row>
    <row r="58" customFormat="false" ht="66" hidden="false" customHeight="true" outlineLevel="0" collapsed="false">
      <c r="A58" s="38" t="n">
        <v>54</v>
      </c>
      <c r="B58" s="39" t="s">
        <v>1142</v>
      </c>
      <c r="C58" s="38" t="s">
        <v>1173</v>
      </c>
      <c r="D58" s="39" t="s">
        <v>1174</v>
      </c>
      <c r="E58" s="39" t="s">
        <v>1175</v>
      </c>
      <c r="F58" s="39" t="s">
        <v>1176</v>
      </c>
      <c r="G58" s="39" t="s">
        <v>1177</v>
      </c>
      <c r="H58" s="39" t="s">
        <v>1178</v>
      </c>
      <c r="I58" s="39" t="s">
        <v>1179</v>
      </c>
      <c r="J58" s="40" t="b">
        <f aca="false">FALSE()</f>
        <v>0</v>
      </c>
      <c r="K58" s="41"/>
      <c r="L58" s="39"/>
      <c r="M58" s="40" t="b">
        <f aca="false">TRUE()</f>
        <v>1</v>
      </c>
      <c r="N58" s="41" t="n">
        <v>2.5</v>
      </c>
      <c r="O58" s="39" t="s">
        <v>1180</v>
      </c>
      <c r="P58" s="40" t="b">
        <f aca="false">FALSE()</f>
        <v>0</v>
      </c>
      <c r="Q58" s="41"/>
      <c r="R58" s="39"/>
      <c r="S58" s="39" t="s">
        <v>1181</v>
      </c>
      <c r="T58" s="39" t="s">
        <v>1182</v>
      </c>
      <c r="U58" s="39" t="s">
        <v>1183</v>
      </c>
      <c r="V58" s="39" t="s">
        <v>1184</v>
      </c>
      <c r="W58" s="39" t="s">
        <v>1185</v>
      </c>
      <c r="X58" s="39" t="s">
        <v>1186</v>
      </c>
      <c r="Y58" s="39"/>
      <c r="Z58" s="39" t="s">
        <v>334</v>
      </c>
      <c r="AA58" s="39" t="s">
        <v>1187</v>
      </c>
      <c r="AB58" s="38" t="s">
        <v>336</v>
      </c>
      <c r="AC58" s="38" t="s">
        <v>337</v>
      </c>
      <c r="AD58" s="38" t="s">
        <v>338</v>
      </c>
      <c r="AE58" s="39" t="s">
        <v>339</v>
      </c>
      <c r="AM58" s="42" t="s">
        <v>1173</v>
      </c>
      <c r="AN58" s="42" t="str">
        <f aca="false">INDEX(TaskStandardTable[分类],MATCH($AM58,TaskStandardTable[工作类型ID],0))</f>
        <v>工程化</v>
      </c>
      <c r="AO58" s="43" t="str">
        <f aca="false">INDEX(TaskStandardTable[工作类型名称],MATCH($AM58,TaskStandardTable[工作类型ID],0))</f>
        <v>技术债治理与结构性重构</v>
      </c>
      <c r="AP58" s="42" t="str">
        <f aca="false">INDEX(TaskStandardTable[计量单位],MATCH($AM58,TaskStandardTable[工作类型ID],0))</f>
        <v>每个独立结构性重构范围</v>
      </c>
      <c r="AQ58" s="44" t="str">
        <f aca="false">IF(INDEX(TaskStandardTable[新建适用],MATCH($AM58,TaskStandardTable[工作类型ID],0)),INDEX(TaskStandardTable[新建M档人天],MATCH($AM58,TaskStandardTable[工作类型ID],0)),"-")</f>
        <v>-</v>
      </c>
      <c r="AR58" s="44" t="n">
        <f aca="false">IF(INDEX(TaskStandardTable[调整适用],MATCH($AM58,TaskStandardTable[工作类型ID],0)),INDEX(TaskStandardTable[调整M档人天],MATCH($AM58,TaskStandardTable[工作类型ID],0)),"-")</f>
        <v>2.5</v>
      </c>
      <c r="AS58" s="44" t="str">
        <f aca="false">IF(INDEX(TaskStandardTable[接入复用适用],MATCH($AM58,TaskStandardTable[工作类型ID],0)),INDEX(TaskStandardTable[接入复用M档人天],MATCH($AM58,TaskStandardTable[工作类型ID],0)),"-")</f>
        <v>-</v>
      </c>
      <c r="AT58" s="42" t="str">
        <f aca="false">INDEX(TaskStandardTable[标准交付物],MATCH($AM58,TaskStandardTable[工作类型ID],0))</f>
        <v>既有应用的内部结构、依赖关系与兼容契约</v>
      </c>
      <c r="AU58" s="42" t="str">
        <f aca="false">IF(INDEX(TaskStandardTable[新建适用],MATCH($AM58,TaskStandardTable[工作类型ID],0)),"新建："&amp;INDEX(TaskStandardTable[新建完成标准],MATCH($AM58,TaskStandardTable[工作类型ID],0)),"")&amp;IF(INDEX(TaskStandardTable[调整适用],MATCH($AM58,TaskStandardTable[工作类型ID],0)),IF(OR(INDEX(TaskStandardTable[新建适用],MATCH($AM58,TaskStandardTable[工作类型ID],0))),CHAR(10),"")&amp;"调整："&amp;INDEX(TaskStandardTable[调整完成标准],MATCH($AM58,TaskStandardTable[工作类型ID],0)),"")&amp;IF(INDEX(TaskStandardTable[接入复用适用],MATCH($AM58,TaskStandardTable[工作类型ID],0)),IF(OR(INDEX(TaskStandardTable[新建适用],MATCH($AM58,TaskStandardTable[工作类型ID],0)),INDEX(TaskStandardTable[调整适用],MATCH($AM58,TaskStandardTable[工作类型ID],0))),CHAR(10),"")&amp;"接入复用："&amp;INDEX(TaskStandardTable[接入复用完成标准],MATCH($AM58,TaskStandardTable[工作类型ID],0)),"")</f>
        <v>调整：按批准的结构或质量目标改变既有模块与依赖，并以契约检查和受影响回归证明应保持的业务行为兼容。</v>
      </c>
      <c r="AV58" s="42" t="str">
        <f aca="false">INDEX(TaskStandardTable[说明],MATCH($AM58,TaskStandardTable[工作类型ID],0))</f>
        <v>本类型只修改既有结构对象；普通代码整理和顺手重构包含在主 Task 中。</v>
      </c>
      <c r="AW58" s="42" t="str">
        <f aca="false">INDEX(TaskStandardTable[主要计量维度],MATCH($AM58,TaskStandardTable[工作类型ID],0))</f>
        <v>模块、依赖边、公开契约、行为兼容范围</v>
      </c>
      <c r="AX58" s="42" t="str">
        <f aca="false">INDEX(TaskStandardTable[S标准],MATCH($AM58,TaskStandardTable[工作类型ID],0))</f>
        <v>1 个模块；≤3 个内部依赖；不改公开契约；局部回归</v>
      </c>
      <c r="AY58" s="42" t="str">
        <f aca="false">INDEX(TaskStandardTable[M标准],MATCH($AM58,TaskStandardTable[工作类型ID],0))</f>
        <v>2～5 个紧密相关模块；4～10 个依赖；有限公开契约/数据结构调整；模块级回归</v>
      </c>
      <c r="AZ58" s="42" t="str">
        <f aca="false">INDEX(TaskStandardTable[L标准],MATCH($AM58,TaskStandardTable[工作类型ID],0))</f>
        <v>6～10 个紧密相关模块或 11～20 个依赖；涉及并发模型变更，或严格向后兼容</v>
      </c>
      <c r="BA58" s="42" t="str">
        <f aca="false">INDEX(TaskStandardTable[X/拆分条件],MATCH($AM58,TaskStandardTable[工作类型ID],0))</f>
        <v>模块 &gt;10、依赖 &gt;20，包含多个无关技术债主题，或目标质量指标、保持不变的行为和边界未明确</v>
      </c>
      <c r="BB58" s="42" t="str">
        <f aca="false">INDEX(TaskStandardTable[模式适用说明],MATCH($AM58,TaskStandardTable[工作类型ID],0))</f>
        <v>仅调整；复杂度只看重构变化、影响面和兼容证明；独立数据迁移按对应类型另计</v>
      </c>
    </row>
    <row r="59" customFormat="false" ht="82" hidden="false" customHeight="true" outlineLevel="0" collapsed="false">
      <c r="A59" s="32" t="n">
        <v>55</v>
      </c>
      <c r="B59" s="29" t="s">
        <v>1142</v>
      </c>
      <c r="C59" s="32" t="s">
        <v>1188</v>
      </c>
      <c r="D59" s="29" t="s">
        <v>197</v>
      </c>
      <c r="E59" s="29" t="s">
        <v>1189</v>
      </c>
      <c r="F59" s="29" t="s">
        <v>1190</v>
      </c>
      <c r="G59" s="29" t="s">
        <v>1191</v>
      </c>
      <c r="H59" s="29" t="s">
        <v>1192</v>
      </c>
      <c r="I59" s="29" t="s">
        <v>1193</v>
      </c>
      <c r="J59" s="30" t="b">
        <f aca="false">TRUE()</f>
        <v>1</v>
      </c>
      <c r="K59" s="31" t="n">
        <v>2.5</v>
      </c>
      <c r="L59" s="29" t="s">
        <v>1194</v>
      </c>
      <c r="M59" s="30" t="b">
        <f aca="false">TRUE()</f>
        <v>1</v>
      </c>
      <c r="N59" s="31" t="n">
        <v>1.5</v>
      </c>
      <c r="O59" s="29" t="s">
        <v>1195</v>
      </c>
      <c r="P59" s="30" t="b">
        <f aca="false">TRUE()</f>
        <v>1</v>
      </c>
      <c r="Q59" s="31" t="n">
        <v>1</v>
      </c>
      <c r="R59" s="29" t="s">
        <v>1196</v>
      </c>
      <c r="S59" s="29" t="s">
        <v>1197</v>
      </c>
      <c r="T59" s="29" t="s">
        <v>1198</v>
      </c>
      <c r="U59" s="29" t="s">
        <v>1199</v>
      </c>
      <c r="V59" s="29" t="s">
        <v>1200</v>
      </c>
      <c r="W59" s="29" t="s">
        <v>1201</v>
      </c>
      <c r="X59" s="29" t="s">
        <v>1202</v>
      </c>
      <c r="Y59" s="29" t="s">
        <v>1203</v>
      </c>
      <c r="Z59" s="29" t="s">
        <v>1204</v>
      </c>
      <c r="AA59" s="29" t="s">
        <v>374</v>
      </c>
      <c r="AB59" s="32" t="s">
        <v>336</v>
      </c>
      <c r="AC59" s="32" t="s">
        <v>337</v>
      </c>
      <c r="AD59" s="32" t="s">
        <v>338</v>
      </c>
      <c r="AE59" s="29" t="s">
        <v>339</v>
      </c>
      <c r="AM59" s="34" t="s">
        <v>1188</v>
      </c>
      <c r="AN59" s="34" t="str">
        <f aca="false">INDEX(TaskStandardTable[分类],MATCH($AM59,TaskStandardTable[工作类型ID],0))</f>
        <v>工程化</v>
      </c>
      <c r="AO59" s="35" t="str">
        <f aca="false">INDEX(TaskStandardTable[工作类型名称],MATCH($AM59,TaskStandardTable[工作类型ID],0))</f>
        <v>构建与发布自动化</v>
      </c>
      <c r="AP59" s="34" t="str">
        <f aca="false">INDEX(TaskStandardTable[计量单位],MATCH($AM59,TaskStandardTable[工作类型ID],0))</f>
        <v>每条可独立执行的应用流水线</v>
      </c>
      <c r="AQ59" s="36" t="n">
        <f aca="false">IF(INDEX(TaskStandardTable[新建适用],MATCH($AM59,TaskStandardTable[工作类型ID],0)),INDEX(TaskStandardTable[新建M档人天],MATCH($AM59,TaskStandardTable[工作类型ID],0)),"-")</f>
        <v>2.5</v>
      </c>
      <c r="AR59" s="36" t="n">
        <f aca="false">IF(INDEX(TaskStandardTable[调整适用],MATCH($AM59,TaskStandardTable[工作类型ID],0)),INDEX(TaskStandardTable[调整M档人天],MATCH($AM59,TaskStandardTable[工作类型ID],0)),"-")</f>
        <v>1.5</v>
      </c>
      <c r="AS59" s="36" t="n">
        <f aca="false">IF(INDEX(TaskStandardTable[接入复用适用],MATCH($AM59,TaskStandardTable[工作类型ID],0)),INDEX(TaskStandardTable[接入复用M档人天],MATCH($AM59,TaskStandardTable[工作类型ID],0)),"-")</f>
        <v>1</v>
      </c>
      <c r="AT59" s="34" t="str">
        <f aca="false">INDEX(TaskStandardTable[标准交付物],MATCH($AM59,TaskStandardTable[工作类型ID],0))</f>
        <v>构建、测试、制品、部署及发布流水线</v>
      </c>
      <c r="AU59" s="34" t="str">
        <f aca="false">IF(INDEX(TaskStandardTable[新建适用],MATCH($AM59,TaskStandardTable[工作类型ID],0)),"新建："&amp;INDEX(TaskStandardTable[新建完成标准],MATCH($AM59,TaskStandardTable[工作类型ID],0)),"")&amp;IF(INDEX(TaskStandardTable[调整适用],MATCH($AM59,TaskStandardTable[工作类型ID],0)),IF(OR(INDEX(TaskStandardTable[新建适用],MATCH($AM59,TaskStandardTable[工作类型ID],0))),CHAR(10),"")&amp;"调整："&amp;INDEX(TaskStandardTable[调整完成标准],MATCH($AM59,TaskStandardTable[工作类型ID],0)),"")&amp;IF(INDEX(TaskStandardTable[接入复用适用],MATCH($AM59,TaskStandardTable[工作类型ID],0)),IF(OR(INDEX(TaskStandardTable[新建适用],MATCH($AM59,TaskStandardTable[工作类型ID],0)),INDEX(TaskStandardTable[调整适用],MATCH($AM59,TaskStandardTable[工作类型ID],0))),CHAR(10),"")&amp;"接入复用："&amp;INDEX(TaskStandardTable[接入复用完成标准],MATCH($AM59,TaskStandardTable[工作类型ID],0)),"")</f>
        <v>新建：形成可独立执行、部署和回滚的应用流水线并通过约定验收。
调整：完成既有流水线阶段、制品、环境、门禁或发布策略的目标变更和回归验证。
接入复用：既有流水线模板不变，项目参数、制品、环境、审批和执行验证完成。</v>
      </c>
      <c r="AV59" s="34" t="str">
        <f aca="false">INDEX(TaskStandardTable[说明],MATCH($AM59,TaskStandardTable[工作类型ID],0))</f>
        <v>共享流水线平台或模板建设使用 ENG-PLATFORM；模板实例化到一个应用是该应用流水线的接入复用。</v>
      </c>
      <c r="AW59" s="34" t="str">
        <f aca="false">INDEX(TaskStandardTable[主要计量维度],MATCH($AM59,TaskStandardTable[工作类型ID],0))</f>
        <v>阶段、环境、制品、发布策略/门禁、构建矩阵</v>
      </c>
      <c r="AX59" s="34" t="str">
        <f aca="false">INDEX(TaskStandardTable[S标准],MATCH($AM59,TaskStandardTable[工作类型ID],0))</f>
        <v>≤4 个阶段；1～2 个环境；1 类制品；1 个构建矩阵项；标准构建部署</v>
      </c>
      <c r="AY59" s="34" t="str">
        <f aca="false">INDEX(TaskStandardTable[M标准],MATCH($AM59,TaskStandardTable[工作类型ID],0))</f>
        <v>5～8 个阶段；3～4 个环境；2～3 类制品；2～6 个构建矩阵项；含审批、密钥、缓存和质量门禁</v>
      </c>
      <c r="AZ59" s="34" t="str">
        <f aca="false">INDEX(TaskStandardTable[L标准],MATCH($AM59,TaskStandardTable[工作类型ID],0))</f>
        <v>9～16 个阶段、5～8 个环境、4～6 类制品或 7～12 个构建矩阵项；涉及蓝绿/金丝雀发布、自动回滚，或受监管证据</v>
      </c>
      <c r="BA59" s="34" t="str">
        <f aca="false">INDEX(TaskStandardTable[X/拆分条件],MATCH($AM59,TaskStandardTable[工作类型ID],0))</f>
        <v>阶段 &gt;16、环境 &gt;8、制品 &gt;6、构建矩阵项 &gt;12，包含多条独立流水线/应用，或要建设共享流水线平台</v>
      </c>
      <c r="BB59" s="34" t="str">
        <f aca="false">INDEX(TaskStandardTable[模式适用说明],MATCH($AM59,TaskStandardTable[工作类型ID],0))</f>
        <v>调整只看流水线变化；接入复用只看项目参数、制品、环境、审批和执行验证</v>
      </c>
    </row>
    <row r="60" customFormat="false" ht="68" hidden="false" customHeight="true" outlineLevel="0" collapsed="false">
      <c r="A60" s="38" t="n">
        <v>56</v>
      </c>
      <c r="B60" s="39" t="s">
        <v>1142</v>
      </c>
      <c r="C60" s="38" t="s">
        <v>1205</v>
      </c>
      <c r="D60" s="39" t="s">
        <v>1206</v>
      </c>
      <c r="E60" s="39" t="s">
        <v>1207</v>
      </c>
      <c r="F60" s="39" t="s">
        <v>1208</v>
      </c>
      <c r="G60" s="39" t="s">
        <v>1209</v>
      </c>
      <c r="H60" s="39" t="s">
        <v>1210</v>
      </c>
      <c r="I60" s="39" t="s">
        <v>1211</v>
      </c>
      <c r="J60" s="40" t="b">
        <f aca="false">TRUE()</f>
        <v>1</v>
      </c>
      <c r="K60" s="41" t="n">
        <v>2.5</v>
      </c>
      <c r="L60" s="39" t="s">
        <v>1212</v>
      </c>
      <c r="M60" s="40" t="b">
        <f aca="false">TRUE()</f>
        <v>1</v>
      </c>
      <c r="N60" s="41" t="n">
        <v>1.5</v>
      </c>
      <c r="O60" s="39" t="s">
        <v>1213</v>
      </c>
      <c r="P60" s="40" t="b">
        <f aca="false">TRUE()</f>
        <v>1</v>
      </c>
      <c r="Q60" s="41" t="n">
        <v>1</v>
      </c>
      <c r="R60" s="39" t="s">
        <v>1214</v>
      </c>
      <c r="S60" s="39" t="s">
        <v>1215</v>
      </c>
      <c r="T60" s="39" t="s">
        <v>1216</v>
      </c>
      <c r="U60" s="39" t="s">
        <v>1217</v>
      </c>
      <c r="V60" s="39" t="s">
        <v>1218</v>
      </c>
      <c r="W60" s="39" t="s">
        <v>1219</v>
      </c>
      <c r="X60" s="39" t="s">
        <v>1220</v>
      </c>
      <c r="Y60" s="39"/>
      <c r="Z60" s="39" t="s">
        <v>334</v>
      </c>
      <c r="AA60" s="39" t="s">
        <v>1221</v>
      </c>
      <c r="AB60" s="38" t="s">
        <v>336</v>
      </c>
      <c r="AC60" s="38" t="s">
        <v>337</v>
      </c>
      <c r="AD60" s="38" t="s">
        <v>338</v>
      </c>
      <c r="AE60" s="39" t="s">
        <v>339</v>
      </c>
      <c r="AM60" s="42" t="s">
        <v>1205</v>
      </c>
      <c r="AN60" s="42" t="str">
        <f aca="false">INDEX(TaskStandardTable[分类],MATCH($AM60,TaskStandardTable[工作类型ID],0))</f>
        <v>工程化</v>
      </c>
      <c r="AO60" s="43" t="str">
        <f aca="false">INDEX(TaskStandardTable[工作类型名称],MATCH($AM60,TaskStandardTable[工作类型ID],0))</f>
        <v>基础设施自动化模块</v>
      </c>
      <c r="AP60" s="42" t="str">
        <f aca="false">INDEX(TaskStandardTable[计量单位],MATCH($AM60,TaskStandardTable[工作类型ID],0))</f>
        <v>每个可独立版本化的 IaC 模块或项目 Root Module</v>
      </c>
      <c r="AQ60" s="44" t="n">
        <f aca="false">IF(INDEX(TaskStandardTable[新建适用],MATCH($AM60,TaskStandardTable[工作类型ID],0)),INDEX(TaskStandardTable[新建M档人天],MATCH($AM60,TaskStandardTable[工作类型ID],0)),"-")</f>
        <v>2.5</v>
      </c>
      <c r="AR60" s="44" t="n">
        <f aca="false">IF(INDEX(TaskStandardTable[调整适用],MATCH($AM60,TaskStandardTable[工作类型ID],0)),INDEX(TaskStandardTable[调整M档人天],MATCH($AM60,TaskStandardTable[工作类型ID],0)),"-")</f>
        <v>1.5</v>
      </c>
      <c r="AS60" s="44" t="n">
        <f aca="false">IF(INDEX(TaskStandardTable[接入复用适用],MATCH($AM60,TaskStandardTable[工作类型ID],0)),INDEX(TaskStandardTable[接入复用M档人天],MATCH($AM60,TaskStandardTable[工作类型ID],0)),"-")</f>
        <v>1</v>
      </c>
      <c r="AT60" s="42" t="str">
        <f aca="false">INDEX(TaskStandardTable[标准交付物],MATCH($AM60,TaskStandardTable[工作类型ID],0))</f>
        <v>可复用、可版本管理的基础设施自动化模块或项目 Root Module</v>
      </c>
      <c r="AU60" s="42" t="str">
        <f aca="false">IF(INDEX(TaskStandardTable[新建适用],MATCH($AM60,TaskStandardTable[工作类型ID],0)),"新建："&amp;INDEX(TaskStandardTable[新建完成标准],MATCH($AM60,TaskStandardTable[工作类型ID],0)),"")&amp;IF(INDEX(TaskStandardTable[调整适用],MATCH($AM60,TaskStandardTable[工作类型ID],0)),IF(OR(INDEX(TaskStandardTable[新建适用],MATCH($AM60,TaskStandardTable[工作类型ID],0))),CHAR(10),"")&amp;"调整："&amp;INDEX(TaskStandardTable[调整完成标准],MATCH($AM60,TaskStandardTable[工作类型ID],0)),"")&amp;IF(INDEX(TaskStandardTable[接入复用适用],MATCH($AM60,TaskStandardTable[工作类型ID],0)),IF(OR(INDEX(TaskStandardTable[新建适用],MATCH($AM60,TaskStandardTable[工作类型ID],0)),INDEX(TaskStandardTable[调整适用],MATCH($AM60,TaskStandardTable[工作类型ID],0))),CHAR(10),"")&amp;"接入复用："&amp;INDEX(TaskStandardTable[接入复用完成标准],MATCH($AM60,TaskStandardTable[工作类型ID],0)),"")</f>
        <v>新建：形成可复用、可版本管理的基础设施自动化模块。
调整：完成既有模块契约、资源或状态结构的变更及验证。
接入复用：既有 IaC 模块不变，形成可独立版本化和验收的项目 Root Module。</v>
      </c>
      <c r="AV60" s="42" t="str">
        <f aca="false">INDEX(TaskStandardTable[说明],MATCH($AM60,TaskStandardTable[工作类型ID],0))</f>
        <v>仅在资源栈内部填写变量或调用模块时不单列；该工作包含输入输出、状态、版本、验证和使用说明。</v>
      </c>
      <c r="AW60" s="42" t="str">
        <f aca="false">INDEX(TaskStandardTable[主要计量维度],MATCH($AM60,TaskStandardTable[工作类型ID],0))</f>
        <v>资源类型、输入输出、依赖、状态/版本</v>
      </c>
      <c r="AX60" s="42" t="str">
        <f aca="false">INDEX(TaskStandardTable[S标准],MATCH($AM60,TaskStandardTable[工作类型ID],0))</f>
        <v>1～2 类资源；≤5 个输入；≤2 个输出；无跨模块依赖</v>
      </c>
      <c r="AY60" s="42" t="str">
        <f aca="false">INDEX(TaskStandardTable[M标准],MATCH($AM60,TaskStandardTable[工作类型ID],0))</f>
        <v>3～6 类相关资源；6～15 个输入；3～6 个输出；含状态、版本和 1～3 个依赖</v>
      </c>
      <c r="AZ60" s="42" t="str">
        <f aca="false">INDEX(TaskStandardTable[L标准],MATCH($AM60,TaskStandardTable[工作类型ID],0))</f>
        <v>7～12 类紧密相关资源、16～30 个输入、7～12 个输出或 4～6 个依赖；涉及条件资源图、既有资源导入/状态迁移，或跨区域连续性、高敏感数据或权限控制、严格向后兼容</v>
      </c>
      <c r="BA60" s="42" t="str">
        <f aca="false">INDEX(TaskStandardTable[X/拆分条件],MATCH($AM60,TaskStandardTable[工作类型ID],0))</f>
        <v>资源类别 &gt;12、输入 &gt;30、输出 &gt;12、依赖 &gt;6，包含多个可独立发布的 IaC 模块，或资源所有权、状态和版本边界未明确</v>
      </c>
      <c r="BB60" s="42" t="str">
        <f aca="false">INDEX(TaskStandardTable[模式适用说明],MATCH($AM60,TaskStandardTable[工作类型ID],0))</f>
        <v>调整只看模块契约/资源变化；接入复用只看可独立版本化和验收的项目 Root Module；资源栈内部变量配置不单列</v>
      </c>
    </row>
    <row r="61" customFormat="false" ht="82" hidden="false" customHeight="true" outlineLevel="0" collapsed="false">
      <c r="A61" s="32" t="n">
        <v>57</v>
      </c>
      <c r="B61" s="29" t="s">
        <v>1142</v>
      </c>
      <c r="C61" s="32" t="s">
        <v>1222</v>
      </c>
      <c r="D61" s="29" t="s">
        <v>1223</v>
      </c>
      <c r="E61" s="29" t="s">
        <v>1224</v>
      </c>
      <c r="F61" s="29" t="s">
        <v>1225</v>
      </c>
      <c r="G61" s="29" t="s">
        <v>1226</v>
      </c>
      <c r="H61" s="29" t="s">
        <v>1227</v>
      </c>
      <c r="I61" s="29" t="s">
        <v>1228</v>
      </c>
      <c r="J61" s="30" t="b">
        <f aca="false">TRUE()</f>
        <v>1</v>
      </c>
      <c r="K61" s="31" t="n">
        <v>3</v>
      </c>
      <c r="L61" s="29" t="s">
        <v>1229</v>
      </c>
      <c r="M61" s="30" t="b">
        <f aca="false">TRUE()</f>
        <v>1</v>
      </c>
      <c r="N61" s="31" t="n">
        <v>2</v>
      </c>
      <c r="O61" s="29" t="s">
        <v>1230</v>
      </c>
      <c r="P61" s="30" t="b">
        <f aca="false">TRUE()</f>
        <v>1</v>
      </c>
      <c r="Q61" s="31" t="n">
        <v>1.5</v>
      </c>
      <c r="R61" s="29" t="s">
        <v>1231</v>
      </c>
      <c r="S61" s="29" t="s">
        <v>1232</v>
      </c>
      <c r="T61" s="29" t="s">
        <v>1233</v>
      </c>
      <c r="U61" s="29" t="s">
        <v>1234</v>
      </c>
      <c r="V61" s="29" t="s">
        <v>1235</v>
      </c>
      <c r="W61" s="29" t="s">
        <v>1236</v>
      </c>
      <c r="X61" s="29" t="s">
        <v>1237</v>
      </c>
      <c r="Y61" s="29" t="s">
        <v>685</v>
      </c>
      <c r="Z61" s="29" t="s">
        <v>1238</v>
      </c>
      <c r="AA61" s="29" t="s">
        <v>374</v>
      </c>
      <c r="AB61" s="32" t="s">
        <v>336</v>
      </c>
      <c r="AC61" s="32" t="s">
        <v>337</v>
      </c>
      <c r="AD61" s="32" t="s">
        <v>338</v>
      </c>
      <c r="AE61" s="29" t="s">
        <v>339</v>
      </c>
      <c r="AM61" s="34" t="s">
        <v>1222</v>
      </c>
      <c r="AN61" s="34" t="str">
        <f aca="false">INDEX(TaskStandardTable[分类],MATCH($AM61,TaskStandardTable[工作类型ID],0))</f>
        <v>工程化</v>
      </c>
      <c r="AO61" s="35" t="str">
        <f aca="false">INDEX(TaskStandardTable[工作类型名称],MATCH($AM61,TaskStandardTable[工作类型ID],0))</f>
        <v>基础设施资源栈建设</v>
      </c>
      <c r="AP61" s="34" t="str">
        <f aca="false">INDEX(TaskStandardTable[计量单位],MATCH($AM61,TaskStandardTable[工作类型ID],0))</f>
        <v>每资源栈</v>
      </c>
      <c r="AQ61" s="36" t="n">
        <f aca="false">IF(INDEX(TaskStandardTable[新建适用],MATCH($AM61,TaskStandardTable[工作类型ID],0)),INDEX(TaskStandardTable[新建M档人天],MATCH($AM61,TaskStandardTable[工作类型ID],0)),"-")</f>
        <v>3</v>
      </c>
      <c r="AR61" s="36" t="n">
        <f aca="false">IF(INDEX(TaskStandardTable[调整适用],MATCH($AM61,TaskStandardTable[工作类型ID],0)),INDEX(TaskStandardTable[调整M档人天],MATCH($AM61,TaskStandardTable[工作类型ID],0)),"-")</f>
        <v>2</v>
      </c>
      <c r="AS61" s="36" t="n">
        <f aca="false">IF(INDEX(TaskStandardTable[接入复用适用],MATCH($AM61,TaskStandardTable[工作类型ID],0)),INDEX(TaskStandardTable[接入复用M档人天],MATCH($AM61,TaskStandardTable[工作类型ID],0)),"-")</f>
        <v>1.5</v>
      </c>
      <c r="AT61" s="34" t="str">
        <f aca="false">INDEX(TaskStandardTable[标准交付物],MATCH($AM61,TaskStandardTable[工作类型ID],0))</f>
        <v>可部署并独立验收的资源栈</v>
      </c>
      <c r="AU61" s="34" t="str">
        <f aca="false">IF(INDEX(TaskStandardTable[新建适用],MATCH($AM61,TaskStandardTable[工作类型ID],0)),"新建："&amp;INDEX(TaskStandardTable[新建完成标准],MATCH($AM61,TaskStandardTable[工作类型ID],0)),"")&amp;IF(INDEX(TaskStandardTable[调整适用],MATCH($AM61,TaskStandardTable[工作类型ID],0)),IF(OR(INDEX(TaskStandardTable[新建适用],MATCH($AM61,TaskStandardTable[工作类型ID],0))),CHAR(10),"")&amp;"调整："&amp;INDEX(TaskStandardTable[调整完成标准],MATCH($AM61,TaskStandardTable[工作类型ID],0)),"")&amp;IF(INDEX(TaskStandardTable[接入复用适用],MATCH($AM61,TaskStandardTable[工作类型ID],0)),IF(OR(INDEX(TaskStandardTable[新建适用],MATCH($AM61,TaskStandardTable[工作类型ID],0)),INDEX(TaskStandardTable[调整适用],MATCH($AM61,TaskStandardTable[工作类型ID],0))),CHAR(10),"")&amp;"接入复用："&amp;INDEX(TaskStandardTable[接入复用完成标准],MATCH($AM61,TaskStandardTable[工作类型ID],0)),"")</f>
        <v>新建：形成“可部署并独立验收的资源栈”并通过约定验收。
调整：完成“可部署并独立验收的资源栈”的目标变更和影响核验，并按交付对象性质通过评审、复核、演练或回归验证。
接入复用：既有资源栈模式不变，项目参数、账号或订阅、网络绑定和部署验证完成。</v>
      </c>
      <c r="AV61" s="34" t="str">
        <f aca="false">INDEX(TaskStandardTable[说明],MATCH($AM61,TaskStandardTable[工作类型ID],0))</f>
        <v>多个独立资源栈必须拆分。</v>
      </c>
      <c r="AW61" s="34" t="str">
        <f aca="false">INDEX(TaskStandardTable[主要计量维度],MATCH($AM61,TaskStandardTable[工作类型ID],0))</f>
        <v>资源、网络区、可用区/地域、安全约束</v>
      </c>
      <c r="AX61" s="34" t="str">
        <f aca="false">INDEX(TaskStandardTable[S标准],MATCH($AM61,TaskStandardTable[工作类型ID],0))</f>
        <v>≤3 个相关资源；1 个网络区；单可用区；标准托管配置</v>
      </c>
      <c r="AY61" s="34" t="str">
        <f aca="false">INDEX(TaskStandardTable[M标准],MATCH($AM61,TaskStandardTable[工作类型ID],0))</f>
        <v>4～8 个紧密相关资源；2～3 个网络区或云服务标准多可用区配置；含不可独立交付的资源部署自动化、基础备份/健康监测和私网连接</v>
      </c>
      <c r="AZ61" s="34" t="str">
        <f aca="false">INDEX(TaskStandardTable[L标准],MATCH($AM61,TaskStandardTable[工作类型ID],0))</f>
        <v>9～16 个紧密相关资源；涉及定制跨可用区容错、主动—主动、跨账号、容量模型/边界验证，或跨区域连续性、高敏感数据或权限控制、受监管证据、量化服务目标</v>
      </c>
      <c r="BA61" s="34" t="str">
        <f aca="false">INDEX(TaskStandardTable[X/拆分条件],MATCH($AM61,TaskStandardTable[工作类型ID],0))</f>
        <v>资源 &gt;16，包含多个独立资源栈/地域，或容灾方案和独立平台能力未拆分</v>
      </c>
      <c r="BB61" s="34" t="str">
        <f aca="false">INDEX(TaskStandardTable[模式适用说明],MATCH($AM61,TaskStandardTable[工作类型ID],0))</f>
        <v>调整只看资源栈变化；接入复用只看项目参数、账号/订阅、网络绑定和部署验证；RTO/RPO 与恢复能力由 CO-BCDR 计量</v>
      </c>
    </row>
    <row r="62" customFormat="false" ht="68" hidden="false" customHeight="true" outlineLevel="0" collapsed="false">
      <c r="A62" s="38" t="n">
        <v>58</v>
      </c>
      <c r="B62" s="39" t="s">
        <v>1142</v>
      </c>
      <c r="C62" s="38" t="s">
        <v>1203</v>
      </c>
      <c r="D62" s="39" t="s">
        <v>1239</v>
      </c>
      <c r="E62" s="39" t="s">
        <v>1240</v>
      </c>
      <c r="F62" s="39" t="s">
        <v>1241</v>
      </c>
      <c r="G62" s="39" t="s">
        <v>1242</v>
      </c>
      <c r="H62" s="39" t="s">
        <v>1243</v>
      </c>
      <c r="I62" s="39" t="s">
        <v>1244</v>
      </c>
      <c r="J62" s="40" t="b">
        <f aca="false">TRUE()</f>
        <v>1</v>
      </c>
      <c r="K62" s="41" t="n">
        <v>3</v>
      </c>
      <c r="L62" s="39" t="s">
        <v>1245</v>
      </c>
      <c r="M62" s="40" t="b">
        <f aca="false">TRUE()</f>
        <v>1</v>
      </c>
      <c r="N62" s="41" t="n">
        <v>2</v>
      </c>
      <c r="O62" s="39" t="s">
        <v>1246</v>
      </c>
      <c r="P62" s="40" t="b">
        <f aca="false">FALSE()</f>
        <v>0</v>
      </c>
      <c r="Q62" s="41"/>
      <c r="R62" s="39"/>
      <c r="S62" s="39" t="s">
        <v>1247</v>
      </c>
      <c r="T62" s="39" t="s">
        <v>1248</v>
      </c>
      <c r="U62" s="39" t="s">
        <v>1249</v>
      </c>
      <c r="V62" s="39" t="s">
        <v>1250</v>
      </c>
      <c r="W62" s="39" t="s">
        <v>1251</v>
      </c>
      <c r="X62" s="39" t="s">
        <v>1252</v>
      </c>
      <c r="Y62" s="39" t="s">
        <v>1253</v>
      </c>
      <c r="Z62" s="39" t="s">
        <v>1254</v>
      </c>
      <c r="AA62" s="39" t="s">
        <v>1255</v>
      </c>
      <c r="AB62" s="38" t="s">
        <v>336</v>
      </c>
      <c r="AC62" s="38" t="s">
        <v>337</v>
      </c>
      <c r="AD62" s="38" t="s">
        <v>338</v>
      </c>
      <c r="AE62" s="39" t="s">
        <v>339</v>
      </c>
      <c r="AM62" s="42" t="s">
        <v>1203</v>
      </c>
      <c r="AN62" s="42" t="str">
        <f aca="false">INDEX(TaskStandardTable[分类],MATCH($AM62,TaskStandardTable[工作类型ID],0))</f>
        <v>工程化</v>
      </c>
      <c r="AO62" s="43" t="str">
        <f aca="false">INDEX(TaskStandardTable[工作类型名称],MATCH($AM62,TaskStandardTable[工作类型ID],0))</f>
        <v>共享工程平台能力</v>
      </c>
      <c r="AP62" s="42" t="str">
        <f aca="false">INDEX(TaskStandardTable[计量单位],MATCH($AM62,TaskStandardTable[工作类型ID],0))</f>
        <v>每个可独立运行的平台能力单元</v>
      </c>
      <c r="AQ62" s="44" t="n">
        <f aca="false">IF(INDEX(TaskStandardTable[新建适用],MATCH($AM62,TaskStandardTable[工作类型ID],0)),INDEX(TaskStandardTable[新建M档人天],MATCH($AM62,TaskStandardTable[工作类型ID],0)),"-")</f>
        <v>3</v>
      </c>
      <c r="AR62" s="44" t="n">
        <f aca="false">IF(INDEX(TaskStandardTable[调整适用],MATCH($AM62,TaskStandardTable[工作类型ID],0)),INDEX(TaskStandardTable[调整M档人天],MATCH($AM62,TaskStandardTable[工作类型ID],0)),"-")</f>
        <v>2</v>
      </c>
      <c r="AS62" s="44" t="str">
        <f aca="false">IF(INDEX(TaskStandardTable[接入复用适用],MATCH($AM62,TaskStandardTable[工作类型ID],0)),INDEX(TaskStandardTable[接入复用M档人天],MATCH($AM62,TaskStandardTable[工作类型ID],0)),"-")</f>
        <v>-</v>
      </c>
      <c r="AT62" s="42" t="str">
        <f aca="false">INDEX(TaskStandardTable[标准交付物],MATCH($AM62,TaskStandardTable[工作类型ID],0))</f>
        <v>可复用、可独立运行并由多项目消费的共享工程平台能力</v>
      </c>
      <c r="AU62" s="42" t="str">
        <f aca="false">IF(INDEX(TaskStandardTable[新建适用],MATCH($AM62,TaskStandardTable[工作类型ID],0)),"新建："&amp;INDEX(TaskStandardTable[新建完成标准],MATCH($AM62,TaskStandardTable[工作类型ID],0)),"")&amp;IF(INDEX(TaskStandardTable[调整适用],MATCH($AM62,TaskStandardTable[工作类型ID],0)),IF(OR(INDEX(TaskStandardTable[新建适用],MATCH($AM62,TaskStandardTable[工作类型ID],0))),CHAR(10),"")&amp;"调整："&amp;INDEX(TaskStandardTable[调整完成标准],MATCH($AM62,TaskStandardTable[工作类型ID],0)),"")&amp;IF(INDEX(TaskStandardTable[接入复用适用],MATCH($AM62,TaskStandardTable[工作类型ID],0)),IF(OR(INDEX(TaskStandardTable[新建适用],MATCH($AM62,TaskStandardTable[工作类型ID],0)),INDEX(TaskStandardTable[调整适用],MATCH($AM62,TaskStandardTable[工作类型ID],0))),CHAR(10),"")&amp;"接入复用："&amp;INDEX(TaskStandardTable[接入复用完成标准],MATCH($AM62,TaskStandardTable[工作类型ID],0)),"")</f>
        <v>新建：形成可独立运行、治理和验收的共享工程平台能力。
调整：完成既有共享平台的功能、接口、配额、权限、版本或可用性目标变更。</v>
      </c>
      <c r="AV62" s="42" t="str">
        <f aca="false">INDEX(TaskStandardTable[说明],MATCH($AM62,TaskStandardTable[工作类型ID],0))</f>
        <v>仅建设或修改共享平台能力时使用；消费侧接入必须优先使用 ENG-PIPELINE、ENG-RUNTIME、ENG-OBSERVABILITY、ENG-ALERT、ENG-IAC、ENG-INFRA-STACK 或安全专用类型，不能再用本类型接入复用。</v>
      </c>
      <c r="AW62" s="42" t="str">
        <f aca="false">INDEX(TaskStandardTable[主要计量维度],MATCH($AM62,TaskStandardTable[工作类型ID],0))</f>
        <v>平台功能、接口、消费方、治理/可用性</v>
      </c>
      <c r="AX62" s="42" t="str">
        <f aca="false">INDEX(TaskStandardTable[S标准],MATCH($AM62,TaskStandardTable[工作类型ID],0))</f>
        <v>1 个平台能力；≤2 个接口；1 个消费团队；标准运行要求</v>
      </c>
      <c r="AY62" s="42" t="str">
        <f aca="false">INDEX(TaskStandardTable[M标准],MATCH($AM62,TaskStandardTable[工作类型ID],0))</f>
        <v>1 个能力含 3～6 个接口；2～4 个消费团队；含配额、权限、版本和监控</v>
      </c>
      <c r="AZ62" s="42" t="str">
        <f aca="false">INDEX(TaskStandardTable[L标准],MATCH($AM62,TaskStandardTable[工作类型ID],0))</f>
        <v>1 个能力含 7～12 个接口或 5～8 个消费团队；涉及多租户平台、插件扩展、灰度发布，或量化服务目标、跨区域连续性</v>
      </c>
      <c r="BA62" s="42" t="str">
        <f aca="false">INDEX(TaskStandardTable[X/拆分条件],MATCH($AM62,TaskStandardTable[工作类型ID],0))</f>
        <v>接口 &gt;12、消费团队 &gt;8，包含多个可独立运行的平台能力单元，或 Runner、网关、密钥、日志等完整平台未拆分</v>
      </c>
      <c r="BB62" s="42" t="str">
        <f aca="false">INDEX(TaskStandardTable[模式适用说明],MATCH($AM62,TaskStandardTable[工作类型ID],0))</f>
        <v>仅新建或调整共享平台能力；消费侧按实际交付结果使用工程或安全专用类型，不提供接入复用</v>
      </c>
    </row>
    <row r="63" customFormat="false" ht="82" hidden="false" customHeight="true" outlineLevel="0" collapsed="false">
      <c r="A63" s="32" t="n">
        <v>59</v>
      </c>
      <c r="B63" s="29" t="s">
        <v>1142</v>
      </c>
      <c r="C63" s="32" t="s">
        <v>1256</v>
      </c>
      <c r="D63" s="29" t="s">
        <v>204</v>
      </c>
      <c r="E63" s="29" t="s">
        <v>1257</v>
      </c>
      <c r="F63" s="29" t="s">
        <v>1258</v>
      </c>
      <c r="G63" s="29" t="s">
        <v>1259</v>
      </c>
      <c r="H63" s="29" t="s">
        <v>1260</v>
      </c>
      <c r="I63" s="29" t="s">
        <v>1261</v>
      </c>
      <c r="J63" s="30" t="b">
        <f aca="false">TRUE()</f>
        <v>1</v>
      </c>
      <c r="K63" s="31" t="n">
        <v>2</v>
      </c>
      <c r="L63" s="29" t="s">
        <v>1262</v>
      </c>
      <c r="M63" s="30" t="b">
        <f aca="false">TRUE()</f>
        <v>1</v>
      </c>
      <c r="N63" s="31" t="n">
        <v>1</v>
      </c>
      <c r="O63" s="29" t="s">
        <v>1263</v>
      </c>
      <c r="P63" s="30" t="b">
        <f aca="false">TRUE()</f>
        <v>1</v>
      </c>
      <c r="Q63" s="31" t="n">
        <v>1</v>
      </c>
      <c r="R63" s="29" t="s">
        <v>1264</v>
      </c>
      <c r="S63" s="29" t="s">
        <v>1265</v>
      </c>
      <c r="T63" s="29" t="s">
        <v>1266</v>
      </c>
      <c r="U63" s="29" t="s">
        <v>1267</v>
      </c>
      <c r="V63" s="29" t="s">
        <v>1268</v>
      </c>
      <c r="W63" s="29" t="s">
        <v>1269</v>
      </c>
      <c r="X63" s="29" t="s">
        <v>1270</v>
      </c>
      <c r="Y63" s="29"/>
      <c r="Z63" s="29" t="s">
        <v>334</v>
      </c>
      <c r="AA63" s="29" t="s">
        <v>374</v>
      </c>
      <c r="AB63" s="32" t="s">
        <v>336</v>
      </c>
      <c r="AC63" s="32" t="s">
        <v>337</v>
      </c>
      <c r="AD63" s="32" t="s">
        <v>338</v>
      </c>
      <c r="AE63" s="29" t="s">
        <v>339</v>
      </c>
      <c r="AM63" s="34" t="s">
        <v>1256</v>
      </c>
      <c r="AN63" s="34" t="str">
        <f aca="false">INDEX(TaskStandardTable[分类],MATCH($AM63,TaskStandardTable[工作类型ID],0))</f>
        <v>工程化</v>
      </c>
      <c r="AO63" s="35" t="str">
        <f aca="false">INDEX(TaskStandardTable[工作类型名称],MATCH($AM63,TaskStandardTable[工作类型ID],0))</f>
        <v>应用部署与运行环境接入</v>
      </c>
      <c r="AP63" s="34" t="str">
        <f aca="false">INDEX(TaskStandardTable[计量单位],MATCH($AM63,TaskStandardTable[工作类型ID],0))</f>
        <v>每个应用 × 单一环境</v>
      </c>
      <c r="AQ63" s="36" t="n">
        <f aca="false">IF(INDEX(TaskStandardTable[新建适用],MATCH($AM63,TaskStandardTable[工作类型ID],0)),INDEX(TaskStandardTable[新建M档人天],MATCH($AM63,TaskStandardTable[工作类型ID],0)),"-")</f>
        <v>2</v>
      </c>
      <c r="AR63" s="36" t="n">
        <f aca="false">IF(INDEX(TaskStandardTable[调整适用],MATCH($AM63,TaskStandardTable[工作类型ID],0)),INDEX(TaskStandardTable[调整M档人天],MATCH($AM63,TaskStandardTable[工作类型ID],0)),"-")</f>
        <v>1</v>
      </c>
      <c r="AS63" s="36" t="n">
        <f aca="false">IF(INDEX(TaskStandardTable[接入复用适用],MATCH($AM63,TaskStandardTable[工作类型ID],0)),INDEX(TaskStandardTable[接入复用M档人天],MATCH($AM63,TaskStandardTable[工作类型ID],0)),"-")</f>
        <v>1</v>
      </c>
      <c r="AT63" s="34" t="str">
        <f aca="false">INDEX(TaskStandardTable[标准交付物],MATCH($AM63,TaskStandardTable[工作类型ID],0))</f>
        <v>应用可部署、可运行结果</v>
      </c>
      <c r="AU63" s="34" t="str">
        <f aca="false">IF(INDEX(TaskStandardTable[新建适用],MATCH($AM63,TaskStandardTable[工作类型ID],0)),"新建："&amp;INDEX(TaskStandardTable[新建完成标准],MATCH($AM63,TaskStandardTable[工作类型ID],0)),"")&amp;IF(INDEX(TaskStandardTable[调整适用],MATCH($AM63,TaskStandardTable[工作类型ID],0)),IF(OR(INDEX(TaskStandardTable[新建适用],MATCH($AM63,TaskStandardTable[工作类型ID],0))),CHAR(10),"")&amp;"调整："&amp;INDEX(TaskStandardTable[调整完成标准],MATCH($AM63,TaskStandardTable[工作类型ID],0)),"")&amp;IF(INDEX(TaskStandardTable[接入复用适用],MATCH($AM63,TaskStandardTable[工作类型ID],0)),IF(OR(INDEX(TaskStandardTable[新建适用],MATCH($AM63,TaskStandardTable[工作类型ID],0)),INDEX(TaskStandardTable[调整适用],MATCH($AM63,TaskStandardTable[工作类型ID],0))),CHAR(10),"")&amp;"接入复用："&amp;INDEX(TaskStandardTable[接入复用完成标准],MATCH($AM63,TaskStandardTable[工作类型ID],0)),"")</f>
        <v>新建：形成“应用可部署、可运行结果”并通过约定验收。
调整：完成“应用可部署、可运行结果”的目标变更和影响核验，并按交付对象性质通过评审、复核、演练或回归验证。
接入复用：既有运行平台不变，项目容器、配置、密钥、证书和部署验证完成。</v>
      </c>
      <c r="AV63" s="34" t="str">
        <f aca="false">INDEX(TaskStandardTable[说明],MATCH($AM63,TaskStandardTable[工作类型ID],0))</f>
        <v>不包含运行环境本身建设。</v>
      </c>
      <c r="AW63" s="34" t="str">
        <f aca="false">INDEX(TaskStandardTable[主要计量维度],MATCH($AM63,TaskStandardTable[工作类型ID],0))</f>
        <v>服务/进程、配置/密钥、网络依赖、环境</v>
      </c>
      <c r="AX63" s="34" t="str">
        <f aca="false">INDEX(TaskStandardTable[S标准],MATCH($AM63,TaskStandardTable[工作类型ID],0))</f>
        <v>1 个服务；≤5 个配置/密钥；≤2 个网络依赖；单一非生产环境</v>
      </c>
      <c r="AY63" s="34" t="str">
        <f aca="false">INDEX(TaskStandardTable[M标准],MATCH($AM63,TaskStandardTable[工作类型ID],0))</f>
        <v>同一环境内 2～4 个紧密相关服务；6～15 个配置/密钥；3～5 个依赖；含证书、探针和环境特定配置</v>
      </c>
      <c r="AZ63" s="34" t="str">
        <f aca="false">INDEX(TaskStandardTable[L标准],MATCH($AM63,TaskStandardTable[工作类型ID],0))</f>
        <v>同一环境内 5～8 个紧密相关服务、16～30 个配置/密钥或 6～10 个依赖；涉及服务网格接入、多子网路由、私有端点/受控出口，或高敏感数据或权限控制、受监管证据、量化服务目标、跨区域连续性</v>
      </c>
      <c r="BA63" s="34" t="str">
        <f aca="false">INDEX(TaskStandardTable[X/拆分条件],MATCH($AM63,TaskStandardTable[工作类型ID],0))</f>
        <v>服务 &gt;8、配置/密钥 &gt;30、依赖 &gt;10，包含多个独立应用/环境，或运行平台本身建设未拆分</v>
      </c>
      <c r="BB63" s="34" t="str">
        <f aca="false">INDEX(TaskStandardTable[模式适用说明],MATCH($AM63,TaskStandardTable[工作类型ID],0))</f>
        <v>调整只看该环境的部署定义变化；接入复用只看该环境的项目容器、配置、密钥、证书和部署验证</v>
      </c>
    </row>
    <row r="64" customFormat="false" ht="96" hidden="false" customHeight="true" outlineLevel="0" collapsed="false">
      <c r="A64" s="38" t="n">
        <v>60</v>
      </c>
      <c r="B64" s="39" t="s">
        <v>1142</v>
      </c>
      <c r="C64" s="38" t="s">
        <v>1271</v>
      </c>
      <c r="D64" s="39" t="s">
        <v>217</v>
      </c>
      <c r="E64" s="39" t="s">
        <v>1272</v>
      </c>
      <c r="F64" s="39" t="s">
        <v>1273</v>
      </c>
      <c r="G64" s="39" t="s">
        <v>1274</v>
      </c>
      <c r="H64" s="39" t="s">
        <v>1275</v>
      </c>
      <c r="I64" s="39" t="s">
        <v>1276</v>
      </c>
      <c r="J64" s="40" t="b">
        <f aca="false">TRUE()</f>
        <v>1</v>
      </c>
      <c r="K64" s="41" t="n">
        <v>2</v>
      </c>
      <c r="L64" s="39" t="s">
        <v>1277</v>
      </c>
      <c r="M64" s="40" t="b">
        <f aca="false">TRUE()</f>
        <v>1</v>
      </c>
      <c r="N64" s="41" t="n">
        <v>1</v>
      </c>
      <c r="O64" s="39" t="s">
        <v>1278</v>
      </c>
      <c r="P64" s="40" t="b">
        <f aca="false">TRUE()</f>
        <v>1</v>
      </c>
      <c r="Q64" s="41" t="n">
        <v>1</v>
      </c>
      <c r="R64" s="39" t="s">
        <v>1279</v>
      </c>
      <c r="S64" s="39" t="s">
        <v>1280</v>
      </c>
      <c r="T64" s="39" t="s">
        <v>1281</v>
      </c>
      <c r="U64" s="39" t="s">
        <v>1282</v>
      </c>
      <c r="V64" s="39" t="s">
        <v>1283</v>
      </c>
      <c r="W64" s="39" t="s">
        <v>1284</v>
      </c>
      <c r="X64" s="39" t="s">
        <v>1285</v>
      </c>
      <c r="Y64" s="39"/>
      <c r="Z64" s="39" t="s">
        <v>334</v>
      </c>
      <c r="AA64" s="39" t="s">
        <v>374</v>
      </c>
      <c r="AB64" s="38" t="s">
        <v>336</v>
      </c>
      <c r="AC64" s="38" t="s">
        <v>337</v>
      </c>
      <c r="AD64" s="38" t="s">
        <v>338</v>
      </c>
      <c r="AE64" s="39" t="s">
        <v>339</v>
      </c>
      <c r="AM64" s="42" t="s">
        <v>1271</v>
      </c>
      <c r="AN64" s="42" t="str">
        <f aca="false">INDEX(TaskStandardTable[分类],MATCH($AM64,TaskStandardTable[工作类型ID],0))</f>
        <v>工程化</v>
      </c>
      <c r="AO64" s="43" t="str">
        <f aca="false">INDEX(TaskStandardTable[工作类型名称],MATCH($AM64,TaskStandardTable[工作类型ID],0))</f>
        <v>应用日志、指标与链路追踪接入</v>
      </c>
      <c r="AP64" s="42" t="str">
        <f aca="false">INDEX(TaskStandardTable[计量单位],MATCH($AM64,TaskStandardTable[工作类型ID],0))</f>
        <v>每应用</v>
      </c>
      <c r="AQ64" s="44" t="n">
        <f aca="false">IF(INDEX(TaskStandardTable[新建适用],MATCH($AM64,TaskStandardTable[工作类型ID],0)),INDEX(TaskStandardTable[新建M档人天],MATCH($AM64,TaskStandardTable[工作类型ID],0)),"-")</f>
        <v>2</v>
      </c>
      <c r="AR64" s="44" t="n">
        <f aca="false">IF(INDEX(TaskStandardTable[调整适用],MATCH($AM64,TaskStandardTable[工作类型ID],0)),INDEX(TaskStandardTable[调整M档人天],MATCH($AM64,TaskStandardTable[工作类型ID],0)),"-")</f>
        <v>1</v>
      </c>
      <c r="AS64" s="44" t="n">
        <f aca="false">IF(INDEX(TaskStandardTable[接入复用适用],MATCH($AM64,TaskStandardTable[工作类型ID],0)),INDEX(TaskStandardTable[接入复用M档人天],MATCH($AM64,TaskStandardTable[工作类型ID],0)),"-")</f>
        <v>1</v>
      </c>
      <c r="AT64" s="42" t="str">
        <f aca="false">INDEX(TaskStandardTable[标准交付物],MATCH($AM64,TaskStandardTable[工作类型ID],0))</f>
        <v>日志、指标、追踪及健康检查接入结果</v>
      </c>
      <c r="AU64" s="42" t="str">
        <f aca="false">IF(INDEX(TaskStandardTable[新建适用],MATCH($AM64,TaskStandardTable[工作类型ID],0)),"新建："&amp;INDEX(TaskStandardTable[新建完成标准],MATCH($AM64,TaskStandardTable[工作类型ID],0)),"")&amp;IF(INDEX(TaskStandardTable[调整适用],MATCH($AM64,TaskStandardTable[工作类型ID],0)),IF(OR(INDEX(TaskStandardTable[新建适用],MATCH($AM64,TaskStandardTable[工作类型ID],0))),CHAR(10),"")&amp;"调整："&amp;INDEX(TaskStandardTable[调整完成标准],MATCH($AM64,TaskStandardTable[工作类型ID],0)),"")&amp;IF(INDEX(TaskStandardTable[接入复用适用],MATCH($AM64,TaskStandardTable[工作类型ID],0)),IF(OR(INDEX(TaskStandardTable[新建适用],MATCH($AM64,TaskStandardTable[工作类型ID],0)),INDEX(TaskStandardTable[调整适用],MATCH($AM64,TaskStandardTable[工作类型ID],0))),CHAR(10),"")&amp;"接入复用："&amp;INDEX(TaskStandardTable[接入复用完成标准],MATCH($AM64,TaskStandardTable[工作类型ID],0)),"")</f>
        <v>新建：形成“日志、指标、追踪及健康检查接入结果”并通过约定验收。
调整：完成“日志、指标、追踪及健康检查接入结果”的目标变更和影响核验，并按交付对象性质通过评审、复核、演练或回归验证。
接入复用：既有可观测平台不变，项目日志、指标、追踪和健康检查接入验证完成。</v>
      </c>
      <c r="AV64" s="42" t="str">
        <f aca="false">INDEX(TaskStandardTable[说明],MATCH($AM64,TaskStandardTable[工作类型ID],0))</f>
        <v>不包含公共平台建设。</v>
      </c>
      <c r="AW64" s="42" t="str">
        <f aca="false">INDEX(TaskStandardTable[主要计量维度],MATCH($AM64,TaskStandardTable[工作类型ID],0))</f>
        <v>遥测类型、服务、关键路径、字段/标签</v>
      </c>
      <c r="AX64" s="42" t="str">
        <f aca="false">INDEX(TaskStandardTable[S标准],MATCH($AM64,TaskStandardTable[工作类型ID],0))</f>
        <v>1 个服务；≤2 条关键路径；1～2 类遥测；≤10 个关键字段/指标；标准健康检查</v>
      </c>
      <c r="AY64" s="42" t="str">
        <f aca="false">INDEX(TaskStandardTable[M标准],MATCH($AM64,TaskStandardTable[工作类型ID],0))</f>
        <v>2～4 个紧密相关服务；3～8 条关键路径；日志/指标/追踪三类；11～30 个字段/指标；含关联视图</v>
      </c>
      <c r="AZ64" s="42" t="str">
        <f aca="false">INDEX(TaskStandardTable[L标准],MATCH($AM64,TaskStandardTable[工作类型ID],0))</f>
        <v>5～8 个紧密相关服务、9～16 条关键路径或 31～60 个字段/指标；涉及跨系统追踪、防篡改存储、高敏感数据或权限控制、受监管证据或量化服务目标</v>
      </c>
      <c r="BA64" s="42" t="str">
        <f aca="false">INDEX(TaskStandardTable[X/拆分条件],MATCH($AM64,TaskStandardTable[工作类型ID],0))</f>
        <v>服务 &gt;8、路径 &gt;16、字段/指标 &gt;60，包含多个独立应用/调用链，或公共可观测平台建设未拆分</v>
      </c>
      <c r="BB64" s="42" t="str">
        <f aca="false">INDEX(TaskStandardTable[模式适用说明],MATCH($AM64,TaskStandardTable[工作类型ID],0))</f>
        <v>调整只看遥测契约变化；接入复用只看项目采集、标签、追踪和健康检查验证；高基数或长时间留存只有形成明确量化目标时才作为复杂度依据</v>
      </c>
    </row>
    <row r="65" customFormat="false" ht="82" hidden="false" customHeight="true" outlineLevel="0" collapsed="false">
      <c r="A65" s="32" t="n">
        <v>61</v>
      </c>
      <c r="B65" s="29" t="s">
        <v>1142</v>
      </c>
      <c r="C65" s="32" t="s">
        <v>1286</v>
      </c>
      <c r="D65" s="29" t="s">
        <v>220</v>
      </c>
      <c r="E65" s="29" t="s">
        <v>1287</v>
      </c>
      <c r="F65" s="29" t="s">
        <v>1288</v>
      </c>
      <c r="G65" s="29" t="s">
        <v>1289</v>
      </c>
      <c r="H65" s="29" t="s">
        <v>1290</v>
      </c>
      <c r="I65" s="29" t="s">
        <v>1291</v>
      </c>
      <c r="J65" s="30" t="b">
        <f aca="false">TRUE()</f>
        <v>1</v>
      </c>
      <c r="K65" s="31" t="n">
        <v>1.5</v>
      </c>
      <c r="L65" s="29" t="s">
        <v>1292</v>
      </c>
      <c r="M65" s="30" t="b">
        <f aca="false">TRUE()</f>
        <v>1</v>
      </c>
      <c r="N65" s="31" t="n">
        <v>1</v>
      </c>
      <c r="O65" s="29" t="s">
        <v>1293</v>
      </c>
      <c r="P65" s="30" t="b">
        <f aca="false">TRUE()</f>
        <v>1</v>
      </c>
      <c r="Q65" s="31" t="n">
        <v>1</v>
      </c>
      <c r="R65" s="29" t="s">
        <v>1294</v>
      </c>
      <c r="S65" s="29" t="s">
        <v>1295</v>
      </c>
      <c r="T65" s="29" t="s">
        <v>1296</v>
      </c>
      <c r="U65" s="29" t="s">
        <v>1297</v>
      </c>
      <c r="V65" s="29" t="s">
        <v>1298</v>
      </c>
      <c r="W65" s="29" t="s">
        <v>1299</v>
      </c>
      <c r="X65" s="29" t="s">
        <v>1300</v>
      </c>
      <c r="Y65" s="29"/>
      <c r="Z65" s="29" t="s">
        <v>334</v>
      </c>
      <c r="AA65" s="29" t="s">
        <v>374</v>
      </c>
      <c r="AB65" s="32" t="s">
        <v>336</v>
      </c>
      <c r="AC65" s="32" t="s">
        <v>337</v>
      </c>
      <c r="AD65" s="32" t="s">
        <v>338</v>
      </c>
      <c r="AE65" s="29" t="s">
        <v>339</v>
      </c>
      <c r="AM65" s="34" t="s">
        <v>1286</v>
      </c>
      <c r="AN65" s="34" t="str">
        <f aca="false">INDEX(TaskStandardTable[分类],MATCH($AM65,TaskStandardTable[工作类型ID],0))</f>
        <v>工程化</v>
      </c>
      <c r="AO65" s="35" t="str">
        <f aca="false">INDEX(TaskStandardTable[工作类型名称],MATCH($AM65,TaskStandardTable[工作类型ID],0))</f>
        <v>应用监控与告警</v>
      </c>
      <c r="AP65" s="34" t="str">
        <f aca="false">INDEX(TaskStandardTable[计量单位],MATCH($AM65,TaskStandardTable[工作类型ID],0))</f>
        <v>每共同管理的监控与告警组</v>
      </c>
      <c r="AQ65" s="36" t="n">
        <f aca="false">IF(INDEX(TaskStandardTable[新建适用],MATCH($AM65,TaskStandardTable[工作类型ID],0)),INDEX(TaskStandardTable[新建M档人天],MATCH($AM65,TaskStandardTable[工作类型ID],0)),"-")</f>
        <v>1.5</v>
      </c>
      <c r="AR65" s="36" t="n">
        <f aca="false">IF(INDEX(TaskStandardTable[调整适用],MATCH($AM65,TaskStandardTable[工作类型ID],0)),INDEX(TaskStandardTable[调整M档人天],MATCH($AM65,TaskStandardTable[工作类型ID],0)),"-")</f>
        <v>1</v>
      </c>
      <c r="AS65" s="36" t="n">
        <f aca="false">IF(INDEX(TaskStandardTable[接入复用适用],MATCH($AM65,TaskStandardTable[工作类型ID],0)),INDEX(TaskStandardTable[接入复用M档人天],MATCH($AM65,TaskStandardTable[工作类型ID],0)),"-")</f>
        <v>1</v>
      </c>
      <c r="AT65" s="34" t="str">
        <f aca="false">INDEX(TaskStandardTable[标准交付物],MATCH($AM65,TaskStandardTable[工作类型ID],0))</f>
        <v>运营看板、告警规则、阈值、通知路由及触发验证</v>
      </c>
      <c r="AU65" s="34" t="str">
        <f aca="false">IF(INDEX(TaskStandardTable[新建适用],MATCH($AM65,TaskStandardTable[工作类型ID],0)),"新建："&amp;INDEX(TaskStandardTable[新建完成标准],MATCH($AM65,TaskStandardTable[工作类型ID],0)),"")&amp;IF(INDEX(TaskStandardTable[调整适用],MATCH($AM65,TaskStandardTable[工作类型ID],0)),IF(OR(INDEX(TaskStandardTable[新建适用],MATCH($AM65,TaskStandardTable[工作类型ID],0))),CHAR(10),"")&amp;"调整："&amp;INDEX(TaskStandardTable[调整完成标准],MATCH($AM65,TaskStandardTable[工作类型ID],0)),"")&amp;IF(INDEX(TaskStandardTable[接入复用适用],MATCH($AM65,TaskStandardTable[工作类型ID],0)),IF(OR(INDEX(TaskStandardTable[新建适用],MATCH($AM65,TaskStandardTable[工作类型ID],0)),INDEX(TaskStandardTable[调整适用],MATCH($AM65,TaskStandardTable[工作类型ID],0))),CHAR(10),"")&amp;"接入复用："&amp;INDEX(TaskStandardTable[接入复用完成标准],MATCH($AM65,TaskStandardTable[工作类型ID],0)),"")</f>
        <v>新建：形成“监控、看板、告警规则及触发验证”并通过约定验收。
调整：完成“监控、看板、告警规则及触发验证”的目标变更和影响核验，并按交付对象性质通过评审、复核、演练或回归验证。
接入复用：既有监控模板不变，项目指标绑定、阈值、通知路由和触发验证完成。</v>
      </c>
      <c r="AV65" s="34" t="str">
        <f aca="false">INDEX(TaskStandardTable[说明],MATCH($AM65,TaskStandardTable[工作类型ID],0))</f>
        <v>一组共同管理的指标与告警计一项。</v>
      </c>
      <c r="AW65" s="34" t="str">
        <f aca="false">INDEX(TaskStandardTable[主要计量维度],MATCH($AM65,TaskStandardTable[工作类型ID],0))</f>
        <v>信号、规则、通知路由、抑制/升级</v>
      </c>
      <c r="AX65" s="34" t="str">
        <f aca="false">INDEX(TaskStandardTable[S标准],MATCH($AM65,TaskStandardTable[工作类型ID],0))</f>
        <v>≤3 个相关信号；≤3 条规则；1 条通知路由；固定阈值</v>
      </c>
      <c r="AY65" s="34" t="str">
        <f aca="false">INDEX(TaskStandardTable[M标准],MATCH($AM65,TaskStandardTable[工作类型ID],0))</f>
        <v>4～10 个信号；4～10 条规则；2～3 条路由；含分级、抑制和恢复通知</v>
      </c>
      <c r="AZ65" s="34" t="str">
        <f aca="false">INDEX(TaskStandardTable[L标准],MATCH($AM65,TaskStandardTable[工作类型ID],0))</f>
        <v>11～20 个信号，或 11～20 条规则，或 4～6 条通知路由；涉及动态基线、复合条件、多级升级、跨时区值守路由，或量化服务目标、多方联合交付</v>
      </c>
      <c r="BA65" s="34" t="str">
        <f aca="false">INDEX(TaskStandardTable[X/拆分条件],MATCH($AM65,TaskStandardTable[工作类型ID],0))</f>
        <v>信号 &gt;20、规则 &gt;20、路由 &gt;6，包含多个无关指标/告警组，或阈值、责任人和处置动作未明确</v>
      </c>
      <c r="BB65" s="34" t="str">
        <f aca="false">INDEX(TaskStandardTable[模式适用说明],MATCH($AM65,TaskStandardTable[工作类型ID],0))</f>
        <v>调整只看规则变化；接入复用只看项目指标绑定、阈值、通知路由和触发验证</v>
      </c>
    </row>
    <row r="66" customFormat="false" ht="82" hidden="false" customHeight="true" outlineLevel="0" collapsed="false">
      <c r="A66" s="38" t="n">
        <v>62</v>
      </c>
      <c r="B66" s="39" t="s">
        <v>1301</v>
      </c>
      <c r="C66" s="38" t="s">
        <v>1302</v>
      </c>
      <c r="D66" s="39" t="s">
        <v>229</v>
      </c>
      <c r="E66" s="39" t="s">
        <v>1303</v>
      </c>
      <c r="F66" s="39" t="s">
        <v>1304</v>
      </c>
      <c r="G66" s="39" t="s">
        <v>1305</v>
      </c>
      <c r="H66" s="39" t="s">
        <v>1306</v>
      </c>
      <c r="I66" s="39" t="s">
        <v>1307</v>
      </c>
      <c r="J66" s="40" t="b">
        <f aca="false">TRUE()</f>
        <v>1</v>
      </c>
      <c r="K66" s="41" t="n">
        <v>2</v>
      </c>
      <c r="L66" s="39" t="s">
        <v>1308</v>
      </c>
      <c r="M66" s="40" t="b">
        <f aca="false">TRUE()</f>
        <v>1</v>
      </c>
      <c r="N66" s="41" t="n">
        <v>1</v>
      </c>
      <c r="O66" s="39" t="s">
        <v>1309</v>
      </c>
      <c r="P66" s="40" t="b">
        <f aca="false">FALSE()</f>
        <v>0</v>
      </c>
      <c r="Q66" s="41"/>
      <c r="R66" s="39"/>
      <c r="S66" s="39" t="s">
        <v>1310</v>
      </c>
      <c r="T66" s="39" t="s">
        <v>1311</v>
      </c>
      <c r="U66" s="39" t="s">
        <v>1312</v>
      </c>
      <c r="V66" s="39" t="s">
        <v>1313</v>
      </c>
      <c r="W66" s="39" t="s">
        <v>1314</v>
      </c>
      <c r="X66" s="39" t="s">
        <v>1315</v>
      </c>
      <c r="Y66" s="39"/>
      <c r="Z66" s="39" t="s">
        <v>334</v>
      </c>
      <c r="AA66" s="39" t="s">
        <v>1316</v>
      </c>
      <c r="AB66" s="38" t="s">
        <v>336</v>
      </c>
      <c r="AC66" s="38" t="s">
        <v>337</v>
      </c>
      <c r="AD66" s="38" t="s">
        <v>338</v>
      </c>
      <c r="AE66" s="39" t="s">
        <v>339</v>
      </c>
      <c r="AM66" s="42" t="s">
        <v>1302</v>
      </c>
      <c r="AN66" s="42" t="str">
        <f aca="false">INDEX(TaskStandardTable[分类],MATCH($AM66,TaskStandardTable[工作类型ID],0))</f>
        <v>发布与生产</v>
      </c>
      <c r="AO66" s="43" t="str">
        <f aca="false">INDEX(TaskStandardTable[工作类型名称],MATCH($AM66,TaskStandardTable[工作类型ID],0))</f>
        <v>发布与切换方案</v>
      </c>
      <c r="AP66" s="42" t="str">
        <f aca="false">INDEX(TaskStandardTable[计量单位],MATCH($AM66,TaskStandardTable[工作类型ID],0))</f>
        <v>每个发布批次（Release）</v>
      </c>
      <c r="AQ66" s="44" t="n">
        <f aca="false">IF(INDEX(TaskStandardTable[新建适用],MATCH($AM66,TaskStandardTable[工作类型ID],0)),INDEX(TaskStandardTable[新建M档人天],MATCH($AM66,TaskStandardTable[工作类型ID],0)),"-")</f>
        <v>2</v>
      </c>
      <c r="AR66" s="44" t="n">
        <f aca="false">IF(INDEX(TaskStandardTable[调整适用],MATCH($AM66,TaskStandardTable[工作类型ID],0)),INDEX(TaskStandardTable[调整M档人天],MATCH($AM66,TaskStandardTable[工作类型ID],0)),"-")</f>
        <v>1</v>
      </c>
      <c r="AS66" s="44" t="str">
        <f aca="false">IF(INDEX(TaskStandardTable[接入复用适用],MATCH($AM66,TaskStandardTable[工作类型ID],0)),INDEX(TaskStandardTable[接入复用M档人天],MATCH($AM66,TaskStandardTable[工作类型ID],0)),"-")</f>
        <v>-</v>
      </c>
      <c r="AT66" s="42" t="str">
        <f aca="false">INDEX(TaskStandardTable[标准交付物],MATCH($AM66,TaskStandardTable[工作类型ID],0))</f>
        <v>就绪、部署、提交、切换、回滚、验证和风险方案</v>
      </c>
      <c r="AU66" s="42" t="str">
        <f aca="false">IF(INDEX(TaskStandardTable[新建适用],MATCH($AM66,TaskStandardTable[工作类型ID],0)),"新建："&amp;INDEX(TaskStandardTable[新建完成标准],MATCH($AM66,TaskStandardTable[工作类型ID],0)),"")&amp;IF(INDEX(TaskStandardTable[调整适用],MATCH($AM66,TaskStandardTable[工作类型ID],0)),IF(OR(INDEX(TaskStandardTable[新建适用],MATCH($AM66,TaskStandardTable[工作类型ID],0))),CHAR(10),"")&amp;"调整："&amp;INDEX(TaskStandardTable[调整完成标准],MATCH($AM66,TaskStandardTable[工作类型ID],0)),"")&amp;IF(INDEX(TaskStandardTable[接入复用适用],MATCH($AM66,TaskStandardTable[工作类型ID],0)),IF(OR(INDEX(TaskStandardTable[新建适用],MATCH($AM66,TaskStandardTable[工作类型ID],0)),INDEX(TaskStandardTable[调整适用],MATCH($AM66,TaskStandardTable[工作类型ID],0))),CHAR(10),"")&amp;"接入复用："&amp;INDEX(TaskStandardTable[接入复用完成标准],MATCH($AM66,TaskStandardTable[工作类型ID],0)),"")</f>
        <v>新建：形成“就绪、部署、提交、切换、回滚、验证和风险方案”并通过约定验收。
调整：完成“就绪、部署、提交、切换、回滚、验证和风险方案”的目标变更和影响核验，并按交付对象性质通过评审、复核、演练或回归验证。</v>
      </c>
      <c r="AV66" s="42" t="str">
        <f aca="false">INDEX(TaskStandardTable[说明],MATCH($AM66,TaskStandardTable[工作类型ID],0))</f>
        <v>同一 Release 不重复拆技术准备与实施方案。</v>
      </c>
      <c r="AW66" s="42" t="str">
        <f aca="false">INDEX(TaskStandardTable[主要计量维度],MATCH($AM66,TaskStandardTable[工作类型ID],0))</f>
        <v>组件、团队、步骤、窗口/回滚</v>
      </c>
      <c r="AX66" s="42" t="str">
        <f aca="false">INDEX(TaskStandardTable[S标准],MATCH($AM66,TaskStandardTable[工作类型ID],0))</f>
        <v>1 个组件；1 个团队；≤8 个步骤；无零停机或独立停机时长门禁；标准回滚</v>
      </c>
      <c r="AY66" s="42" t="str">
        <f aca="false">INDEX(TaskStandardTable[M标准],MATCH($AM66,TaskStandardTable[工作类型ID],0))</f>
        <v>2～4 个紧密相关组件；2～3 个团队；9～20 个步骤；明确 Go/No-Go、演练和回滚</v>
      </c>
      <c r="AZ66" s="42" t="str">
        <f aca="false">INDEX(TaskStandardTable[L标准],MATCH($AM66,TaskStandardTable[工作类型ID],0))</f>
        <v>≥5 个紧密相关组件、≥4 个团队或 &gt;20 个步骤；涉及双跑切流，或零停机、量化服务目标、多方联合交付、跨区域连续性</v>
      </c>
      <c r="BA66" s="42" t="str">
        <f aca="false">INDEX(TaskStandardTable[X/拆分条件],MATCH($AM66,TaskStandardTable[工作类型ID],0))</f>
        <v>包含多个可独立切换的 Release/系统，或版本范围、窗口、RACI、回滚任一未明确</v>
      </c>
      <c r="BB66" s="42" t="str">
        <f aca="false">INDEX(TaskStandardTable[模式适用说明],MATCH($AM66,TaskStandardTable[工作类型ID],0))</f>
        <v>新建看本次新方案；调整只看既有方案/清单变化和受影响重审范围</v>
      </c>
    </row>
    <row r="67" customFormat="false" ht="66" hidden="false" customHeight="true" outlineLevel="0" collapsed="false">
      <c r="A67" s="32" t="n">
        <v>63</v>
      </c>
      <c r="B67" s="29" t="s">
        <v>1301</v>
      </c>
      <c r="C67" s="32" t="s">
        <v>1317</v>
      </c>
      <c r="D67" s="29" t="s">
        <v>232</v>
      </c>
      <c r="E67" s="29" t="s">
        <v>1303</v>
      </c>
      <c r="F67" s="29" t="s">
        <v>1318</v>
      </c>
      <c r="G67" s="29" t="s">
        <v>1319</v>
      </c>
      <c r="H67" s="29" t="s">
        <v>1320</v>
      </c>
      <c r="I67" s="29" t="s">
        <v>1321</v>
      </c>
      <c r="J67" s="30" t="b">
        <f aca="false">TRUE()</f>
        <v>1</v>
      </c>
      <c r="K67" s="31" t="n">
        <v>1.5</v>
      </c>
      <c r="L67" s="29" t="s">
        <v>1322</v>
      </c>
      <c r="M67" s="30" t="b">
        <f aca="false">TRUE()</f>
        <v>1</v>
      </c>
      <c r="N67" s="31" t="n">
        <v>1</v>
      </c>
      <c r="O67" s="29" t="s">
        <v>1323</v>
      </c>
      <c r="P67" s="30" t="b">
        <f aca="false">FALSE()</f>
        <v>0</v>
      </c>
      <c r="Q67" s="31"/>
      <c r="R67" s="29"/>
      <c r="S67" s="29" t="s">
        <v>1324</v>
      </c>
      <c r="T67" s="29" t="s">
        <v>1325</v>
      </c>
      <c r="U67" s="29" t="s">
        <v>1326</v>
      </c>
      <c r="V67" s="29" t="s">
        <v>1327</v>
      </c>
      <c r="W67" s="29" t="s">
        <v>1328</v>
      </c>
      <c r="X67" s="29" t="s">
        <v>1329</v>
      </c>
      <c r="Y67" s="29"/>
      <c r="Z67" s="29" t="s">
        <v>334</v>
      </c>
      <c r="AA67" s="29" t="s">
        <v>1330</v>
      </c>
      <c r="AB67" s="32" t="s">
        <v>336</v>
      </c>
      <c r="AC67" s="32" t="s">
        <v>337</v>
      </c>
      <c r="AD67" s="32" t="s">
        <v>338</v>
      </c>
      <c r="AE67" s="29" t="s">
        <v>339</v>
      </c>
      <c r="AM67" s="34" t="s">
        <v>1317</v>
      </c>
      <c r="AN67" s="34" t="str">
        <f aca="false">INDEX(TaskStandardTable[分类],MATCH($AM67,TaskStandardTable[工作类型ID],0))</f>
        <v>发布与生产</v>
      </c>
      <c r="AO67" s="35" t="str">
        <f aca="false">INDEX(TaskStandardTable[工作类型名称],MATCH($AM67,TaskStandardTable[工作类型ID],0))</f>
        <v>发布与切换演练</v>
      </c>
      <c r="AP67" s="34" t="str">
        <f aca="false">INDEX(TaskStandardTable[计量单位],MATCH($AM67,TaskStandardTable[工作类型ID],0))</f>
        <v>每个发布批次（Release）</v>
      </c>
      <c r="AQ67" s="36" t="n">
        <f aca="false">IF(INDEX(TaskStandardTable[新建适用],MATCH($AM67,TaskStandardTable[工作类型ID],0)),INDEX(TaskStandardTable[新建M档人天],MATCH($AM67,TaskStandardTable[工作类型ID],0)),"-")</f>
        <v>1.5</v>
      </c>
      <c r="AR67" s="36" t="n">
        <f aca="false">IF(INDEX(TaskStandardTable[调整适用],MATCH($AM67,TaskStandardTable[工作类型ID],0)),INDEX(TaskStandardTable[调整M档人天],MATCH($AM67,TaskStandardTable[工作类型ID],0)),"-")</f>
        <v>1</v>
      </c>
      <c r="AS67" s="36" t="str">
        <f aca="false">IF(INDEX(TaskStandardTable[接入复用适用],MATCH($AM67,TaskStandardTable[工作类型ID],0)),INDEX(TaskStandardTable[接入复用M档人天],MATCH($AM67,TaskStandardTable[工作类型ID],0)),"-")</f>
        <v>-</v>
      </c>
      <c r="AT67" s="34" t="str">
        <f aca="false">INDEX(TaskStandardTable[标准交付物],MATCH($AM67,TaskStandardTable[工作类型ID],0))</f>
        <v>可版本化的发布演练方案、步骤、判据及结果</v>
      </c>
      <c r="AU67" s="34" t="str">
        <f aca="false">IF(INDEX(TaskStandardTable[新建适用],MATCH($AM67,TaskStandardTable[工作类型ID],0)),"新建："&amp;INDEX(TaskStandardTable[新建完成标准],MATCH($AM67,TaskStandardTable[工作类型ID],0)),"")&amp;IF(INDEX(TaskStandardTable[调整适用],MATCH($AM67,TaskStandardTable[工作类型ID],0)),IF(OR(INDEX(TaskStandardTable[新建适用],MATCH($AM67,TaskStandardTable[工作类型ID],0))),CHAR(10),"")&amp;"调整："&amp;INDEX(TaskStandardTable[调整完成标准],MATCH($AM67,TaskStandardTable[工作类型ID],0)),"")&amp;IF(INDEX(TaskStandardTable[接入复用适用],MATCH($AM67,TaskStandardTable[工作类型ID],0)),IF(OR(INDEX(TaskStandardTable[新建适用],MATCH($AM67,TaskStandardTable[工作类型ID],0)),INDEX(TaskStandardTable[调整适用],MATCH($AM67,TaskStandardTable[工作类型ID],0))),CHAR(10),"")&amp;"接入复用："&amp;INDEX(TaskStandardTable[接入复用完成标准],MATCH($AM67,TaskStandardTable[工作类型ID],0)),"")</f>
        <v>新建：形成新的演练方案、步骤和成功判据，完成演练并通过验收。
调整：改变既有演练资产，重演受影响范围并完成验证。</v>
      </c>
      <c r="AV67" s="34" t="str">
        <f aca="false">INDEX(TaskStandardTable[说明],MATCH($AM67,TaskStandardTable[工作类型ID],0))</f>
        <v>日常环境部署以及方案未变化的重复演练不单列。</v>
      </c>
      <c r="AW67" s="34" t="str">
        <f aca="false">INDEX(TaskStandardTable[主要计量维度],MATCH($AM67,TaskStandardTable[工作类型ID],0))</f>
        <v>演练场景、组件、团队、异常注入</v>
      </c>
      <c r="AX67" s="34" t="str">
        <f aca="false">INDEX(TaskStandardTable[S标准],MATCH($AM67,TaskStandardTable[工作类型ID],0))</f>
        <v>1 个场景；1 个组件；1 个团队；标准检查表</v>
      </c>
      <c r="AY67" s="34" t="str">
        <f aca="false">INDEX(TaskStandardTable[M标准],MATCH($AM67,TaskStandardTable[工作类型ID],0))</f>
        <v>2～3 个相关场景；2～4 个组件；2～3 个团队；含切换、回滚和问题整改复演</v>
      </c>
      <c r="AZ67" s="34" t="str">
        <f aca="false">INDEX(TaskStandardTable[L标准],MATCH($AM67,TaskStandardTable[工作类型ID],0))</f>
        <v>4～6 个紧密相关场景、5～8 个组件或 4～6 个团队；涉及故障注入、跨系统恢复，或零停机、量化服务目标、多方联合交付</v>
      </c>
      <c r="BA67" s="34" t="str">
        <f aca="false">INDEX(TaskStandardTable[X/拆分条件],MATCH($AM67,TaskStandardTable[工作类型ID],0))</f>
        <v>场景 &gt;6、组件 &gt;8、团队 &gt;6，包含多个独立 Release、切换范围或演练轮次，或演练目标、环境和成功判据未明确</v>
      </c>
      <c r="BB67" s="34" t="str">
        <f aca="false">INDEX(TaskStandardTable[模式适用说明],MATCH($AM67,TaskStandardTable[工作类型ID],0))</f>
        <v>新建看完整新演练资产；调整只看方案、步骤和判据变化及必要重演；资产未变化的重复演练不计</v>
      </c>
    </row>
    <row r="68" customFormat="false" ht="66" hidden="false" customHeight="true" outlineLevel="0" collapsed="false">
      <c r="A68" s="38" t="n">
        <v>64</v>
      </c>
      <c r="B68" s="39" t="s">
        <v>1301</v>
      </c>
      <c r="C68" s="38" t="s">
        <v>1331</v>
      </c>
      <c r="D68" s="39" t="s">
        <v>166</v>
      </c>
      <c r="E68" s="39" t="s">
        <v>1332</v>
      </c>
      <c r="F68" s="39" t="s">
        <v>1333</v>
      </c>
      <c r="G68" s="39" t="s">
        <v>1334</v>
      </c>
      <c r="H68" s="39" t="s">
        <v>1335</v>
      </c>
      <c r="I68" s="39" t="s">
        <v>1336</v>
      </c>
      <c r="J68" s="40" t="b">
        <f aca="false">TRUE()</f>
        <v>1</v>
      </c>
      <c r="K68" s="41" t="n">
        <v>2</v>
      </c>
      <c r="L68" s="39" t="s">
        <v>1337</v>
      </c>
      <c r="M68" s="40" t="b">
        <f aca="false">TRUE()</f>
        <v>1</v>
      </c>
      <c r="N68" s="41" t="n">
        <v>1.5</v>
      </c>
      <c r="O68" s="39" t="s">
        <v>1323</v>
      </c>
      <c r="P68" s="40" t="b">
        <f aca="false">FALSE()</f>
        <v>0</v>
      </c>
      <c r="Q68" s="41"/>
      <c r="R68" s="39"/>
      <c r="S68" s="39" t="s">
        <v>1338</v>
      </c>
      <c r="T68" s="39" t="s">
        <v>1339</v>
      </c>
      <c r="U68" s="39" t="s">
        <v>1340</v>
      </c>
      <c r="V68" s="39" t="s">
        <v>1341</v>
      </c>
      <c r="W68" s="39" t="s">
        <v>1342</v>
      </c>
      <c r="X68" s="39" t="s">
        <v>1343</v>
      </c>
      <c r="Y68" s="39"/>
      <c r="Z68" s="39" t="s">
        <v>334</v>
      </c>
      <c r="AA68" s="39" t="s">
        <v>1344</v>
      </c>
      <c r="AB68" s="38" t="s">
        <v>336</v>
      </c>
      <c r="AC68" s="38" t="s">
        <v>337</v>
      </c>
      <c r="AD68" s="38" t="s">
        <v>338</v>
      </c>
      <c r="AE68" s="39" t="s">
        <v>339</v>
      </c>
      <c r="AM68" s="42" t="s">
        <v>1331</v>
      </c>
      <c r="AN68" s="42" t="str">
        <f aca="false">INDEX(TaskStandardTable[分类],MATCH($AM68,TaskStandardTable[工作类型ID],0))</f>
        <v>发布与生产</v>
      </c>
      <c r="AO68" s="43" t="str">
        <f aca="false">INDEX(TaskStandardTable[工作类型名称],MATCH($AM68,TaskStandardTable[工作类型ID],0))</f>
        <v>数据迁移演练</v>
      </c>
      <c r="AP68" s="42" t="str">
        <f aca="false">INDEX(TaskStandardTable[计量单位],MATCH($AM68,TaskStandardTable[工作类型ID],0))</f>
        <v>每个迁移批次</v>
      </c>
      <c r="AQ68" s="44" t="n">
        <f aca="false">IF(INDEX(TaskStandardTable[新建适用],MATCH($AM68,TaskStandardTable[工作类型ID],0)),INDEX(TaskStandardTable[新建M档人天],MATCH($AM68,TaskStandardTable[工作类型ID],0)),"-")</f>
        <v>2</v>
      </c>
      <c r="AR68" s="44" t="n">
        <f aca="false">IF(INDEX(TaskStandardTable[调整适用],MATCH($AM68,TaskStandardTable[工作类型ID],0)),INDEX(TaskStandardTable[调整M档人天],MATCH($AM68,TaskStandardTable[工作类型ID],0)),"-")</f>
        <v>1.5</v>
      </c>
      <c r="AS68" s="44" t="str">
        <f aca="false">IF(INDEX(TaskStandardTable[接入复用适用],MATCH($AM68,TaskStandardTable[工作类型ID],0)),INDEX(TaskStandardTable[接入复用M档人天],MATCH($AM68,TaskStandardTable[工作类型ID],0)),"-")</f>
        <v>-</v>
      </c>
      <c r="AT68" s="42" t="str">
        <f aca="false">INDEX(TaskStandardTable[标准交付物],MATCH($AM68,TaskStandardTable[工作类型ID],0))</f>
        <v>可版本化的迁移演练脚本、方案、判据及结果</v>
      </c>
      <c r="AU68" s="42" t="str">
        <f aca="false">IF(INDEX(TaskStandardTable[新建适用],MATCH($AM68,TaskStandardTable[工作类型ID],0)),"新建："&amp;INDEX(TaskStandardTable[新建完成标准],MATCH($AM68,TaskStandardTable[工作类型ID],0)),"")&amp;IF(INDEX(TaskStandardTable[调整适用],MATCH($AM68,TaskStandardTable[工作类型ID],0)),IF(OR(INDEX(TaskStandardTable[新建适用],MATCH($AM68,TaskStandardTable[工作类型ID],0))),CHAR(10),"")&amp;"调整："&amp;INDEX(TaskStandardTable[调整完成标准],MATCH($AM68,TaskStandardTable[工作类型ID],0)),"")&amp;IF(INDEX(TaskStandardTable[接入复用适用],MATCH($AM68,TaskStandardTable[工作类型ID],0)),IF(OR(INDEX(TaskStandardTable[新建适用],MATCH($AM68,TaskStandardTable[工作类型ID],0)),INDEX(TaskStandardTable[调整适用],MATCH($AM68,TaskStandardTable[工作类型ID],0))),CHAR(10),"")&amp;"接入复用："&amp;INDEX(TaskStandardTable[接入复用完成标准],MATCH($AM68,TaskStandardTable[工作类型ID],0)),"")</f>
        <v>新建：形成新的迁移演练脚本、方案和成功判据，完成耗时、校验、对账及回滚演练并通过验收。
调整：改变既有演练资产，重演受影响范围并完成验证。</v>
      </c>
      <c r="AV68" s="42" t="str">
        <f aca="false">INDEX(TaskStandardTable[说明],MATCH($AM68,TaskStandardTable[工作类型ID],0))</f>
        <v>方案未变化的重复演练和问题整改复演不单列。</v>
      </c>
      <c r="AW68" s="42" t="str">
        <f aca="false">INDEX(TaskStandardTable[主要计量维度],MATCH($AM68,TaskStandardTable[工作类型ID],0))</f>
        <v>迁移对象、数据量、验证项、批次窗口</v>
      </c>
      <c r="AX68" s="42" t="str">
        <f aca="false">INDEX(TaskStandardTable[S标准],MATCH($AM68,TaskStandardTable[工作类型ID],0))</f>
        <v>1 个对象组；≤10 万条；≤5 个验证项；允许完整重跑；无零停机或独立停机时长门禁</v>
      </c>
      <c r="AY68" s="42" t="str">
        <f aca="false">INDEX(TaskStandardTable[M标准],MATCH($AM68,TaskStandardTable[工作类型ID],0))</f>
        <v>2～4 个相关对象；&gt;10 万且 ≤1000 万条；6～15 个验证项；含耗时、对账和回滚演练</v>
      </c>
      <c r="AZ68" s="42" t="str">
        <f aca="false">INDEX(TaskStandardTable[L标准],MATCH($AM68,TaskStandardTable[工作类型ID],0))</f>
        <v>5～8 个紧密相关对象、&gt;1000 万且 ≤1 亿条或 16～30 个验证项；涉及分批、双写，或零停机、量化服务目标、非标准恢复或回滚</v>
      </c>
      <c r="BA68" s="42" t="str">
        <f aca="false">INDEX(TaskStandardTable[X/拆分条件],MATCH($AM68,TaskStandardTable[工作类型ID],0))</f>
        <v>对象 &gt;8、数据量 &gt;1 亿条、验证项 &gt;30，包含多个独立迁移批次、数据域或演练轮次，或源数据快照、窗口和成功阈值未明确</v>
      </c>
      <c r="BB68" s="42" t="str">
        <f aca="false">INDEX(TaskStandardTable[模式适用说明],MATCH($AM68,TaskStandardTable[工作类型ID],0))</f>
        <v>新建看完整新演练资产；调整只看脚本、方案和判据变化及必要重演；资产未变化的重复演练不计</v>
      </c>
    </row>
    <row r="69" customFormat="false" ht="66" hidden="false" customHeight="true" outlineLevel="0" collapsed="false">
      <c r="A69" s="32" t="n">
        <v>65</v>
      </c>
      <c r="B69" s="29" t="s">
        <v>1301</v>
      </c>
      <c r="C69" s="32" t="s">
        <v>1345</v>
      </c>
      <c r="D69" s="29" t="s">
        <v>235</v>
      </c>
      <c r="E69" s="29" t="s">
        <v>1346</v>
      </c>
      <c r="F69" s="29" t="s">
        <v>1347</v>
      </c>
      <c r="G69" s="29" t="s">
        <v>1348</v>
      </c>
      <c r="H69" s="29" t="s">
        <v>1349</v>
      </c>
      <c r="I69" s="29" t="s">
        <v>1350</v>
      </c>
      <c r="J69" s="30" t="b">
        <f aca="false">TRUE()</f>
        <v>1</v>
      </c>
      <c r="K69" s="31" t="n">
        <v>1.5</v>
      </c>
      <c r="L69" s="29" t="s">
        <v>1351</v>
      </c>
      <c r="M69" s="30" t="b">
        <f aca="false">FALSE()</f>
        <v>0</v>
      </c>
      <c r="N69" s="31"/>
      <c r="O69" s="29"/>
      <c r="P69" s="30" t="b">
        <f aca="false">FALSE()</f>
        <v>0</v>
      </c>
      <c r="Q69" s="31"/>
      <c r="R69" s="29"/>
      <c r="S69" s="29" t="s">
        <v>1352</v>
      </c>
      <c r="T69" s="29" t="s">
        <v>1353</v>
      </c>
      <c r="U69" s="29" t="s">
        <v>1354</v>
      </c>
      <c r="V69" s="29" t="s">
        <v>1355</v>
      </c>
      <c r="W69" s="29" t="s">
        <v>1356</v>
      </c>
      <c r="X69" s="29" t="s">
        <v>1357</v>
      </c>
      <c r="Y69" s="29"/>
      <c r="Z69" s="29" t="s">
        <v>334</v>
      </c>
      <c r="AA69" s="29" t="s">
        <v>1358</v>
      </c>
      <c r="AB69" s="32" t="s">
        <v>336</v>
      </c>
      <c r="AC69" s="32" t="s">
        <v>337</v>
      </c>
      <c r="AD69" s="32" t="s">
        <v>338</v>
      </c>
      <c r="AE69" s="29" t="s">
        <v>339</v>
      </c>
      <c r="AM69" s="34" t="s">
        <v>1345</v>
      </c>
      <c r="AN69" s="34" t="str">
        <f aca="false">INDEX(TaskStandardTable[分类],MATCH($AM69,TaskStandardTable[工作类型ID],0))</f>
        <v>发布与生产</v>
      </c>
      <c r="AO69" s="35" t="str">
        <f aca="false">INDEX(TaskStandardTable[工作类型名称],MATCH($AM69,TaskStandardTable[工作类型ID],0))</f>
        <v>发布技术执行</v>
      </c>
      <c r="AP69" s="34" t="str">
        <f aca="false">INDEX(TaskStandardTable[计量单位],MATCH($AM69,TaskStandardTable[工作类型ID],0))</f>
        <v>每个应用 × 单一发布批次（Release）</v>
      </c>
      <c r="AQ69" s="36" t="n">
        <f aca="false">IF(INDEX(TaskStandardTable[新建适用],MATCH($AM69,TaskStandardTable[工作类型ID],0)),INDEX(TaskStandardTable[新建M档人天],MATCH($AM69,TaskStandardTable[工作类型ID],0)),"-")</f>
        <v>1.5</v>
      </c>
      <c r="AR69" s="36" t="str">
        <f aca="false">IF(INDEX(TaskStandardTable[调整适用],MATCH($AM69,TaskStandardTable[工作类型ID],0)),INDEX(TaskStandardTable[调整M档人天],MATCH($AM69,TaskStandardTable[工作类型ID],0)),"-")</f>
        <v>-</v>
      </c>
      <c r="AS69" s="36" t="str">
        <f aca="false">IF(INDEX(TaskStandardTable[接入复用适用],MATCH($AM69,TaskStandardTable[工作类型ID],0)),INDEX(TaskStandardTable[接入复用M档人天],MATCH($AM69,TaskStandardTable[工作类型ID],0)),"-")</f>
        <v>-</v>
      </c>
      <c r="AT69" s="34" t="str">
        <f aca="false">INDEX(TaskStandardTable[标准交付物],MATCH($AM69,TaskStandardTable[工作类型ID],0))</f>
        <v>正式部署或商店提交、冒烟及健康检查结果</v>
      </c>
      <c r="AU69" s="34" t="str">
        <f aca="false">IF(INDEX(TaskStandardTable[新建适用],MATCH($AM69,TaskStandardTable[工作类型ID],0)),"新建："&amp;INDEX(TaskStandardTable[新建完成标准],MATCH($AM69,TaskStandardTable[工作类型ID],0)),"")&amp;IF(INDEX(TaskStandardTable[调整适用],MATCH($AM69,TaskStandardTable[工作类型ID],0)),IF(OR(INDEX(TaskStandardTable[新建适用],MATCH($AM69,TaskStandardTable[工作类型ID],0))),CHAR(10),"")&amp;"调整："&amp;INDEX(TaskStandardTable[调整完成标准],MATCH($AM69,TaskStandardTable[工作类型ID],0)),"")&amp;IF(INDEX(TaskStandardTable[接入复用适用],MATCH($AM69,TaskStandardTable[工作类型ID],0)),IF(OR(INDEX(TaskStandardTable[新建适用],MATCH($AM69,TaskStandardTable[工作类型ID],0)),INDEX(TaskStandardTable[调整适用],MATCH($AM69,TaskStandardTable[工作类型ID],0))),CHAR(10),"")&amp;"接入复用："&amp;INDEX(TaskStandardTable[接入复用完成标准],MATCH($AM69,TaskStandardTable[工作类型ID],0)),"")</f>
        <v>新建：形成“正式部署或商店提交、冒烟及健康检查结果”并通过约定验收。</v>
      </c>
      <c r="AV69" s="34" t="str">
        <f aca="false">INDEX(TaskStandardTable[说明],MATCH($AM69,TaskStandardTable[工作类型ID],0))</f>
        <v>基准覆盖批准窗口内的执行、冒烟、健康检查、标准回滚准备和结果留证；仅待命不计固定 PD。</v>
      </c>
      <c r="AW69" s="34" t="str">
        <f aca="false">INDEX(TaskStandardTable[主要计量维度],MATCH($AM69,TaskStandardTable[工作类型ID],0))</f>
        <v>部署组件、执行步骤、参与方、停机约束</v>
      </c>
      <c r="AX69" s="34" t="str">
        <f aca="false">INDEX(TaskStandardTable[S标准],MATCH($AM69,TaskStandardTable[工作类型ID],0))</f>
        <v>1 个组件；≤5 个步骤；1 个执行团队；无零停机或独立停机时长门禁</v>
      </c>
      <c r="AY69" s="34" t="str">
        <f aca="false">INDEX(TaskStandardTable[M标准],MATCH($AM69,TaskStandardTable[工作类型ID],0))</f>
        <v>2～4 个紧密相关组件；6～12 个步骤；2～3 个团队；含冒烟、健康检查和标准回滚</v>
      </c>
      <c r="AZ69" s="34" t="str">
        <f aca="false">INDEX(TaskStandardTable[L标准],MATCH($AM69,TaskStandardTable[工作类型ID],0))</f>
        <v>≥5 个紧密相关组件、&gt;12 个步骤或 ≥4 个团队；涉及商店多渠道、联合切流，或零停机、量化服务目标、多方联合交付</v>
      </c>
      <c r="BA69" s="34" t="str">
        <f aca="false">INDEX(TaskStandardTable[X/拆分条件],MATCH($AM69,TaskStandardTable[工作类型ID],0))</f>
        <v>包含多个可独立发布的应用/Release，或批准版本、窗口、执行人与回滚条件未明确</v>
      </c>
      <c r="BB69" s="34" t="str">
        <f aca="false">INDEX(TaskStandardTable[模式适用说明],MATCH($AM69,TaskStandardTable[工作类型ID],0))</f>
        <v>仅新建一次执行结果；使用既有流水线不改变模式，复杂度只看本次执行</v>
      </c>
    </row>
    <row r="70" customFormat="false" ht="66" hidden="false" customHeight="true" outlineLevel="0" collapsed="false">
      <c r="A70" s="38" t="n">
        <v>66</v>
      </c>
      <c r="B70" s="39" t="s">
        <v>1301</v>
      </c>
      <c r="C70" s="38" t="s">
        <v>1359</v>
      </c>
      <c r="D70" s="39" t="s">
        <v>169</v>
      </c>
      <c r="E70" s="39" t="s">
        <v>1360</v>
      </c>
      <c r="F70" s="39" t="s">
        <v>1361</v>
      </c>
      <c r="G70" s="39" t="s">
        <v>1362</v>
      </c>
      <c r="H70" s="39" t="s">
        <v>1363</v>
      </c>
      <c r="I70" s="39" t="s">
        <v>1364</v>
      </c>
      <c r="J70" s="40" t="b">
        <f aca="false">TRUE()</f>
        <v>1</v>
      </c>
      <c r="K70" s="41" t="n">
        <v>2</v>
      </c>
      <c r="L70" s="39" t="s">
        <v>1365</v>
      </c>
      <c r="M70" s="40" t="b">
        <f aca="false">FALSE()</f>
        <v>0</v>
      </c>
      <c r="N70" s="41"/>
      <c r="O70" s="39"/>
      <c r="P70" s="40" t="b">
        <f aca="false">FALSE()</f>
        <v>0</v>
      </c>
      <c r="Q70" s="41"/>
      <c r="R70" s="39"/>
      <c r="S70" s="39" t="s">
        <v>1366</v>
      </c>
      <c r="T70" s="39" t="s">
        <v>1367</v>
      </c>
      <c r="U70" s="39" t="s">
        <v>1368</v>
      </c>
      <c r="V70" s="39" t="s">
        <v>1369</v>
      </c>
      <c r="W70" s="39" t="s">
        <v>1370</v>
      </c>
      <c r="X70" s="39" t="s">
        <v>1371</v>
      </c>
      <c r="Y70" s="39"/>
      <c r="Z70" s="39" t="s">
        <v>334</v>
      </c>
      <c r="AA70" s="39" t="s">
        <v>374</v>
      </c>
      <c r="AB70" s="38" t="s">
        <v>336</v>
      </c>
      <c r="AC70" s="38" t="s">
        <v>337</v>
      </c>
      <c r="AD70" s="38" t="s">
        <v>338</v>
      </c>
      <c r="AE70" s="39" t="s">
        <v>339</v>
      </c>
      <c r="AM70" s="42" t="s">
        <v>1359</v>
      </c>
      <c r="AN70" s="42" t="str">
        <f aca="false">INDEX(TaskStandardTable[分类],MATCH($AM70,TaskStandardTable[工作类型ID],0))</f>
        <v>发布与生产</v>
      </c>
      <c r="AO70" s="43" t="str">
        <f aca="false">INDEX(TaskStandardTable[工作类型名称],MATCH($AM70,TaskStandardTable[工作类型ID],0))</f>
        <v>生产数据迁移执行</v>
      </c>
      <c r="AP70" s="42" t="str">
        <f aca="false">INDEX(TaskStandardTable[计量单位],MATCH($AM70,TaskStandardTable[工作类型ID],0))</f>
        <v>每迁移批次</v>
      </c>
      <c r="AQ70" s="44" t="n">
        <f aca="false">IF(INDEX(TaskStandardTable[新建适用],MATCH($AM70,TaskStandardTable[工作类型ID],0)),INDEX(TaskStandardTable[新建M档人天],MATCH($AM70,TaskStandardTable[工作类型ID],0)),"-")</f>
        <v>2</v>
      </c>
      <c r="AR70" s="44" t="str">
        <f aca="false">IF(INDEX(TaskStandardTable[调整适用],MATCH($AM70,TaskStandardTable[工作类型ID],0)),INDEX(TaskStandardTable[调整M档人天],MATCH($AM70,TaskStandardTable[工作类型ID],0)),"-")</f>
        <v>-</v>
      </c>
      <c r="AS70" s="44" t="str">
        <f aca="false">IF(INDEX(TaskStandardTable[接入复用适用],MATCH($AM70,TaskStandardTable[工作类型ID],0)),INDEX(TaskStandardTable[接入复用M档人天],MATCH($AM70,TaskStandardTable[工作类型ID],0)),"-")</f>
        <v>-</v>
      </c>
      <c r="AT70" s="42" t="str">
        <f aca="false">INDEX(TaskStandardTable[标准交付物],MATCH($AM70,TaskStandardTable[工作类型ID],0))</f>
        <v>正式迁移、校验及对账结果</v>
      </c>
      <c r="AU70" s="42" t="str">
        <f aca="false">IF(INDEX(TaskStandardTable[新建适用],MATCH($AM70,TaskStandardTable[工作类型ID],0)),"新建："&amp;INDEX(TaskStandardTable[新建完成标准],MATCH($AM70,TaskStandardTable[工作类型ID],0)),"")&amp;IF(INDEX(TaskStandardTable[调整适用],MATCH($AM70,TaskStandardTable[工作类型ID],0)),IF(OR(INDEX(TaskStandardTable[新建适用],MATCH($AM70,TaskStandardTable[工作类型ID],0))),CHAR(10),"")&amp;"调整："&amp;INDEX(TaskStandardTable[调整完成标准],MATCH($AM70,TaskStandardTable[工作类型ID],0)),"")&amp;IF(INDEX(TaskStandardTable[接入复用适用],MATCH($AM70,TaskStandardTable[工作类型ID],0)),IF(OR(INDEX(TaskStandardTable[新建适用],MATCH($AM70,TaskStandardTable[工作类型ID],0)),INDEX(TaskStandardTable[调整适用],MATCH($AM70,TaskStandardTable[工作类型ID],0))),CHAR(10),"")&amp;"接入复用："&amp;INDEX(TaskStandardTable[接入复用完成标准],MATCH($AM70,TaskStandardTable[工作类型ID],0)),"")</f>
        <v>新建：形成“正式迁移、校验及对账结果”并通过约定验收。</v>
      </c>
      <c r="AV70" s="42" t="str">
        <f aca="false">INDEX(TaskStandardTable[说明],MATCH($AM70,TaskStandardTable[工作类型ID],0))</f>
        <v>每个独立切换批次计一项；基准覆盖执行控制、核对、回滚点和结果留证，不包含迁移能力开发。</v>
      </c>
      <c r="AW70" s="42" t="str">
        <f aca="false">INDEX(TaskStandardTable[主要计量维度],MATCH($AM70,TaskStandardTable[工作类型ID],0))</f>
        <v>迁移对象、数据量、执行步骤、窗口/回滚</v>
      </c>
      <c r="AX70" s="42" t="str">
        <f aca="false">INDEX(TaskStandardTable[S标准],MATCH($AM70,TaskStandardTable[工作类型ID],0))</f>
        <v>1 个对象组；≤10 万条；≤5 个步骤；无零停机或独立停机时长门禁，且允许整体回滚</v>
      </c>
      <c r="AY70" s="42" t="str">
        <f aca="false">INDEX(TaskStandardTable[M标准],MATCH($AM70,TaskStandardTable[工作类型ID],0))</f>
        <v>2～4 个相关对象；&gt;10 万且 ≤1000 万条；6～12 个步骤；含分批、核对和回滚点</v>
      </c>
      <c r="AZ70" s="42" t="str">
        <f aca="false">INDEX(TaskStandardTable[L标准],MATCH($AM70,TaskStandardTable[工作类型ID],0))</f>
        <v>≥5 个紧密相关对象、&gt;1000 万条或 &gt;12 个步骤；涉及双写，或零停机、量化服务目标、多方联合交付、非标准恢复或回滚</v>
      </c>
      <c r="BA70" s="42" t="str">
        <f aca="false">INDEX(TaskStandardTable[X/拆分条件],MATCH($AM70,TaskStandardTable[工作类型ID],0))</f>
        <v>包含多个独立迁移批次/数据域，或生产授权、快照、窗口和停止条件未明确</v>
      </c>
      <c r="BB70" s="42" t="str">
        <f aca="false">INDEX(TaskStandardTable[模式适用说明],MATCH($AM70,TaskStandardTable[工作类型ID],0))</f>
        <v>仅新建一次生产执行结果；必须引用被迁移数据起点，不按脚本是否复用改变模式</v>
      </c>
    </row>
    <row r="71" customFormat="false" ht="66" hidden="false" customHeight="true" outlineLevel="0" collapsed="false">
      <c r="A71" s="32" t="n">
        <v>67</v>
      </c>
      <c r="B71" s="29" t="s">
        <v>1301</v>
      </c>
      <c r="C71" s="32" t="s">
        <v>1372</v>
      </c>
      <c r="D71" s="29" t="s">
        <v>1373</v>
      </c>
      <c r="E71" s="29" t="s">
        <v>1303</v>
      </c>
      <c r="F71" s="29" t="s">
        <v>1374</v>
      </c>
      <c r="G71" s="29" t="s">
        <v>1375</v>
      </c>
      <c r="H71" s="29" t="s">
        <v>1376</v>
      </c>
      <c r="I71" s="29" t="s">
        <v>1377</v>
      </c>
      <c r="J71" s="30" t="b">
        <f aca="false">TRUE()</f>
        <v>1</v>
      </c>
      <c r="K71" s="31" t="n">
        <v>1</v>
      </c>
      <c r="L71" s="29" t="s">
        <v>1378</v>
      </c>
      <c r="M71" s="30" t="b">
        <f aca="false">FALSE()</f>
        <v>0</v>
      </c>
      <c r="N71" s="31"/>
      <c r="O71" s="29"/>
      <c r="P71" s="30" t="b">
        <f aca="false">FALSE()</f>
        <v>0</v>
      </c>
      <c r="Q71" s="31"/>
      <c r="R71" s="29"/>
      <c r="S71" s="29" t="s">
        <v>1379</v>
      </c>
      <c r="T71" s="29" t="s">
        <v>1380</v>
      </c>
      <c r="U71" s="29" t="s">
        <v>1381</v>
      </c>
      <c r="V71" s="29" t="s">
        <v>1382</v>
      </c>
      <c r="W71" s="29" t="s">
        <v>1383</v>
      </c>
      <c r="X71" s="29" t="s">
        <v>1384</v>
      </c>
      <c r="Y71" s="29"/>
      <c r="Z71" s="29" t="s">
        <v>334</v>
      </c>
      <c r="AA71" s="29" t="s">
        <v>374</v>
      </c>
      <c r="AB71" s="32" t="s">
        <v>336</v>
      </c>
      <c r="AC71" s="32" t="s">
        <v>337</v>
      </c>
      <c r="AD71" s="32" t="s">
        <v>338</v>
      </c>
      <c r="AE71" s="29" t="s">
        <v>339</v>
      </c>
      <c r="AM71" s="34" t="s">
        <v>1372</v>
      </c>
      <c r="AN71" s="34" t="str">
        <f aca="false">INDEX(TaskStandardTable[分类],MATCH($AM71,TaskStandardTable[工作类型ID],0))</f>
        <v>发布与生产</v>
      </c>
      <c r="AO71" s="35" t="str">
        <f aca="false">INDEX(TaskStandardTable[工作类型名称],MATCH($AM71,TaskStandardTable[工作类型ID],0))</f>
        <v>发布后技术复盘</v>
      </c>
      <c r="AP71" s="34" t="str">
        <f aca="false">INDEX(TaskStandardTable[计量单位],MATCH($AM71,TaskStandardTable[工作类型ID],0))</f>
        <v>每个发布批次（Release）</v>
      </c>
      <c r="AQ71" s="36" t="n">
        <f aca="false">IF(INDEX(TaskStandardTable[新建适用],MATCH($AM71,TaskStandardTable[工作类型ID],0)),INDEX(TaskStandardTable[新建M档人天],MATCH($AM71,TaskStandardTable[工作类型ID],0)),"-")</f>
        <v>1</v>
      </c>
      <c r="AR71" s="36" t="str">
        <f aca="false">IF(INDEX(TaskStandardTable[调整适用],MATCH($AM71,TaskStandardTable[工作类型ID],0)),INDEX(TaskStandardTable[调整M档人天],MATCH($AM71,TaskStandardTable[工作类型ID],0)),"-")</f>
        <v>-</v>
      </c>
      <c r="AS71" s="36" t="str">
        <f aca="false">IF(INDEX(TaskStandardTable[接入复用适用],MATCH($AM71,TaskStandardTable[工作类型ID],0)),INDEX(TaskStandardTable[接入复用M档人天],MATCH($AM71,TaskStandardTable[工作类型ID],0)),"-")</f>
        <v>-</v>
      </c>
      <c r="AT71" s="34" t="str">
        <f aca="false">INDEX(TaskStandardTable[标准交付物],MATCH($AM71,TaskStandardTable[工作类型ID],0))</f>
        <v>发布复盘结论、问题及改进项</v>
      </c>
      <c r="AU71" s="34" t="str">
        <f aca="false">IF(INDEX(TaskStandardTable[新建适用],MATCH($AM71,TaskStandardTable[工作类型ID],0)),"新建："&amp;INDEX(TaskStandardTable[新建完成标准],MATCH($AM71,TaskStandardTable[工作类型ID],0)),"")&amp;IF(INDEX(TaskStandardTable[调整适用],MATCH($AM71,TaskStandardTable[工作类型ID],0)),IF(OR(INDEX(TaskStandardTable[新建适用],MATCH($AM71,TaskStandardTable[工作类型ID],0))),CHAR(10),"")&amp;"调整："&amp;INDEX(TaskStandardTable[调整完成标准],MATCH($AM71,TaskStandardTable[工作类型ID],0)),"")&amp;IF(INDEX(TaskStandardTable[接入复用适用],MATCH($AM71,TaskStandardTable[工作类型ID],0)),IF(OR(INDEX(TaskStandardTable[新建适用],MATCH($AM71,TaskStandardTable[工作类型ID],0)),INDEX(TaskStandardTable[调整适用],MATCH($AM71,TaskStandardTable[工作类型ID],0))),CHAR(10),"")&amp;"接入复用："&amp;INDEX(TaskStandardTable[接入复用完成标准],MATCH($AM71,TaskStandardTable[工作类型ID],0)),"")</f>
        <v>新建：形成“发布复盘结论、问题及改进项”并通过约定验收。</v>
      </c>
      <c r="AV71" s="34" t="str">
        <f aca="false">INDEX(TaskStandardTable[说明],MATCH($AM71,TaskStandardTable[工作类型ID],0))</f>
        <v>一次 Release 一个复盘结果；M 档包含多证据源和跨团队行动项，原 0.5 PD 上调待实绩复核。</v>
      </c>
      <c r="AW71" s="34" t="str">
        <f aca="false">INDEX(TaskStandardTable[主要计量维度],MATCH($AM71,TaskStandardTable[工作类型ID],0))</f>
        <v>证据源、参与方、问题/改进项、时间线</v>
      </c>
      <c r="AX71" s="34" t="str">
        <f aca="false">INDEX(TaskStandardTable[S标准],MATCH($AM71,TaskStandardTable[工作类型ID],0))</f>
        <v>≤3 个证据源；1 个团队；≤3 个问题/改进项；时间线明确</v>
      </c>
      <c r="AY71" s="34" t="str">
        <f aca="false">INDEX(TaskStandardTable[M标准],MATCH($AM71,TaskStandardTable[工作类型ID],0))</f>
        <v>4～8 个证据源；2～3 个团队；4～10 个问题；需关联指标和行动责任</v>
      </c>
      <c r="AZ71" s="34" t="str">
        <f aca="false">INDEX(TaskStandardTable[L标准],MATCH($AM71,TaskStandardTable[工作类型ID],0))</f>
        <v>9～16 个证据源、4～6 个团队或 11～20 个问题；涉及跨系统因果链，或关键业务影响、受监管证据</v>
      </c>
      <c r="BA71" s="34" t="str">
        <f aca="false">INDEX(TaskStandardTable[X/拆分条件],MATCH($AM71,TaskStandardTable[工作类型ID],0))</f>
        <v>证据源 &gt;16、团队 &gt;6、问题 &gt;20，包含多个独立 Release/事件，或复盘范围、事实时间线和责任人未明确</v>
      </c>
      <c r="BB71" s="34" t="str">
        <f aca="false">INDEX(TaskStandardTable[模式适用说明],MATCH($AM71,TaskStandardTable[工作类型ID],0))</f>
        <v>仅新建一次复盘结果；既有模板只是工具使用，不单列 Task</v>
      </c>
    </row>
    <row r="72" customFormat="false" ht="66" hidden="false" customHeight="true" outlineLevel="0" collapsed="false">
      <c r="A72" s="38" t="n">
        <v>68</v>
      </c>
      <c r="B72" s="39" t="s">
        <v>1301</v>
      </c>
      <c r="C72" s="38" t="s">
        <v>1385</v>
      </c>
      <c r="D72" s="39" t="s">
        <v>1386</v>
      </c>
      <c r="E72" s="39" t="s">
        <v>1387</v>
      </c>
      <c r="F72" s="39" t="s">
        <v>1388</v>
      </c>
      <c r="G72" s="39" t="s">
        <v>1389</v>
      </c>
      <c r="H72" s="39" t="s">
        <v>1390</v>
      </c>
      <c r="I72" s="39" t="s">
        <v>1391</v>
      </c>
      <c r="J72" s="40" t="b">
        <f aca="false">TRUE()</f>
        <v>1</v>
      </c>
      <c r="K72" s="41" t="n">
        <v>1.5</v>
      </c>
      <c r="L72" s="39" t="s">
        <v>1392</v>
      </c>
      <c r="M72" s="40" t="b">
        <f aca="false">FALSE()</f>
        <v>0</v>
      </c>
      <c r="N72" s="41"/>
      <c r="O72" s="39"/>
      <c r="P72" s="40" t="b">
        <f aca="false">FALSE()</f>
        <v>0</v>
      </c>
      <c r="Q72" s="41"/>
      <c r="R72" s="39"/>
      <c r="S72" s="39" t="s">
        <v>1393</v>
      </c>
      <c r="T72" s="39" t="s">
        <v>1394</v>
      </c>
      <c r="U72" s="39" t="s">
        <v>1395</v>
      </c>
      <c r="V72" s="39" t="s">
        <v>1396</v>
      </c>
      <c r="W72" s="39" t="s">
        <v>1397</v>
      </c>
      <c r="X72" s="39" t="s">
        <v>1398</v>
      </c>
      <c r="Y72" s="39"/>
      <c r="Z72" s="39" t="s">
        <v>334</v>
      </c>
      <c r="AA72" s="39" t="s">
        <v>1399</v>
      </c>
      <c r="AB72" s="38" t="s">
        <v>336</v>
      </c>
      <c r="AC72" s="38" t="s">
        <v>337</v>
      </c>
      <c r="AD72" s="38" t="s">
        <v>338</v>
      </c>
      <c r="AE72" s="39" t="s">
        <v>339</v>
      </c>
      <c r="AM72" s="42" t="s">
        <v>1385</v>
      </c>
      <c r="AN72" s="42" t="str">
        <f aca="false">INDEX(TaskStandardTable[分类],MATCH($AM72,TaskStandardTable[工作类型ID],0))</f>
        <v>发布与生产</v>
      </c>
      <c r="AO72" s="43" t="str">
        <f aca="false">INDEX(TaskStandardTable[工作类型名称],MATCH($AM72,TaskStandardTable[工作类型ID],0))</f>
        <v>生产故障诊断与恢复</v>
      </c>
      <c r="AP72" s="42" t="str">
        <f aca="false">INDEX(TaskStandardTable[计量单位],MATCH($AM72,TaskStandardTable[工作类型ID],0))</f>
        <v>每个统一事件范围</v>
      </c>
      <c r="AQ72" s="44" t="n">
        <f aca="false">IF(INDEX(TaskStandardTable[新建适用],MATCH($AM72,TaskStandardTable[工作类型ID],0)),INDEX(TaskStandardTable[新建M档人天],MATCH($AM72,TaskStandardTable[工作类型ID],0)),"-")</f>
        <v>1.5</v>
      </c>
      <c r="AR72" s="44" t="str">
        <f aca="false">IF(INDEX(TaskStandardTable[调整适用],MATCH($AM72,TaskStandardTable[工作类型ID],0)),INDEX(TaskStandardTable[调整M档人天],MATCH($AM72,TaskStandardTable[工作类型ID],0)),"-")</f>
        <v>-</v>
      </c>
      <c r="AS72" s="44" t="str">
        <f aca="false">IF(INDEX(TaskStandardTable[接入复用适用],MATCH($AM72,TaskStandardTable[工作类型ID],0)),INDEX(TaskStandardTable[接入复用M档人天],MATCH($AM72,TaskStandardTable[工作类型ID],0)),"-")</f>
        <v>-</v>
      </c>
      <c r="AT72" s="42" t="str">
        <f aca="false">INDEX(TaskStandardTable[标准交付物],MATCH($AM72,TaskStandardTable[工作类型ID],0))</f>
        <v>生产恢复结果及诊断证据</v>
      </c>
      <c r="AU72" s="42" t="str">
        <f aca="false">IF(INDEX(TaskStandardTable[新建适用],MATCH($AM72,TaskStandardTable[工作类型ID],0)),"新建："&amp;INDEX(TaskStandardTable[新建完成标准],MATCH($AM72,TaskStandardTable[工作类型ID],0)),"")&amp;IF(INDEX(TaskStandardTable[调整适用],MATCH($AM72,TaskStandardTable[工作类型ID],0)),IF(OR(INDEX(TaskStandardTable[新建适用],MATCH($AM72,TaskStandardTable[工作类型ID],0))),CHAR(10),"")&amp;"调整："&amp;INDEX(TaskStandardTable[调整完成标准],MATCH($AM72,TaskStandardTable[工作类型ID],0)),"")&amp;IF(INDEX(TaskStandardTable[接入复用适用],MATCH($AM72,TaskStandardTable[工作类型ID],0)),IF(OR(INDEX(TaskStandardTable[新建适用],MATCH($AM72,TaskStandardTable[工作类型ID],0)),INDEX(TaskStandardTable[调整适用],MATCH($AM72,TaskStandardTable[工作类型ID],0))),CHAR(10),"")&amp;"接入复用："&amp;INDEX(TaskStandardTable[接入复用完成标准],MATCH($AM72,TaskStandardTable[工作类型ID],0)),"")</f>
        <v>新建：形成“生产恢复结果及诊断证据”并通过约定验收。</v>
      </c>
      <c r="AV72" s="42" t="str">
        <f aca="false">INDEX(TaskStandardTable[说明],MATCH($AM72,TaskStandardTable[工作类型ID],0))</f>
        <v>与 RCA 并存时不重复计算诊断。</v>
      </c>
      <c r="AW72" s="42" t="str">
        <f aca="false">INDEX(TaskStandardTable[主要计量维度],MATCH($AM72,TaskStandardTable[工作类型ID],0))</f>
        <v>组件、证据源、假设、恢复动作</v>
      </c>
      <c r="AX72" s="42" t="str">
        <f aca="false">INDEX(TaskStandardTable[S标准],MATCH($AM72,TaskStandardTable[工作类型ID],0))</f>
        <v>1 个组件；≤2 个证据源；1～2 个假设；标准恢复动作</v>
      </c>
      <c r="AY72" s="42" t="str">
        <f aca="false">INDEX(TaskStandardTable[M标准],MATCH($AM72,TaskStandardTable[工作类型ID],0))</f>
        <v>2～4 个紧密相关组件；3～6 个证据源；3～5 个假设；需跨团队协同和临时缓解</v>
      </c>
      <c r="AZ72" s="42" t="str">
        <f aca="false">INDEX(TaskStandardTable[L标准],MATCH($AM72,TaskStandardTable[工作类型ID],0))</f>
        <v>5～8 个紧密相关组件、7～12 个证据源或 6～10 个假设，或关键业务影响、非标准恢复或回滚、多方联合交付、高敏感数据或权限控制、受监管证据</v>
      </c>
      <c r="BA72" s="42" t="str">
        <f aca="false">INDEX(TaskStandardTable[X/拆分条件],MATCH($AM72,TaskStandardTable[工作类型ID],0))</f>
        <v>组件 &gt;8、证据源 &gt;12、假设 &gt;10，包含多个独立故障/根因，或影响范围、事件所有者和恢复目标未明确</v>
      </c>
      <c r="BB72" s="42" t="str">
        <f aca="false">INDEX(TaskStandardTable[模式适用说明],MATCH($AM72,TaskStandardTable[工作类型ID],0))</f>
        <v>仅新建一次故障处理结果；与 RCA 并存时不重复计算相同诊断</v>
      </c>
    </row>
    <row r="73" customFormat="false" ht="66" hidden="false" customHeight="true" outlineLevel="0" collapsed="false">
      <c r="A73" s="32" t="n">
        <v>69</v>
      </c>
      <c r="B73" s="29" t="s">
        <v>1301</v>
      </c>
      <c r="C73" s="32" t="s">
        <v>1400</v>
      </c>
      <c r="D73" s="29" t="s">
        <v>1401</v>
      </c>
      <c r="E73" s="29" t="s">
        <v>1402</v>
      </c>
      <c r="F73" s="29" t="s">
        <v>1403</v>
      </c>
      <c r="G73" s="29" t="s">
        <v>1404</v>
      </c>
      <c r="H73" s="29" t="s">
        <v>1405</v>
      </c>
      <c r="I73" s="29" t="s">
        <v>1406</v>
      </c>
      <c r="J73" s="30" t="b">
        <f aca="false">TRUE()</f>
        <v>1</v>
      </c>
      <c r="K73" s="31" t="n">
        <v>1.5</v>
      </c>
      <c r="L73" s="29" t="s">
        <v>1407</v>
      </c>
      <c r="M73" s="30" t="b">
        <f aca="false">FALSE()</f>
        <v>0</v>
      </c>
      <c r="N73" s="31"/>
      <c r="O73" s="29"/>
      <c r="P73" s="30" t="b">
        <f aca="false">FALSE()</f>
        <v>0</v>
      </c>
      <c r="Q73" s="31"/>
      <c r="R73" s="29"/>
      <c r="S73" s="29" t="s">
        <v>1408</v>
      </c>
      <c r="T73" s="29" t="s">
        <v>1409</v>
      </c>
      <c r="U73" s="29" t="s">
        <v>1410</v>
      </c>
      <c r="V73" s="29" t="s">
        <v>1411</v>
      </c>
      <c r="W73" s="29" t="s">
        <v>1412</v>
      </c>
      <c r="X73" s="29" t="s">
        <v>1413</v>
      </c>
      <c r="Y73" s="29"/>
      <c r="Z73" s="29" t="s">
        <v>334</v>
      </c>
      <c r="AA73" s="29" t="s">
        <v>374</v>
      </c>
      <c r="AB73" s="32" t="s">
        <v>336</v>
      </c>
      <c r="AC73" s="32" t="s">
        <v>337</v>
      </c>
      <c r="AD73" s="32" t="s">
        <v>338</v>
      </c>
      <c r="AE73" s="29" t="s">
        <v>339</v>
      </c>
      <c r="AM73" s="34" t="s">
        <v>1400</v>
      </c>
      <c r="AN73" s="34" t="str">
        <f aca="false">INDEX(TaskStandardTable[分类],MATCH($AM73,TaskStandardTable[工作类型ID],0))</f>
        <v>发布与生产</v>
      </c>
      <c r="AO73" s="35" t="str">
        <f aca="false">INDEX(TaskStandardTable[工作类型名称],MATCH($AM73,TaskStandardTable[工作类型ID],0))</f>
        <v>生产问题根因分析（RCA）</v>
      </c>
      <c r="AP73" s="34" t="str">
        <f aca="false">INDEX(TaskStandardTable[计量单位],MATCH($AM73,TaskStandardTable[工作类型ID],0))</f>
        <v>每个独立根因问题</v>
      </c>
      <c r="AQ73" s="36" t="n">
        <f aca="false">IF(INDEX(TaskStandardTable[新建适用],MATCH($AM73,TaskStandardTable[工作类型ID],0)),INDEX(TaskStandardTable[新建M档人天],MATCH($AM73,TaskStandardTable[工作类型ID],0)),"-")</f>
        <v>1.5</v>
      </c>
      <c r="AR73" s="36" t="str">
        <f aca="false">IF(INDEX(TaskStandardTable[调整适用],MATCH($AM73,TaskStandardTable[工作类型ID],0)),INDEX(TaskStandardTable[调整M档人天],MATCH($AM73,TaskStandardTable[工作类型ID],0)),"-")</f>
        <v>-</v>
      </c>
      <c r="AS73" s="36" t="str">
        <f aca="false">IF(INDEX(TaskStandardTable[接入复用适用],MATCH($AM73,TaskStandardTable[工作类型ID],0)),INDEX(TaskStandardTable[接入复用M档人天],MATCH($AM73,TaskStandardTable[工作类型ID],0)),"-")</f>
        <v>-</v>
      </c>
      <c r="AT73" s="34" t="str">
        <f aca="false">INDEX(TaskStandardTable[标准交付物],MATCH($AM73,TaskStandardTable[工作类型ID],0))</f>
        <v>根因、时间线、影响、验证及改进结论</v>
      </c>
      <c r="AU73" s="34" t="str">
        <f aca="false">IF(INDEX(TaskStandardTable[新建适用],MATCH($AM73,TaskStandardTable[工作类型ID],0)),"新建："&amp;INDEX(TaskStandardTable[新建完成标准],MATCH($AM73,TaskStandardTable[工作类型ID],0)),"")&amp;IF(INDEX(TaskStandardTable[调整适用],MATCH($AM73,TaskStandardTable[工作类型ID],0)),IF(OR(INDEX(TaskStandardTable[新建适用],MATCH($AM73,TaskStandardTable[工作类型ID],0))),CHAR(10),"")&amp;"调整："&amp;INDEX(TaskStandardTable[调整完成标准],MATCH($AM73,TaskStandardTable[工作类型ID],0)),"")&amp;IF(INDEX(TaskStandardTable[接入复用适用],MATCH($AM73,TaskStandardTable[工作类型ID],0)),IF(OR(INDEX(TaskStandardTable[新建适用],MATCH($AM73,TaskStandardTable[工作类型ID],0)),INDEX(TaskStandardTable[调整适用],MATCH($AM73,TaskStandardTable[工作类型ID],0))),CHAR(10),"")&amp;"接入复用："&amp;INDEX(TaskStandardTable[接入复用完成标准],MATCH($AM73,TaskStandardTable[工作类型ID],0)),"")</f>
        <v>新建：形成“根因、时间线、影响、验证及改进结论”并通过约定验收。</v>
      </c>
      <c r="AV73" s="34" t="str">
        <f aca="false">INDEX(TaskStandardTable[说明],MATCH($AM73,TaskStandardTable[工作类型ID],0))</f>
        <v>具体修复按原工作类型修改模式计量。</v>
      </c>
      <c r="AW73" s="34" t="str">
        <f aca="false">INDEX(TaskStandardTable[主要计量维度],MATCH($AM73,TaskStandardTable[工作类型ID],0))</f>
        <v>因果层级、新增证据源、系统范围、改进责任方</v>
      </c>
      <c r="AX73" s="34" t="str">
        <f aca="false">INDEX(TaskStandardTable[S标准],MATCH($AM73,TaskStandardTable[工作类型ID],0))</f>
        <v>1 个组件；≤3 个本次新增或重新因果分析的证据源；单层直接原因；1 个责任方</v>
      </c>
      <c r="AY73" s="34" t="str">
        <f aca="false">INDEX(TaskStandardTable[M标准],MATCH($AM73,TaskStandardTable[工作类型ID],0))</f>
        <v>2～4 个紧密相关组件；4～8 个新增/重分析证据源；2～3 层因果链；2～3 个责任方</v>
      </c>
      <c r="AZ73" s="34" t="str">
        <f aca="false">INDEX(TaskStandardTable[L标准],MATCH($AM73,TaskStandardTable[工作类型ID],0))</f>
        <v>5～8 个紧密相关组件、9～16 个新增/重分析证据源或 4～6 层因果链；涉及跨系统因果链、跨责任流程因果链，或高敏感数据或权限控制、受监管证据</v>
      </c>
      <c r="BA73" s="34" t="str">
        <f aca="false">INDEX(TaskStandardTable[X/拆分条件],MATCH($AM73,TaskStandardTable[工作类型ID],0))</f>
        <v>组件 &gt;8、证据源 &gt;16、因果层级 &gt;6，包含多个独立问题/根因，或事实时间线、复现证据和问题边界未明确</v>
      </c>
      <c r="BB73" s="34" t="str">
        <f aca="false">INDEX(TaskStandardTable[模式适用说明],MATCH($AM73,TaskStandardTable[工作类型ID],0))</f>
        <v>仅新建一次 RCA 结论；必须把恢复 Task 已复用证据与 RCA 新增/重分析证据分别标识，重复证据不增加复杂度；具体修复按原工作类型的调整模式另计</v>
      </c>
    </row>
    <row r="74" customFormat="false" ht="66" hidden="false" customHeight="true" outlineLevel="0" collapsed="false">
      <c r="A74" s="38" t="n">
        <v>70</v>
      </c>
      <c r="B74" s="39" t="s">
        <v>1301</v>
      </c>
      <c r="C74" s="38" t="s">
        <v>1414</v>
      </c>
      <c r="D74" s="39" t="s">
        <v>1415</v>
      </c>
      <c r="E74" s="39" t="s">
        <v>1416</v>
      </c>
      <c r="F74" s="39" t="s">
        <v>1417</v>
      </c>
      <c r="G74" s="39" t="s">
        <v>1418</v>
      </c>
      <c r="H74" s="39" t="s">
        <v>1419</v>
      </c>
      <c r="I74" s="39" t="s">
        <v>1420</v>
      </c>
      <c r="J74" s="40" t="b">
        <f aca="false">TRUE()</f>
        <v>1</v>
      </c>
      <c r="K74" s="41" t="n">
        <v>2</v>
      </c>
      <c r="L74" s="39" t="s">
        <v>1421</v>
      </c>
      <c r="M74" s="40" t="b">
        <f aca="false">FALSE()</f>
        <v>0</v>
      </c>
      <c r="N74" s="41"/>
      <c r="O74" s="39"/>
      <c r="P74" s="40" t="b">
        <f aca="false">FALSE()</f>
        <v>0</v>
      </c>
      <c r="Q74" s="41"/>
      <c r="R74" s="39"/>
      <c r="S74" s="39" t="s">
        <v>1422</v>
      </c>
      <c r="T74" s="39" t="s">
        <v>1423</v>
      </c>
      <c r="U74" s="39" t="s">
        <v>1424</v>
      </c>
      <c r="V74" s="39" t="s">
        <v>1425</v>
      </c>
      <c r="W74" s="39" t="s">
        <v>1426</v>
      </c>
      <c r="X74" s="39" t="s">
        <v>1427</v>
      </c>
      <c r="Y74" s="39"/>
      <c r="Z74" s="39" t="s">
        <v>334</v>
      </c>
      <c r="AA74" s="39" t="s">
        <v>1428</v>
      </c>
      <c r="AB74" s="38" t="s">
        <v>336</v>
      </c>
      <c r="AC74" s="38" t="s">
        <v>337</v>
      </c>
      <c r="AD74" s="38" t="s">
        <v>338</v>
      </c>
      <c r="AE74" s="39" t="s">
        <v>339</v>
      </c>
      <c r="AM74" s="42" t="s">
        <v>1414</v>
      </c>
      <c r="AN74" s="42" t="str">
        <f aca="false">INDEX(TaskStandardTable[分类],MATCH($AM74,TaskStandardTable[工作类型ID],0))</f>
        <v>发布与生产</v>
      </c>
      <c r="AO74" s="43" t="str">
        <f aca="false">INDEX(TaskStandardTable[工作类型名称],MATCH($AM74,TaskStandardTable[工作类型ID],0))</f>
        <v>系统功能或应用退役</v>
      </c>
      <c r="AP74" s="42" t="str">
        <f aca="false">INDEX(TaskStandardTable[计量单位],MATCH($AM74,TaskStandardTable[工作类型ID],0))</f>
        <v>每个独立退役对象</v>
      </c>
      <c r="AQ74" s="44" t="n">
        <f aca="false">IF(INDEX(TaskStandardTable[新建适用],MATCH($AM74,TaskStandardTable[工作类型ID],0)),INDEX(TaskStandardTable[新建M档人天],MATCH($AM74,TaskStandardTable[工作类型ID],0)),"-")</f>
        <v>2</v>
      </c>
      <c r="AR74" s="44" t="str">
        <f aca="false">IF(INDEX(TaskStandardTable[调整适用],MATCH($AM74,TaskStandardTable[工作类型ID],0)),INDEX(TaskStandardTable[调整M档人天],MATCH($AM74,TaskStandardTable[工作类型ID],0)),"-")</f>
        <v>-</v>
      </c>
      <c r="AS74" s="44" t="str">
        <f aca="false">IF(INDEX(TaskStandardTable[接入复用适用],MATCH($AM74,TaskStandardTable[工作类型ID],0)),INDEX(TaskStandardTable[接入复用M档人天],MATCH($AM74,TaskStandardTable[工作类型ID],0)),"-")</f>
        <v>-</v>
      </c>
      <c r="AT74" s="42" t="str">
        <f aca="false">INDEX(TaskStandardTable[标准交付物],MATCH($AM74,TaskStandardTable[工作类型ID],0))</f>
        <v>退役编排、入口关闭、依赖解除、数据归档、权限撤销、资源释放及整体验证</v>
      </c>
      <c r="AU74" s="42" t="str">
        <f aca="false">IF(INDEX(TaskStandardTable[新建适用],MATCH($AM74,TaskStandardTable[工作类型ID],0)),"新建："&amp;INDEX(TaskStandardTable[新建完成标准],MATCH($AM74,TaskStandardTable[工作类型ID],0)),"")&amp;IF(INDEX(TaskStandardTable[调整适用],MATCH($AM74,TaskStandardTable[工作类型ID],0)),IF(OR(INDEX(TaskStandardTable[新建适用],MATCH($AM74,TaskStandardTable[工作类型ID],0))),CHAR(10),"")&amp;"调整："&amp;INDEX(TaskStandardTable[调整完成标准],MATCH($AM74,TaskStandardTable[工作类型ID],0)),"")&amp;IF(INDEX(TaskStandardTable[接入复用适用],MATCH($AM74,TaskStandardTable[工作类型ID],0)),IF(OR(INDEX(TaskStandardTable[新建适用],MATCH($AM74,TaskStandardTable[工作类型ID],0)),INDEX(TaskStandardTable[调整适用],MATCH($AM74,TaskStandardTable[工作类型ID],0))),CHAR(10),"")&amp;"接入复用："&amp;INDEX(TaskStandardTable[接入复用完成标准],MATCH($AM74,TaskStandardTable[工作类型ID],0)),"")</f>
        <v>新建：形成一个退役对象的批准方案、执行编排和整体验证结果。</v>
      </c>
      <c r="AV74" s="42" t="str">
        <f aca="false">INDEX(TaskStandardTable[说明],MATCH($AM74,TaskStandardTable[工作类型ID],0))</f>
        <v>只计退役整体编排与结果；独立版本化和验收的数据生命周期、权限或资源栈变更应使用各自专用类型，并从本行复杂度中排除，不能重复计量。</v>
      </c>
      <c r="AW74" s="42" t="str">
        <f aca="false">INDEX(TaskStandardTable[主要计量维度],MATCH($AM74,TaskStandardTable[工作类型ID],0))</f>
        <v>退役对象、使用方、编排步骤、整体验证</v>
      </c>
      <c r="AX74" s="42" t="str">
        <f aca="false">INDEX(TaskStandardTable[S标准],MATCH($AM74,TaskStandardTable[工作类型ID],0))</f>
        <v>1 个独立对象；≤2 个使用方；≤5 个编排步骤；无重要数据；可直接恢复</v>
      </c>
      <c r="AY74" s="42" t="str">
        <f aca="false">INDEX(TaskStandardTable[M标准],MATCH($AM74,TaskStandardTable[工作类型ID],0))</f>
        <v>1 个对象含 3～5 个使用方；6～12 个编排步骤；需协调归档、权限/配置清理、依赖解除和恢复窗口</v>
      </c>
      <c r="AZ74" s="42" t="str">
        <f aca="false">INDEX(TaskStandardTable[L标准],MATCH($AM74,TaskStandardTable[工作类型ID],0))</f>
        <v>1 个对象含 6～10 个使用方或 13～24 个编排步骤；涉及跨系统依赖移除、分阶段退出，或受监管证据、非标准恢复或回滚</v>
      </c>
      <c r="BA74" s="42" t="str">
        <f aca="false">INDEX(TaskStandardTable[X/拆分条件],MATCH($AM74,TaskStandardTable[工作类型ID],0))</f>
        <v>使用方 &gt;10、步骤 &gt;24，包含多个可独立退役对象，或使用方、数据留存、依赖和批准人未明确</v>
      </c>
      <c r="BB74" s="42" t="str">
        <f aca="false">INDEX(TaskStandardTable[模式适用说明],MATCH($AM74,TaskStandardTable[工作类型ID],0))</f>
        <v>仅新建一次退役整体结果并引用有效起点；独立数据生命周期、权限或资源栈变更使用专用类型且不计入本行规模</v>
      </c>
    </row>
    <row r="75" customFormat="false" ht="66" hidden="false" customHeight="true" outlineLevel="0" collapsed="false">
      <c r="A75" s="32" t="n">
        <v>71</v>
      </c>
      <c r="B75" s="29" t="s">
        <v>1429</v>
      </c>
      <c r="C75" s="32" t="s">
        <v>1430</v>
      </c>
      <c r="D75" s="29" t="s">
        <v>226</v>
      </c>
      <c r="E75" s="29" t="s">
        <v>1431</v>
      </c>
      <c r="F75" s="29" t="s">
        <v>1432</v>
      </c>
      <c r="G75" s="29" t="s">
        <v>1433</v>
      </c>
      <c r="H75" s="29" t="s">
        <v>1434</v>
      </c>
      <c r="I75" s="29" t="s">
        <v>1435</v>
      </c>
      <c r="J75" s="30" t="b">
        <f aca="false">TRUE()</f>
        <v>1</v>
      </c>
      <c r="K75" s="31" t="n">
        <v>1.5</v>
      </c>
      <c r="L75" s="29" t="s">
        <v>1436</v>
      </c>
      <c r="M75" s="30" t="b">
        <f aca="false">TRUE()</f>
        <v>1</v>
      </c>
      <c r="N75" s="31" t="n">
        <v>1</v>
      </c>
      <c r="O75" s="29" t="s">
        <v>1437</v>
      </c>
      <c r="P75" s="30" t="b">
        <f aca="false">FALSE()</f>
        <v>0</v>
      </c>
      <c r="Q75" s="31"/>
      <c r="R75" s="29"/>
      <c r="S75" s="29" t="s">
        <v>1438</v>
      </c>
      <c r="T75" s="29" t="s">
        <v>1439</v>
      </c>
      <c r="U75" s="29" t="s">
        <v>1440</v>
      </c>
      <c r="V75" s="29" t="s">
        <v>1441</v>
      </c>
      <c r="W75" s="29" t="s">
        <v>1442</v>
      </c>
      <c r="X75" s="29" t="s">
        <v>1443</v>
      </c>
      <c r="Y75" s="29"/>
      <c r="Z75" s="29" t="s">
        <v>334</v>
      </c>
      <c r="AA75" s="29" t="s">
        <v>374</v>
      </c>
      <c r="AB75" s="32" t="s">
        <v>336</v>
      </c>
      <c r="AC75" s="32" t="s">
        <v>337</v>
      </c>
      <c r="AD75" s="32" t="s">
        <v>338</v>
      </c>
      <c r="AE75" s="29" t="s">
        <v>339</v>
      </c>
      <c r="AM75" s="34" t="s">
        <v>1430</v>
      </c>
      <c r="AN75" s="34" t="str">
        <f aca="false">INDEX(TaskStandardTable[分类],MATCH($AM75,TaskStandardTable[工作类型ID],0))</f>
        <v>交付与移交</v>
      </c>
      <c r="AO75" s="35" t="str">
        <f aca="false">INDEX(TaskStandardTable[工作类型名称],MATCH($AM75,TaskStandardTable[工作类型ID],0))</f>
        <v>应用运行维护手册</v>
      </c>
      <c r="AP75" s="34" t="str">
        <f aca="false">INDEX(TaskStandardTable[计量单位],MATCH($AM75,TaskStandardTable[工作类型ID],0))</f>
        <v>每个独立运维对象</v>
      </c>
      <c r="AQ75" s="36" t="n">
        <f aca="false">IF(INDEX(TaskStandardTable[新建适用],MATCH($AM75,TaskStandardTable[工作类型ID],0)),INDEX(TaskStandardTable[新建M档人天],MATCH($AM75,TaskStandardTable[工作类型ID],0)),"-")</f>
        <v>1.5</v>
      </c>
      <c r="AR75" s="36" t="n">
        <f aca="false">IF(INDEX(TaskStandardTable[调整适用],MATCH($AM75,TaskStandardTable[工作类型ID],0)),INDEX(TaskStandardTable[调整M档人天],MATCH($AM75,TaskStandardTable[工作类型ID],0)),"-")</f>
        <v>1</v>
      </c>
      <c r="AS75" s="36" t="str">
        <f aca="false">IF(INDEX(TaskStandardTable[接入复用适用],MATCH($AM75,TaskStandardTable[工作类型ID],0)),INDEX(TaskStandardTable[接入复用M档人天],MATCH($AM75,TaskStandardTable[工作类型ID],0)),"-")</f>
        <v>-</v>
      </c>
      <c r="AT75" s="34" t="str">
        <f aca="false">INDEX(TaskStandardTable[标准交付物],MATCH($AM75,TaskStandardTable[工作类型ID],0))</f>
        <v>可执行的运行、排障、恢复及操作手册</v>
      </c>
      <c r="AU75" s="34" t="str">
        <f aca="false">IF(INDEX(TaskStandardTable[新建适用],MATCH($AM75,TaskStandardTable[工作类型ID],0)),"新建："&amp;INDEX(TaskStandardTable[新建完成标准],MATCH($AM75,TaskStandardTable[工作类型ID],0)),"")&amp;IF(INDEX(TaskStandardTable[调整适用],MATCH($AM75,TaskStandardTable[工作类型ID],0)),IF(OR(INDEX(TaskStandardTable[新建适用],MATCH($AM75,TaskStandardTable[工作类型ID],0))),CHAR(10),"")&amp;"调整："&amp;INDEX(TaskStandardTable[调整完成标准],MATCH($AM75,TaskStandardTable[工作类型ID],0)),"")&amp;IF(INDEX(TaskStandardTable[接入复用适用],MATCH($AM75,TaskStandardTable[工作类型ID],0)),IF(OR(INDEX(TaskStandardTable[新建适用],MATCH($AM75,TaskStandardTable[工作类型ID],0)),INDEX(TaskStandardTable[调整适用],MATCH($AM75,TaskStandardTable[工作类型ID],0))),CHAR(10),"")&amp;"接入复用："&amp;INDEX(TaskStandardTable[接入复用完成标准],MATCH($AM75,TaskStandardTable[工作类型ID],0)),"")</f>
        <v>新建：形成可执行的运行、排障、恢复及操作手册并通过验证。
调整：完成既有手册场景、步骤或责任边界的变更和必要演练验证。</v>
      </c>
      <c r="AV75" s="34" t="str">
        <f aca="false">INDEX(TaskStandardTable[说明],MATCH($AM75,TaskStandardTable[工作类型ID],0))</f>
        <v>已包含的重复内容不另计；原低基准上调待实绩复核。</v>
      </c>
      <c r="AW75" s="34" t="str">
        <f aca="false">INDEX(TaskStandardTable[主要计量维度],MATCH($AM75,TaskStandardTable[工作类型ID],0))</f>
        <v>操作场景、组件、角色、恢复/合规要求</v>
      </c>
      <c r="AX75" s="34" t="str">
        <f aca="false">INDEX(TaskStandardTable[S标准],MATCH($AM75,TaskStandardTable[工作类型ID],0))</f>
        <v>1 个应用且 ≤3 个场景；单角色；标准部署、监控和回滚说明</v>
      </c>
      <c r="AY75" s="34" t="str">
        <f aca="false">INDEX(TaskStandardTable[M标准],MATCH($AM75,TaskStandardTable[工作类型ID],0))</f>
        <v>4～8 个相关场景；2～4 个组件；2～3 个角色；含排障、恢复、升级和升级联系</v>
      </c>
      <c r="AZ75" s="34" t="str">
        <f aca="false">INDEX(TaskStandardTable[L标准],MATCH($AM75,TaskStandardTable[工作类型ID],0))</f>
        <v>9～16 个场景、5～8 个紧密相关组件或 4～6 个角色；涉及灾备切换/恢复程序、分支故障树处置，或受监管证据、多方联合交付</v>
      </c>
      <c r="BA75" s="34" t="str">
        <f aca="false">INDEX(TaskStandardTable[X/拆分条件],MATCH($AM75,TaskStandardTable[工作类型ID],0))</f>
        <v>场景 &gt;16、组件 &gt;8、角色 &gt;6，包含多个独立应用/运维对象，或读者、责任边界和可执行验证未明确</v>
      </c>
      <c r="BB75" s="34" t="str">
        <f aca="false">INDEX(TaskStandardTable[模式适用说明],MATCH($AM75,TaskStandardTable[工作类型ID],0))</f>
        <v>新建看完整手册；调整只看变化章节、场景和必要演练验证</v>
      </c>
    </row>
    <row r="76" customFormat="false" ht="68" hidden="false" customHeight="true" outlineLevel="0" collapsed="false">
      <c r="A76" s="38" t="n">
        <v>72</v>
      </c>
      <c r="B76" s="39" t="s">
        <v>1429</v>
      </c>
      <c r="C76" s="38" t="s">
        <v>1444</v>
      </c>
      <c r="D76" s="39" t="s">
        <v>242</v>
      </c>
      <c r="E76" s="39" t="s">
        <v>1445</v>
      </c>
      <c r="F76" s="39" t="s">
        <v>1446</v>
      </c>
      <c r="G76" s="39" t="s">
        <v>1447</v>
      </c>
      <c r="H76" s="39" t="s">
        <v>1448</v>
      </c>
      <c r="I76" s="39" t="s">
        <v>1449</v>
      </c>
      <c r="J76" s="40" t="b">
        <f aca="false">TRUE()</f>
        <v>1</v>
      </c>
      <c r="K76" s="41" t="n">
        <v>1.5</v>
      </c>
      <c r="L76" s="39" t="s">
        <v>1450</v>
      </c>
      <c r="M76" s="40" t="b">
        <f aca="false">TRUE()</f>
        <v>1</v>
      </c>
      <c r="N76" s="41" t="n">
        <v>1</v>
      </c>
      <c r="O76" s="39" t="s">
        <v>1451</v>
      </c>
      <c r="P76" s="40" t="b">
        <f aca="false">FALSE()</f>
        <v>0</v>
      </c>
      <c r="Q76" s="41"/>
      <c r="R76" s="39"/>
      <c r="S76" s="39" t="s">
        <v>1452</v>
      </c>
      <c r="T76" s="39" t="s">
        <v>1453</v>
      </c>
      <c r="U76" s="39" t="s">
        <v>1454</v>
      </c>
      <c r="V76" s="39" t="s">
        <v>1455</v>
      </c>
      <c r="W76" s="39" t="s">
        <v>1456</v>
      </c>
      <c r="X76" s="39" t="s">
        <v>1457</v>
      </c>
      <c r="Y76" s="39" t="s">
        <v>1458</v>
      </c>
      <c r="Z76" s="39" t="s">
        <v>1459</v>
      </c>
      <c r="AA76" s="39" t="s">
        <v>1460</v>
      </c>
      <c r="AB76" s="38" t="s">
        <v>336</v>
      </c>
      <c r="AC76" s="38" t="s">
        <v>337</v>
      </c>
      <c r="AD76" s="38" t="s">
        <v>338</v>
      </c>
      <c r="AE76" s="39" t="s">
        <v>339</v>
      </c>
      <c r="AM76" s="42" t="s">
        <v>1444</v>
      </c>
      <c r="AN76" s="42" t="str">
        <f aca="false">INDEX(TaskStandardTable[分类],MATCH($AM76,TaskStandardTable[工作类型ID],0))</f>
        <v>交付与移交</v>
      </c>
      <c r="AO76" s="43" t="str">
        <f aca="false">INDEX(TaskStandardTable[工作类型名称],MATCH($AM76,TaskStandardTable[工作类型ID],0))</f>
        <v>技术知识交接（KT）</v>
      </c>
      <c r="AP76" s="42" t="str">
        <f aca="false">INDEX(TaskStandardTable[计量单位],MATCH($AM76,TaskStandardTable[工作类型ID],0))</f>
        <v>每个独立技术专题 × 一组稳定受众</v>
      </c>
      <c r="AQ76" s="44" t="n">
        <f aca="false">IF(INDEX(TaskStandardTable[新建适用],MATCH($AM76,TaskStandardTable[工作类型ID],0)),INDEX(TaskStandardTable[新建M档人天],MATCH($AM76,TaskStandardTable[工作类型ID],0)),"-")</f>
        <v>1.5</v>
      </c>
      <c r="AR76" s="44" t="n">
        <f aca="false">IF(INDEX(TaskStandardTable[调整适用],MATCH($AM76,TaskStandardTable[工作类型ID],0)),INDEX(TaskStandardTable[调整M档人天],MATCH($AM76,TaskStandardTable[工作类型ID],0)),"-")</f>
        <v>1</v>
      </c>
      <c r="AS76" s="44" t="str">
        <f aca="false">IF(INDEX(TaskStandardTable[接入复用适用],MATCH($AM76,TaskStandardTable[工作类型ID],0)),INDEX(TaskStandardTable[接入复用M档人天],MATCH($AM76,TaskStandardTable[工作类型ID],0)),"-")</f>
        <v>-</v>
      </c>
      <c r="AT76" s="42" t="str">
        <f aca="false">INDEX(TaskStandardTable[标准交付物],MATCH($AM76,TaskStandardTable[工作类型ID],0))</f>
        <v>受众适配、讲解、演示、实操、问答及确认结果</v>
      </c>
      <c r="AU76" s="42" t="str">
        <f aca="false">IF(INDEX(TaskStandardTable[新建适用],MATCH($AM76,TaskStandardTable[工作类型ID],0)),"新建："&amp;INDEX(TaskStandardTable[新建完成标准],MATCH($AM76,TaskStandardTable[工作类型ID],0)),"")&amp;IF(INDEX(TaskStandardTable[调整适用],MATCH($AM76,TaskStandardTable[工作类型ID],0)),IF(OR(INDEX(TaskStandardTable[新建适用],MATCH($AM76,TaskStandardTable[工作类型ID],0))),CHAR(10),"")&amp;"调整："&amp;INDEX(TaskStandardTable[调整完成标准],MATCH($AM76,TaskStandardTable[工作类型ID],0)),"")&amp;IF(INDEX(TaskStandardTable[接入复用适用],MATCH($AM76,TaskStandardTable[工作类型ID],0)),IF(OR(INDEX(TaskStandardTable[新建适用],MATCH($AM76,TaskStandardTable[工作类型ID],0)),INDEX(TaskStandardTable[调整适用],MATCH($AM76,TaskStandardTable[工作类型ID],0))),CHAR(10),"")&amp;"接入复用："&amp;INDEX(TaskStandardTable[接入复用完成标准],MATCH($AM76,TaskStandardTable[工作类型ID],0)),"")</f>
        <v>新建：形成面向一组维护或扩展人员的技术交接实施与确认结果。
调整：在同一技术专题和同一稳定受众组内，完成既有交接活动的会次、演示、实操或确认范围变更和重新确认。</v>
      </c>
      <c r="AV76" s="42" t="str">
        <f aca="false">INDEX(TaskStandardTable[说明],MATCH($AM76,TaskStandardTable[工作类型ID],0))</f>
        <v>新增或替换受众组按新的交接对象计量。可引用已验收的技术参考或 Runbook，本行只计受众适配、会次、演示、实操和确认，不重复计算共享材料。产品操作能力使用 HAND-USER-ENABLEMENT；原低基准上调待实绩复核。</v>
      </c>
      <c r="AW76" s="42" t="str">
        <f aca="false">INDEX(TaskStandardTable[主要计量维度],MATCH($AM76,TaskStandardTable[工作类型ID],0))</f>
        <v>主题、受众角色、会次、实操/考核</v>
      </c>
      <c r="AX76" s="42" t="str">
        <f aca="false">INDEX(TaskStandardTable[S标准],MATCH($AM76,TaskStandardTable[工作类型ID],0))</f>
        <v>1 个主题；1 类受众；1 次讲解；无专门实操</v>
      </c>
      <c r="AY76" s="42" t="str">
        <f aca="false">INDEX(TaskStandardTable[M标准],MATCH($AM76,TaskStandardTable[工作类型ID],0))</f>
        <v>1 个主题含 2～3 类受众；2～3 次会话；含演示、问答和一次实操</v>
      </c>
      <c r="AZ76" s="42" t="str">
        <f aca="false">INDEX(TaskStandardTable[L标准],MATCH($AM76,TaskStandardTable[工作类型ID],0))</f>
        <v>1 个主题含 4～6 类受众或 4～6 次会话；涉及 Train-the-Trainer、专用实操环境，或正式能力确认</v>
      </c>
      <c r="BA76" s="42" t="str">
        <f aca="false">INDEX(TaskStandardTable[X/拆分条件],MATCH($AM76,TaskStandardTable[工作类型ID],0))</f>
        <v>&gt;6 类受众、&gt;6 次会话，包含多个独立技术主题/受众群体，或交接结果、参加人和确认方式未明确</v>
      </c>
      <c r="BB76" s="42" t="str">
        <f aca="false">INDEX(TaskStandardTable[模式适用说明],MATCH($AM76,TaskStandardTable[工作类型ID],0))</f>
        <v>新建看本组受众的适配、会次、实操和确认；调整只看这些范围变化；复用技术参考/Runbook 不增加材料复杂度</v>
      </c>
    </row>
    <row r="77" customFormat="false" ht="66" hidden="false" customHeight="true" outlineLevel="0" collapsed="false">
      <c r="A77" s="32" t="n">
        <v>73</v>
      </c>
      <c r="B77" s="29" t="s">
        <v>739</v>
      </c>
      <c r="C77" s="32" t="s">
        <v>819</v>
      </c>
      <c r="D77" s="29" t="s">
        <v>103</v>
      </c>
      <c r="E77" s="29" t="s">
        <v>1461</v>
      </c>
      <c r="F77" s="29" t="s">
        <v>1462</v>
      </c>
      <c r="G77" s="29" t="s">
        <v>1463</v>
      </c>
      <c r="H77" s="29" t="s">
        <v>1464</v>
      </c>
      <c r="I77" s="29" t="s">
        <v>1465</v>
      </c>
      <c r="J77" s="30" t="b">
        <f aca="false">TRUE()</f>
        <v>1</v>
      </c>
      <c r="K77" s="31" t="n">
        <v>2.5</v>
      </c>
      <c r="L77" s="29" t="s">
        <v>1466</v>
      </c>
      <c r="M77" s="30" t="b">
        <f aca="false">TRUE()</f>
        <v>1</v>
      </c>
      <c r="N77" s="31" t="n">
        <v>1.5</v>
      </c>
      <c r="O77" s="29" t="s">
        <v>1467</v>
      </c>
      <c r="P77" s="30" t="b">
        <f aca="false">FALSE()</f>
        <v>0</v>
      </c>
      <c r="Q77" s="31"/>
      <c r="R77" s="29"/>
      <c r="S77" s="29" t="s">
        <v>1468</v>
      </c>
      <c r="T77" s="29" t="s">
        <v>1469</v>
      </c>
      <c r="U77" s="29" t="s">
        <v>1470</v>
      </c>
      <c r="V77" s="29" t="s">
        <v>1471</v>
      </c>
      <c r="W77" s="29" t="s">
        <v>1472</v>
      </c>
      <c r="X77" s="29" t="s">
        <v>1473</v>
      </c>
      <c r="Y77" s="29" t="s">
        <v>804</v>
      </c>
      <c r="Z77" s="29" t="s">
        <v>1474</v>
      </c>
      <c r="AA77" s="29" t="s">
        <v>1475</v>
      </c>
      <c r="AB77" s="32" t="s">
        <v>336</v>
      </c>
      <c r="AC77" s="32" t="s">
        <v>337</v>
      </c>
      <c r="AD77" s="32" t="s">
        <v>338</v>
      </c>
      <c r="AE77" s="29" t="s">
        <v>339</v>
      </c>
      <c r="AM77" s="34" t="s">
        <v>819</v>
      </c>
      <c r="AN77" s="34" t="str">
        <f aca="false">INDEX(TaskStandardTable[分类],MATCH($AM77,TaskStandardTable[工作类型ID],0))</f>
        <v>数据交付</v>
      </c>
      <c r="AO77" s="35" t="str">
        <f aca="false">INDEX(TaskStandardTable[工作类型名称],MATCH($AM77,TaskStandardTable[工作类型ID],0))</f>
        <v>应用存储模型与结构</v>
      </c>
      <c r="AP77" s="34" t="str">
        <f aca="false">INDEX(TaskStandardTable[计量单位],MATCH($AM77,TaskStandardTable[工作类型ID],0))</f>
        <v>每个可独立演进的业务对象组</v>
      </c>
      <c r="AQ77" s="36" t="n">
        <f aca="false">IF(INDEX(TaskStandardTable[新建适用],MATCH($AM77,TaskStandardTable[工作类型ID],0)),INDEX(TaskStandardTable[新建M档人天],MATCH($AM77,TaskStandardTable[工作类型ID],0)),"-")</f>
        <v>2.5</v>
      </c>
      <c r="AR77" s="36" t="n">
        <f aca="false">IF(INDEX(TaskStandardTable[调整适用],MATCH($AM77,TaskStandardTable[工作类型ID],0)),INDEX(TaskStandardTable[调整M档人天],MATCH($AM77,TaskStandardTable[工作类型ID],0)),"-")</f>
        <v>1.5</v>
      </c>
      <c r="AS77" s="36" t="str">
        <f aca="false">IF(INDEX(TaskStandardTable[接入复用适用],MATCH($AM77,TaskStandardTable[工作类型ID],0)),INDEX(TaskStandardTable[接入复用M档人天],MATCH($AM77,TaskStandardTable[工作类型ID],0)),"-")</f>
        <v>-</v>
      </c>
      <c r="AT77" s="34" t="str">
        <f aca="false">INDEX(TaskStandardTable[标准交付物],MATCH($AM77,TaskStandardTable[工作类型ID],0))</f>
        <v>可独立评审和演进的数据库 Schema、关系、约束、索引、访问层及结构迁移结果</v>
      </c>
      <c r="AU77" s="34" t="str">
        <f aca="false">IF(INDEX(TaskStandardTable[新建适用],MATCH($AM77,TaskStandardTable[工作类型ID],0)),"新建："&amp;INDEX(TaskStandardTable[新建完成标准],MATCH($AM77,TaskStandardTable[工作类型ID],0)),"")&amp;IF(INDEX(TaskStandardTable[调整适用],MATCH($AM77,TaskStandardTable[工作类型ID],0)),IF(OR(INDEX(TaskStandardTable[新建适用],MATCH($AM77,TaskStandardTable[工作类型ID],0))),CHAR(10),"")&amp;"调整："&amp;INDEX(TaskStandardTable[调整完成标准],MATCH($AM77,TaskStandardTable[工作类型ID],0)),"")&amp;IF(INDEX(TaskStandardTable[接入复用适用],MATCH($AM77,TaskStandardTable[工作类型ID],0)),IF(OR(INDEX(TaskStandardTable[新建适用],MATCH($AM77,TaskStandardTable[工作类型ID],0)),INDEX(TaskStandardTable[调整适用],MATCH($AM77,TaskStandardTable[工作类型ID],0))),CHAR(10),"")&amp;"接入复用："&amp;INDEX(TaskStandardTable[接入复用完成标准],MATCH($AM77,TaskStandardTable[工作类型ID],0)),"")</f>
        <v>新建：形成可独立评审、部署和验证的应用存储模型与结构。
调整：完成既有 Schema、关系、约束、索引或访问层的变更、结构迁移及必要回归。</v>
      </c>
      <c r="AV77" s="34" t="str">
        <f aca="false">INDEX(TaskStandardTable[说明],MATCH($AM77,TaskStandardTable[工作类型ID],0))</f>
        <v>普通函数内部的持久化工作包含在所属功能 Task 中；跨接口或事件共享的业务契约使用 DATA-CONTRACT。</v>
      </c>
      <c r="AW77" s="34" t="str">
        <f aca="false">INDEX(TaskStandardTable[主要计量维度],MATCH($AM77,TaskStandardTable[工作类型ID],0))</f>
        <v>业务对象、关系、约束/索引、存储类型、结构演进</v>
      </c>
      <c r="AX77" s="34" t="str">
        <f aca="false">INDEX(TaskStandardTable[S标准],MATCH($AM77,TaskStandardTable[工作类型ID],0))</f>
        <v>1～2 个对象；≤2 条关系；约束与索引合计 ≤5；单一存储；无需结构迁移</v>
      </c>
      <c r="AY77" s="34" t="str">
        <f aca="false">INDEX(TaskStandardTable[M标准],MATCH($AM77,TaskStandardTable[工作类型ID],0))</f>
        <v>3～6 个紧密相关对象，或 3～8 条关系，或 6～20 个约束/索引；含访问层及常规结构迁移</v>
      </c>
      <c r="AZ77" s="34" t="str">
        <f aca="false">INDEX(TaskStandardTable[L标准],MATCH($AM77,TaskStandardTable[工作类型ID],0))</f>
        <v>7～12 个紧密相关对象、9～16 条关系或 21～40 个约束/索引；涉及递归层级/图关系、分区/分片路由、时态/双时态模型、异构存储一致写入，或零停机</v>
      </c>
      <c r="BA77" s="34" t="str">
        <f aca="false">INDEX(TaskStandardTable[X/拆分条件],MATCH($AM77,TaskStandardTable[工作类型ID],0))</f>
        <v>对象 &gt;12、关系 &gt;16、约束/索引 &gt;40，包含多个可独立演进的对象组，或目标模型、迁移和兼容边界未明确</v>
      </c>
      <c r="BB77" s="34" t="str">
        <f aca="false">INDEX(TaskStandardTable[模式适用说明],MATCH($AM77,TaskStandardTable[工作类型ID],0))</f>
        <v>以数据库 Schema、关系、索引和结构迁移为主；跨能力共享数据契约使用 DATA-CONTRACT</v>
      </c>
    </row>
    <row r="78" customFormat="false" ht="66" hidden="false" customHeight="true" outlineLevel="0" collapsed="false">
      <c r="A78" s="38" t="n">
        <v>74</v>
      </c>
      <c r="B78" s="39" t="s">
        <v>1007</v>
      </c>
      <c r="C78" s="38" t="s">
        <v>1476</v>
      </c>
      <c r="D78" s="39" t="s">
        <v>1477</v>
      </c>
      <c r="E78" s="39" t="s">
        <v>1478</v>
      </c>
      <c r="F78" s="39" t="s">
        <v>1479</v>
      </c>
      <c r="G78" s="39" t="s">
        <v>1480</v>
      </c>
      <c r="H78" s="39" t="s">
        <v>1481</v>
      </c>
      <c r="I78" s="39" t="s">
        <v>1482</v>
      </c>
      <c r="J78" s="40" t="b">
        <f aca="false">TRUE()</f>
        <v>1</v>
      </c>
      <c r="K78" s="41" t="n">
        <v>2</v>
      </c>
      <c r="L78" s="39" t="s">
        <v>1483</v>
      </c>
      <c r="M78" s="40" t="b">
        <f aca="false">TRUE()</f>
        <v>1</v>
      </c>
      <c r="N78" s="41" t="n">
        <v>1.5</v>
      </c>
      <c r="O78" s="39" t="s">
        <v>1484</v>
      </c>
      <c r="P78" s="40" t="b">
        <f aca="false">FALSE()</f>
        <v>0</v>
      </c>
      <c r="Q78" s="41"/>
      <c r="R78" s="39"/>
      <c r="S78" s="39" t="s">
        <v>1485</v>
      </c>
      <c r="T78" s="39" t="s">
        <v>1486</v>
      </c>
      <c r="U78" s="39" t="s">
        <v>1487</v>
      </c>
      <c r="V78" s="39" t="s">
        <v>1488</v>
      </c>
      <c r="W78" s="39" t="s">
        <v>1489</v>
      </c>
      <c r="X78" s="39" t="s">
        <v>1490</v>
      </c>
      <c r="Y78" s="39"/>
      <c r="Z78" s="39" t="s">
        <v>334</v>
      </c>
      <c r="AA78" s="39" t="s">
        <v>1491</v>
      </c>
      <c r="AB78" s="38" t="s">
        <v>336</v>
      </c>
      <c r="AC78" s="38" t="s">
        <v>337</v>
      </c>
      <c r="AD78" s="38" t="s">
        <v>338</v>
      </c>
      <c r="AE78" s="39" t="s">
        <v>339</v>
      </c>
      <c r="AM78" s="42" t="s">
        <v>1476</v>
      </c>
      <c r="AN78" s="42" t="str">
        <f aca="false">INDEX(TaskStandardTable[分类],MATCH($AM78,TaskStandardTable[工作类型ID],0))</f>
        <v>测试与验证</v>
      </c>
      <c r="AO78" s="43" t="str">
        <f aca="false">INDEX(TaskStandardTable[工作类型名称],MATCH($AM78,TaskStandardTable[工作类型ID],0))</f>
        <v>人工功能与系统测试</v>
      </c>
      <c r="AP78" s="42" t="str">
        <f aca="false">INDEX(TaskStandardTable[计量单位],MATCH($AM78,TaskStandardTable[工作类型ID],0))</f>
        <v>每个正式测试范围</v>
      </c>
      <c r="AQ78" s="44" t="n">
        <f aca="false">IF(INDEX(TaskStandardTable[新建适用],MATCH($AM78,TaskStandardTable[工作类型ID],0)),INDEX(TaskStandardTable[新建M档人天],MATCH($AM78,TaskStandardTable[工作类型ID],0)),"-")</f>
        <v>2</v>
      </c>
      <c r="AR78" s="44" t="n">
        <f aca="false">IF(INDEX(TaskStandardTable[调整适用],MATCH($AM78,TaskStandardTable[工作类型ID],0)),INDEX(TaskStandardTable[调整M档人天],MATCH($AM78,TaskStandardTable[工作类型ID],0)),"-")</f>
        <v>1.5</v>
      </c>
      <c r="AS78" s="44" t="str">
        <f aca="false">IF(INDEX(TaskStandardTable[接入复用适用],MATCH($AM78,TaskStandardTable[工作类型ID],0)),INDEX(TaskStandardTable[接入复用M档人天],MATCH($AM78,TaskStandardTable[工作类型ID],0)),"-")</f>
        <v>-</v>
      </c>
      <c r="AT78" s="42" t="str">
        <f aca="false">INDEX(TaskStandardTable[标准交付物],MATCH($AM78,TaskStandardTable[工作类型ID],0))</f>
        <v>可版本化的测试范围、场景、数据、判据及验证结果</v>
      </c>
      <c r="AU78" s="42" t="str">
        <f aca="false">IF(INDEX(TaskStandardTable[新建适用],MATCH($AM78,TaskStandardTable[工作类型ID],0)),"新建："&amp;INDEX(TaskStandardTable[新建完成标准],MATCH($AM78,TaskStandardTable[工作类型ID],0)),"")&amp;IF(INDEX(TaskStandardTable[调整适用],MATCH($AM78,TaskStandardTable[工作类型ID],0)),IF(OR(INDEX(TaskStandardTable[新建适用],MATCH($AM78,TaskStandardTable[工作类型ID],0))),CHAR(10),"")&amp;"调整："&amp;INDEX(TaskStandardTable[调整完成标准],MATCH($AM78,TaskStandardTable[工作类型ID],0)),"")&amp;IF(INDEX(TaskStandardTable[接入复用适用],MATCH($AM78,TaskStandardTable[工作类型ID],0)),IF(OR(INDEX(TaskStandardTable[新建适用],MATCH($AM78,TaskStandardTable[工作类型ID],0)),INDEX(TaskStandardTable[调整适用],MATCH($AM78,TaskStandardTable[工作类型ID],0))),CHAR(10),"")&amp;"接入复用："&amp;INDEX(TaskStandardTable[接入复用完成标准],MATCH($AM78,TaskStandardTable[工作类型ID],0)),"")</f>
        <v>新建：形成新的测试范围、场景、数据和判据，执行约定范围并通过验收。
调整：改变既有测试资产，执行受影响范围并完成验证。</v>
      </c>
      <c r="AV78" s="42" t="str">
        <f aca="false">INDEX(TaskStandardTable[说明],MATCH($AM78,TaskStandardTable[工作类型ID],0))</f>
        <v>场景数只判复杂度，不能人为切行；资产未变化的例行回归、缺陷复测和 UAT 不单列；专项目标优先使用专项 TEST-*。</v>
      </c>
      <c r="AW78" s="42" t="str">
        <f aca="false">INDEX(TaskStandardTable[主要计量维度],MATCH($AM78,TaskStandardTable[工作类型ID],0))</f>
        <v>场景、独立路径/预期、角色、权限/数据维度、环境证据</v>
      </c>
      <c r="AX78" s="42" t="str">
        <f aca="false">INDEX(TaskStandardTable[S标准],MATCH($AM78,TaskStandardTable[工作类型ID],0))</f>
        <v>≤4 条紧密相关线性场景；≤2 条独立路径/预期；1 个角色；环境和数据稳定</v>
      </c>
      <c r="AY78" s="42" t="str">
        <f aca="false">INDEX(TaskStandardTable[M标准],MATCH($AM78,TaskStandardTable[工作类型ID],0))</f>
        <v>5～8 条紧密场景，或 3～4 条独立路径/预期，或 2 个角色；含跨模块或专门数据准备</v>
      </c>
      <c r="AZ78" s="42" t="str">
        <f aca="false">INDEX(TaskStandardTable[L标准],MATCH($AM78,TaskStandardTable[工作类型ID],0))</f>
        <v>9～16 条紧密场景、5～8 条路径/预期或 3～4 个角色；涉及权限/数据矩阵，或受限外部环境、受监管证据</v>
      </c>
      <c r="BA78" s="42" t="str">
        <f aca="false">INDEX(TaskStandardTable[X/拆分条件],MATCH($AM78,TaskStandardTable[工作类型ID],0))</f>
        <v>&gt;16 条场景、&gt;8 条独立路径/预期、&gt;4 个角色、多个独立责任方/验收结论，或预期、环境和数据责任未明确</v>
      </c>
      <c r="BB78" s="42" t="str">
        <f aca="false">INDEX(TaskStandardTable[模式适用说明],MATCH($AM78,TaskStandardTable[工作类型ID],0))</f>
        <v>专项目标优先使用专项 TEST-*；共享路径、夹具和证据从本行剔除。新建看完整新测试资产；调整只看范围、场景、数据和判据变化及必要回归；资产未变化的重复执行不计</v>
      </c>
    </row>
    <row r="79" customFormat="false" ht="68" hidden="false" customHeight="true" outlineLevel="0" collapsed="false">
      <c r="A79" s="32" t="n">
        <v>75</v>
      </c>
      <c r="B79" s="29" t="s">
        <v>1429</v>
      </c>
      <c r="C79" s="32" t="s">
        <v>1458</v>
      </c>
      <c r="D79" s="29" t="s">
        <v>1492</v>
      </c>
      <c r="E79" s="29" t="s">
        <v>1493</v>
      </c>
      <c r="F79" s="29" t="s">
        <v>1494</v>
      </c>
      <c r="G79" s="29" t="s">
        <v>1495</v>
      </c>
      <c r="H79" s="29" t="s">
        <v>1496</v>
      </c>
      <c r="I79" s="29" t="s">
        <v>1497</v>
      </c>
      <c r="J79" s="30" t="b">
        <f aca="false">TRUE()</f>
        <v>1</v>
      </c>
      <c r="K79" s="31" t="n">
        <v>2</v>
      </c>
      <c r="L79" s="29" t="s">
        <v>1498</v>
      </c>
      <c r="M79" s="30" t="b">
        <f aca="false">TRUE()</f>
        <v>1</v>
      </c>
      <c r="N79" s="31" t="n">
        <v>1.5</v>
      </c>
      <c r="O79" s="29" t="s">
        <v>1499</v>
      </c>
      <c r="P79" s="30" t="b">
        <f aca="false">FALSE()</f>
        <v>0</v>
      </c>
      <c r="Q79" s="31"/>
      <c r="R79" s="29"/>
      <c r="S79" s="29" t="s">
        <v>1500</v>
      </c>
      <c r="T79" s="29" t="s">
        <v>1501</v>
      </c>
      <c r="U79" s="29" t="s">
        <v>1502</v>
      </c>
      <c r="V79" s="29" t="s">
        <v>1503</v>
      </c>
      <c r="W79" s="29" t="s">
        <v>1504</v>
      </c>
      <c r="X79" s="29" t="s">
        <v>1505</v>
      </c>
      <c r="Y79" s="29" t="s">
        <v>1506</v>
      </c>
      <c r="Z79" s="29" t="s">
        <v>1507</v>
      </c>
      <c r="AA79" s="29" t="s">
        <v>374</v>
      </c>
      <c r="AB79" s="32" t="s">
        <v>336</v>
      </c>
      <c r="AC79" s="32" t="s">
        <v>337</v>
      </c>
      <c r="AD79" s="32" t="s">
        <v>338</v>
      </c>
      <c r="AE79" s="29" t="s">
        <v>339</v>
      </c>
      <c r="AM79" s="34" t="s">
        <v>1458</v>
      </c>
      <c r="AN79" s="34" t="str">
        <f aca="false">INDEX(TaskStandardTable[分类],MATCH($AM79,TaskStandardTable[工作类型ID],0))</f>
        <v>交付与移交</v>
      </c>
      <c r="AO79" s="35" t="str">
        <f aca="false">INDEX(TaskStandardTable[工作类型名称],MATCH($AM79,TaskStandardTable[工作类型ID],0))</f>
        <v>用户培训与能力确认</v>
      </c>
      <c r="AP79" s="34" t="str">
        <f aca="false">INDEX(TaskStandardTable[计量单位],MATCH($AM79,TaskStandardTable[工作类型ID],0))</f>
        <v>每个稳定用户群体 × 一项连贯产品能力</v>
      </c>
      <c r="AQ79" s="36" t="n">
        <f aca="false">IF(INDEX(TaskStandardTable[新建适用],MATCH($AM79,TaskStandardTable[工作类型ID],0)),INDEX(TaskStandardTable[新建M档人天],MATCH($AM79,TaskStandardTable[工作类型ID],0)),"-")</f>
        <v>2</v>
      </c>
      <c r="AR79" s="36" t="n">
        <f aca="false">IF(INDEX(TaskStandardTable[调整适用],MATCH($AM79,TaskStandardTable[工作类型ID],0)),INDEX(TaskStandardTable[调整M档人天],MATCH($AM79,TaskStandardTable[工作类型ID],0)),"-")</f>
        <v>1.5</v>
      </c>
      <c r="AS79" s="36" t="str">
        <f aca="false">IF(INDEX(TaskStandardTable[接入复用适用],MATCH($AM79,TaskStandardTable[工作类型ID],0)),INDEX(TaskStandardTable[接入复用M档人天],MATCH($AM79,TaskStandardTable[工作类型ID],0)),"-")</f>
        <v>-</v>
      </c>
      <c r="AT79" s="34" t="str">
        <f aca="false">INDEX(TaskStandardTable[标准交付物],MATCH($AM79,TaskStandardTable[工作类型ID],0))</f>
        <v>面向一个用户群体的群体适配、讲解、演示、练习、问答、出席与能力确认结果</v>
      </c>
      <c r="AU79" s="34" t="str">
        <f aca="false">IF(INDEX(TaskStandardTable[新建适用],MATCH($AM79,TaskStandardTable[工作类型ID],0)),"新建："&amp;INDEX(TaskStandardTable[新建完成标准],MATCH($AM79,TaskStandardTable[工作类型ID],0)),"")&amp;IF(INDEX(TaskStandardTable[调整适用],MATCH($AM79,TaskStandardTable[工作类型ID],0)),IF(OR(INDEX(TaskStandardTable[新建适用],MATCH($AM79,TaskStandardTable[工作类型ID],0))),CHAR(10),"")&amp;"调整："&amp;INDEX(TaskStandardTable[调整完成标准],MATCH($AM79,TaskStandardTable[工作类型ID],0)),"")&amp;IF(INDEX(TaskStandardTable[接入复用适用],MATCH($AM79,TaskStandardTable[工作类型ID],0)),IF(OR(INDEX(TaskStandardTable[新建适用],MATCH($AM79,TaskStandardTable[工作类型ID],0)),INDEX(TaskStandardTable[调整适用],MATCH($AM79,TaskStandardTable[工作类型ID],0))),CHAR(10),"")&amp;"接入复用："&amp;INDEX(TaskStandardTable[接入复用完成标准],MATCH($AM79,TaskStandardTable[工作类型ID],0)),"")</f>
        <v>新建：形成面向明确用户群体和连贯产品能力的培训实施与能力确认结果。
调整：在同一稳定用户群体和同一产品能力内，完成既有培训活动的会次、演示、练习或确认范围变更、实施和重新确认。</v>
      </c>
      <c r="AV79" s="34" t="str">
        <f aca="false">INDEX(TaskStandardTable[说明],MATCH($AM79,TaskStandardTable[工作类型ID],0))</f>
        <v>新增或替换用户群体必须新建实例。可直接引用已验收的 HAND-USER-REFERENCE；本行只计群体适配、会次、演示、练习、问答和确认。无独立培训结果时不建行。不含技术 KT、运维交接、翻译和长期培训运营。</v>
      </c>
      <c r="AW79" s="34" t="str">
        <f aca="false">INDEX(TaskStandardTable[主要计量维度],MATCH($AM79,TaskStandardTable[工作类型ID],0))</f>
        <v>用户群体、角色、连贯工作流、会次、练习/考核</v>
      </c>
      <c r="AX79" s="34" t="str">
        <f aca="false">INDEX(TaskStandardTable[S标准],MATCH($AM79,TaskStandardTable[工作类型ID],0))</f>
        <v>1 个用户群体；1 类角色；1 项工作流；1 次讲解；无专门练习环境</v>
      </c>
      <c r="AY79" s="34" t="str">
        <f aca="false">INDEX(TaskStandardTable[M标准],MATCH($AM79,TaskStandardTable[工作类型ID],0))</f>
        <v>1 个用户群体；2～3 类角色；2～4 项紧密工作流；2 次会话；含演示、练习和群体适配</v>
      </c>
      <c r="AZ79" s="34" t="str">
        <f aca="false">INDEX(TaskStandardTable[L标准],MATCH($AM79,TaskStandardTable[工作类型ID],0))</f>
        <v>1 个用户群体；4～6 类角色、5～8 项紧密工作流或 3～4 次会话；涉及专用练习环境，或正式能力确认</v>
      </c>
      <c r="BA79" s="34" t="str">
        <f aca="false">INDEX(TaskStandardTable[X/拆分条件],MATCH($AM79,TaskStandardTable[工作类型ID],0))</f>
        <v>&gt;6 类角色、&gt;8 项工作流、&gt;4 次会话、多个独立用户群体/产品能力，或参加人、客观合格线/确认结果和责任人未明确</v>
      </c>
      <c r="BB79" s="34" t="str">
        <f aca="false">INDEX(TaskStandardTable[模式适用说明],MATCH($AM79,TaskStandardTable[工作类型ID],0))</f>
        <v>新建看一个群体的独立能力确认结果；可直接引用 HAND-USER-REFERENCE，本行只计群体适配、会次、练习和确认；普通出席或完成确认不触发 L，调整只看实际变化范围</v>
      </c>
    </row>
    <row r="80" customFormat="false" ht="66" hidden="false" customHeight="true" outlineLevel="0" collapsed="false">
      <c r="A80" s="38" t="n">
        <v>76</v>
      </c>
      <c r="B80" s="39" t="s">
        <v>620</v>
      </c>
      <c r="C80" s="38" t="s">
        <v>497</v>
      </c>
      <c r="D80" s="39" t="s">
        <v>1508</v>
      </c>
      <c r="E80" s="39" t="s">
        <v>1509</v>
      </c>
      <c r="F80" s="39" t="s">
        <v>1510</v>
      </c>
      <c r="G80" s="39" t="s">
        <v>1511</v>
      </c>
      <c r="H80" s="39" t="s">
        <v>1512</v>
      </c>
      <c r="I80" s="39" t="s">
        <v>1513</v>
      </c>
      <c r="J80" s="40" t="b">
        <f aca="false">TRUE()</f>
        <v>1</v>
      </c>
      <c r="K80" s="41" t="n">
        <v>2.5</v>
      </c>
      <c r="L80" s="39" t="s">
        <v>1514</v>
      </c>
      <c r="M80" s="40" t="b">
        <f aca="false">TRUE()</f>
        <v>1</v>
      </c>
      <c r="N80" s="41" t="n">
        <v>1.5</v>
      </c>
      <c r="O80" s="39" t="s">
        <v>1515</v>
      </c>
      <c r="P80" s="40" t="b">
        <f aca="false">FALSE()</f>
        <v>0</v>
      </c>
      <c r="Q80" s="41"/>
      <c r="R80" s="39"/>
      <c r="S80" s="39" t="s">
        <v>1516</v>
      </c>
      <c r="T80" s="39" t="s">
        <v>1517</v>
      </c>
      <c r="U80" s="39" t="s">
        <v>1518</v>
      </c>
      <c r="V80" s="39" t="s">
        <v>1519</v>
      </c>
      <c r="W80" s="39" t="s">
        <v>1520</v>
      </c>
      <c r="X80" s="39" t="s">
        <v>1521</v>
      </c>
      <c r="Y80" s="39" t="s">
        <v>482</v>
      </c>
      <c r="Z80" s="39" t="s">
        <v>1522</v>
      </c>
      <c r="AA80" s="39" t="s">
        <v>1523</v>
      </c>
      <c r="AB80" s="38" t="s">
        <v>336</v>
      </c>
      <c r="AC80" s="38" t="s">
        <v>337</v>
      </c>
      <c r="AD80" s="38" t="s">
        <v>338</v>
      </c>
      <c r="AE80" s="39" t="s">
        <v>339</v>
      </c>
      <c r="AM80" s="42" t="s">
        <v>497</v>
      </c>
      <c r="AN80" s="42" t="str">
        <f aca="false">INDEX(TaskStandardTable[分类],MATCH($AM80,TaskStandardTable[工作类型ID],0))</f>
        <v>应用共性能力</v>
      </c>
      <c r="AO80" s="43" t="str">
        <f aca="false">INDEX(TaskStandardTable[工作类型名称],MATCH($AM80,TaskStandardTable[工作类型ID],0))</f>
        <v>应用级公共技术组件</v>
      </c>
      <c r="AP80" s="42" t="str">
        <f aca="false">INDEX(TaskStandardTable[计量单位],MATCH($AM80,TaskStandardTable[工作类型ID],0))</f>
        <v>每个可独立发布的技术组件或程序库</v>
      </c>
      <c r="AQ80" s="44" t="n">
        <f aca="false">IF(INDEX(TaskStandardTable[新建适用],MATCH($AM80,TaskStandardTable[工作类型ID],0)),INDEX(TaskStandardTable[新建M档人天],MATCH($AM80,TaskStandardTable[工作类型ID],0)),"-")</f>
        <v>2.5</v>
      </c>
      <c r="AR80" s="44" t="n">
        <f aca="false">IF(INDEX(TaskStandardTable[调整适用],MATCH($AM80,TaskStandardTable[工作类型ID],0)),INDEX(TaskStandardTable[调整M档人天],MATCH($AM80,TaskStandardTable[工作类型ID],0)),"-")</f>
        <v>1.5</v>
      </c>
      <c r="AS80" s="44" t="str">
        <f aca="false">IF(INDEX(TaskStandardTable[接入复用适用],MATCH($AM80,TaskStandardTable[工作类型ID],0)),INDEX(TaskStandardTable[接入复用M档人天],MATCH($AM80,TaskStandardTable[工作类型ID],0)),"-")</f>
        <v>-</v>
      </c>
      <c r="AT80" s="42" t="str">
        <f aca="false">INDEX(TaskStandardTable[标准交付物],MATCH($AM80,TaskStandardTable[工作类型ID],0))</f>
        <v>稳定接口、可复用实现、版本、说明、示例及独立验证</v>
      </c>
      <c r="AU80" s="42" t="str">
        <f aca="false">IF(INDEX(TaskStandardTable[新建适用],MATCH($AM80,TaskStandardTable[工作类型ID],0)),"新建："&amp;INDEX(TaskStandardTable[新建完成标准],MATCH($AM80,TaskStandardTable[工作类型ID],0)),"")&amp;IF(INDEX(TaskStandardTable[调整适用],MATCH($AM80,TaskStandardTable[工作类型ID],0)),IF(OR(INDEX(TaskStandardTable[新建适用],MATCH($AM80,TaskStandardTable[工作类型ID],0))),CHAR(10),"")&amp;"调整："&amp;INDEX(TaskStandardTable[调整完成标准],MATCH($AM80,TaskStandardTable[工作类型ID],0)),"")&amp;IF(INDEX(TaskStandardTable[接入复用适用],MATCH($AM80,TaskStandardTable[工作类型ID],0)),IF(OR(INDEX(TaskStandardTable[新建适用],MATCH($AM80,TaskStandardTable[工作类型ID],0)),INDEX(TaskStandardTable[调整适用],MATCH($AM80,TaskStandardTable[工作类型ID],0))),CHAR(10),"")&amp;"接入复用："&amp;INDEX(TaskStandardTable[接入复用完成标准],MATCH($AM80,TaskStandardTable[工作类型ID],0)),"")</f>
        <v>新建：形成可独立发布和版本管理的公共技术组件或程序库。
调整：完成既有组件公开契约、实现、版本或兼容目标的变更和影响核验。</v>
      </c>
      <c r="AV80" s="42" t="str">
        <f aca="false">INDEX(TaskStandardTable[说明],MATCH($AM80,TaskStandardTable[工作类型ID],0))</f>
        <v>普通依赖或 SDK 使用包含在所属功能 Task 中；项目 Wrapper 只有形成新的独立公共技术组件时才按新建计量。界面组件使用 FE-UI-COMPONENT。</v>
      </c>
      <c r="AW80" s="42" t="str">
        <f aca="false">INDEX(TaskStandardTable[主要计量维度],MATCH($AM80,TaskStandardTable[工作类型ID],0))</f>
        <v>公开接口、消费模块、版本/兼容、扩展机制</v>
      </c>
      <c r="AX80" s="42" t="str">
        <f aca="false">INDEX(TaskStandardTable[S标准],MATCH($AM80,TaskStandardTable[工作类型ID],0))</f>
        <v>1～2 个公开接口；1 个消费模块；无历史版本兼容；标准实现</v>
      </c>
      <c r="AY80" s="42" t="str">
        <f aca="false">INDEX(TaskStandardTable[M标准],MATCH($AM80,TaskStandardTable[工作类型ID],0))</f>
        <v>3～6 个接口；2～3 个消费模块；含版本管理、示例和基础向后兼容</v>
      </c>
      <c r="AZ80" s="42" t="str">
        <f aca="false">INDEX(TaskStandardTable[L标准],MATCH($AM80,TaskStandardTable[工作类型ID],0))</f>
        <v>7～12 个接口或 4～6 个消费模块；涉及插件扩展、跨应用治理，或严格向后兼容、高敏感数据或权限控制、量化服务目标</v>
      </c>
      <c r="BA80" s="42" t="str">
        <f aca="false">INDEX(TaskStandardTable[X/拆分条件],MATCH($AM80,TaskStandardTable[工作类型ID],0))</f>
        <v>接口 &gt;12、消费模块 &gt;6，包含多个可独立发布的技术组件/程序库，或公共技术平台能力未拆分</v>
      </c>
      <c r="BB80" s="42" t="str">
        <f aca="false">INDEX(TaskStandardTable[模式适用说明],MATCH($AM80,TaskStandardTable[工作类型ID],0))</f>
        <v>新建看完整独立组件；调整只看公开契约、实现、版本和受影响消费方；普通依赖/SDK 消费不建本类型 Task</v>
      </c>
    </row>
    <row r="81" customFormat="false" ht="68" hidden="false" customHeight="true" outlineLevel="0" collapsed="false">
      <c r="A81" s="32" t="n">
        <v>77</v>
      </c>
      <c r="B81" s="29" t="s">
        <v>414</v>
      </c>
      <c r="C81" s="32" t="s">
        <v>1524</v>
      </c>
      <c r="D81" s="29" t="s">
        <v>1525</v>
      </c>
      <c r="E81" s="29" t="s">
        <v>1526</v>
      </c>
      <c r="F81" s="29" t="s">
        <v>1527</v>
      </c>
      <c r="G81" s="29" t="s">
        <v>1528</v>
      </c>
      <c r="H81" s="29" t="s">
        <v>1529</v>
      </c>
      <c r="I81" s="29" t="s">
        <v>1530</v>
      </c>
      <c r="J81" s="30" t="b">
        <f aca="false">TRUE()</f>
        <v>1</v>
      </c>
      <c r="K81" s="31" t="n">
        <v>2</v>
      </c>
      <c r="L81" s="29" t="s">
        <v>1531</v>
      </c>
      <c r="M81" s="30" t="b">
        <f aca="false">TRUE()</f>
        <v>1</v>
      </c>
      <c r="N81" s="31" t="n">
        <v>1.5</v>
      </c>
      <c r="O81" s="29" t="s">
        <v>1532</v>
      </c>
      <c r="P81" s="30" t="b">
        <f aca="false">FALSE()</f>
        <v>0</v>
      </c>
      <c r="Q81" s="31"/>
      <c r="R81" s="29"/>
      <c r="S81" s="29" t="s">
        <v>1533</v>
      </c>
      <c r="T81" s="29" t="s">
        <v>1534</v>
      </c>
      <c r="U81" s="29" t="s">
        <v>1535</v>
      </c>
      <c r="V81" s="29" t="s">
        <v>1536</v>
      </c>
      <c r="W81" s="29" t="s">
        <v>1537</v>
      </c>
      <c r="X81" s="29" t="s">
        <v>1538</v>
      </c>
      <c r="Y81" s="29" t="s">
        <v>1539</v>
      </c>
      <c r="Z81" s="29" t="s">
        <v>1540</v>
      </c>
      <c r="AA81" s="29" t="s">
        <v>374</v>
      </c>
      <c r="AB81" s="32" t="s">
        <v>336</v>
      </c>
      <c r="AC81" s="32" t="s">
        <v>337</v>
      </c>
      <c r="AD81" s="32" t="s">
        <v>338</v>
      </c>
      <c r="AE81" s="29" t="s">
        <v>339</v>
      </c>
      <c r="AM81" s="34" t="s">
        <v>1524</v>
      </c>
      <c r="AN81" s="34" t="str">
        <f aca="false">INDEX(TaskStandardTable[分类],MATCH($AM81,TaskStandardTable[工作类型ID],0))</f>
        <v>功能与接口</v>
      </c>
      <c r="AO81" s="35" t="str">
        <f aca="false">INDEX(TaskStandardTable[工作类型名称],MATCH($AM81,TaskStandardTable[工作类型ID],0))</f>
        <v>业务规则与流程配置</v>
      </c>
      <c r="AP81" s="34" t="str">
        <f aca="false">INDEX(TaskStandardTable[计量单位],MATCH($AM81,TaskStandardTable[工作类型ID],0))</f>
        <v>每个可独立版本化的业务规则集或工作流</v>
      </c>
      <c r="AQ81" s="36" t="n">
        <f aca="false">IF(INDEX(TaskStandardTable[新建适用],MATCH($AM81,TaskStandardTable[工作类型ID],0)),INDEX(TaskStandardTable[新建M档人天],MATCH($AM81,TaskStandardTable[工作类型ID],0)),"-")</f>
        <v>2</v>
      </c>
      <c r="AR81" s="36" t="n">
        <f aca="false">IF(INDEX(TaskStandardTable[调整适用],MATCH($AM81,TaskStandardTable[工作类型ID],0)),INDEX(TaskStandardTable[调整M档人天],MATCH($AM81,TaskStandardTable[工作类型ID],0)),"-")</f>
        <v>1.5</v>
      </c>
      <c r="AS81" s="36" t="str">
        <f aca="false">IF(INDEX(TaskStandardTable[接入复用适用],MATCH($AM81,TaskStandardTable[工作类型ID],0)),INDEX(TaskStandardTable[接入复用M档人天],MATCH($AM81,TaskStandardTable[工作类型ID],0)),"-")</f>
        <v>-</v>
      </c>
      <c r="AT81" s="34" t="str">
        <f aca="false">INDEX(TaskStandardTable[标准交付物],MATCH($AM81,TaskStandardTable[工作类型ID],0))</f>
        <v>在既有规则/流程引擎中可发布、回退并验收的决策表、规则优先级/冲突处置，或步骤、状态和角色配置</v>
      </c>
      <c r="AU81" s="34" t="str">
        <f aca="false">IF(INDEX(TaskStandardTable[新建适用],MATCH($AM81,TaskStandardTable[工作类型ID],0)),"新建："&amp;INDEX(TaskStandardTable[新建完成标准],MATCH($AM81,TaskStandardTable[工作类型ID],0)),"")&amp;IF(INDEX(TaskStandardTable[调整适用],MATCH($AM81,TaskStandardTable[工作类型ID],0)),IF(OR(INDEX(TaskStandardTable[新建适用],MATCH($AM81,TaskStandardTable[工作类型ID],0))),CHAR(10),"")&amp;"调整："&amp;INDEX(TaskStandardTable[调整完成标准],MATCH($AM81,TaskStandardTable[工作类型ID],0)),"")&amp;IF(INDEX(TaskStandardTable[接入复用适用],MATCH($AM81,TaskStandardTable[工作类型ID],0)),IF(OR(INDEX(TaskStandardTable[新建适用],MATCH($AM81,TaskStandardTable[工作类型ID],0)),INDEX(TaskStandardTable[调整适用],MATCH($AM81,TaskStandardTable[工作类型ID],0))),CHAR(10),"")&amp;"接入复用："&amp;INDEX(TaskStandardTable[接入复用完成标准],MATCH($AM81,TaskStandardTable[工作类型ID],0)),"")</f>
        <v>新建：形成一套可独立发布、回退和验收的业务规则集或工作流配置。
调整：完成既有规则集或工作流的输入输出、规则、优先级、步骤、状态、角色或回退配置变更和回归。</v>
      </c>
      <c r="AV81" s="34" t="str">
        <f aca="false">INDEX(TaskStandardTable[说明],MATCH($AM81,TaskStandardTable[工作类型ID],0))</f>
        <v>适用于无状态决策表以及低代码/SaaS/规则引擎流程；自定义用户交互页面使用 FE-FLOW，内部常量或技术开关使用 CO-CONFIG。底层引擎既有不改变本对象的新建模式。</v>
      </c>
      <c r="AW81" s="34" t="str">
        <f aca="false">INDEX(TaskStandardTable[主要计量维度],MATCH($AM81,TaskStandardTable[工作类型ID],0))</f>
        <v>配置形态、规则、输入输出、优先级/冲突、步骤、状态、角色</v>
      </c>
      <c r="AX81" s="34" t="str">
        <f aca="false">INDEX(TaskStandardTable[S标准],MATCH($AM81,TaskStandardTable[工作类型ID],0))</f>
        <v>1 个规则集或工作流；≤5 条规则；无状态规则集时 ≤5 个输入且 1 个输出；工作流时 1～3 个步骤且 ≤3 个状态；1 个角色</v>
      </c>
      <c r="AY81" s="34" t="str">
        <f aca="false">INDEX(TaskStandardTable[M标准],MATCH($AM81,TaskStandardTable[工作类型ID],0))</f>
        <v>6～20 条规则；无状态规则集时 6～20 个输入或 2～3 个输出；工作流时 4～8 个步骤或 4～8 个状态；2～3 个角色；含规则优先级/冲突处置或标准回退</v>
      </c>
      <c r="AZ81" s="34" t="str">
        <f aca="false">INDEX(TaskStandardTable[L标准],MATCH($AM81,TaskStandardTable[工作类型ID],0))</f>
        <v>21～40 条规则、21～40 个输入、4～6 个输出、9～16 个步骤、9～16 个状态或 4～6 个角色；涉及动态路由、职责分离、并行会签，或非标准恢复或回滚</v>
      </c>
      <c r="BA81" s="34" t="str">
        <f aca="false">INDEX(TaskStandardTable[X/拆分条件],MATCH($AM81,TaskStandardTable[工作类型ID],0))</f>
        <v>超过任一 L 上界，包含多个可独立决策的规则集或可独立启动/完成的工作流，或业务结果、输入输出、责任方和回退条件未明确</v>
      </c>
      <c r="BB81" s="34" t="str">
        <f aca="false">INDEX(TaskStandardTable[模式适用说明],MATCH($AM81,TaskStandardTable[工作类型ID],0))</f>
        <v>新建看完整可发布规则集/流程配置；调整只看变化输入输出、规则、步骤、状态、角色及必要回归；底层引擎既有不改变本对象的新建模式</v>
      </c>
    </row>
    <row r="82" customFormat="false" ht="66" hidden="false" customHeight="true" outlineLevel="0" collapsed="false">
      <c r="A82" s="38" t="n">
        <v>78</v>
      </c>
      <c r="B82" s="39" t="s">
        <v>1429</v>
      </c>
      <c r="C82" s="38" t="s">
        <v>1541</v>
      </c>
      <c r="D82" s="39" t="s">
        <v>1542</v>
      </c>
      <c r="E82" s="39" t="s">
        <v>1543</v>
      </c>
      <c r="F82" s="39" t="s">
        <v>1544</v>
      </c>
      <c r="G82" s="39" t="s">
        <v>1545</v>
      </c>
      <c r="H82" s="39" t="s">
        <v>1546</v>
      </c>
      <c r="I82" s="39" t="s">
        <v>1547</v>
      </c>
      <c r="J82" s="40" t="b">
        <f aca="false">TRUE()</f>
        <v>1</v>
      </c>
      <c r="K82" s="41" t="n">
        <v>1.5</v>
      </c>
      <c r="L82" s="39" t="s">
        <v>1548</v>
      </c>
      <c r="M82" s="40" t="b">
        <f aca="false">TRUE()</f>
        <v>1</v>
      </c>
      <c r="N82" s="41" t="n">
        <v>1</v>
      </c>
      <c r="O82" s="39" t="s">
        <v>1549</v>
      </c>
      <c r="P82" s="40" t="b">
        <f aca="false">FALSE()</f>
        <v>0</v>
      </c>
      <c r="Q82" s="41"/>
      <c r="R82" s="39"/>
      <c r="S82" s="39" t="s">
        <v>1550</v>
      </c>
      <c r="T82" s="39" t="s">
        <v>1551</v>
      </c>
      <c r="U82" s="39" t="s">
        <v>1552</v>
      </c>
      <c r="V82" s="39" t="s">
        <v>1553</v>
      </c>
      <c r="W82" s="39" t="s">
        <v>1554</v>
      </c>
      <c r="X82" s="39" t="s">
        <v>1555</v>
      </c>
      <c r="Y82" s="39" t="s">
        <v>1556</v>
      </c>
      <c r="Z82" s="39" t="s">
        <v>1557</v>
      </c>
      <c r="AA82" s="39" t="s">
        <v>1558</v>
      </c>
      <c r="AB82" s="38" t="s">
        <v>336</v>
      </c>
      <c r="AC82" s="38" t="s">
        <v>337</v>
      </c>
      <c r="AD82" s="38" t="s">
        <v>338</v>
      </c>
      <c r="AE82" s="39" t="s">
        <v>339</v>
      </c>
      <c r="AM82" s="42" t="s">
        <v>1541</v>
      </c>
      <c r="AN82" s="42" t="str">
        <f aca="false">INDEX(TaskStandardTable[分类],MATCH($AM82,TaskStandardTable[工作类型ID],0))</f>
        <v>交付与移交</v>
      </c>
      <c r="AO82" s="43" t="str">
        <f aca="false">INDEX(TaskStandardTable[工作类型名称],MATCH($AM82,TaskStandardTable[工作类型ID],0))</f>
        <v>技术参考与开发者文档</v>
      </c>
      <c r="AP82" s="42" t="str">
        <f aca="false">INDEX(TaskStandardTable[计量单位],MATCH($AM82,TaskStandardTable[工作类型ID],0))</f>
        <v>每套可独立版本化的技术参考</v>
      </c>
      <c r="AQ82" s="44" t="n">
        <f aca="false">IF(INDEX(TaskStandardTable[新建适用],MATCH($AM82,TaskStandardTable[工作类型ID],0)),INDEX(TaskStandardTable[新建M档人天],MATCH($AM82,TaskStandardTable[工作类型ID],0)),"-")</f>
        <v>1.5</v>
      </c>
      <c r="AR82" s="44" t="n">
        <f aca="false">IF(INDEX(TaskStandardTable[调整适用],MATCH($AM82,TaskStandardTable[工作类型ID],0)),INDEX(TaskStandardTable[调整M档人天],MATCH($AM82,TaskStandardTable[工作类型ID],0)),"-")</f>
        <v>1</v>
      </c>
      <c r="AS82" s="44" t="str">
        <f aca="false">IF(INDEX(TaskStandardTable[接入复用适用],MATCH($AM82,TaskStandardTable[工作类型ID],0)),INDEX(TaskStandardTable[接入复用M档人天],MATCH($AM82,TaskStandardTable[工作类型ID],0)),"-")</f>
        <v>-</v>
      </c>
      <c r="AT82" s="42" t="str">
        <f aca="false">INDEX(TaskStandardTable[标准交付物],MATCH($AM82,TaskStandardTable[工作类型ID],0))</f>
        <v>API/集成指南、开发者参考、现状架构说明、示例和版本记录</v>
      </c>
      <c r="AU82" s="42" t="str">
        <f aca="false">IF(INDEX(TaskStandardTable[新建适用],MATCH($AM82,TaskStandardTable[工作类型ID],0)),"新建："&amp;INDEX(TaskStandardTable[新建完成标准],MATCH($AM82,TaskStandardTable[工作类型ID],0)),"")&amp;IF(INDEX(TaskStandardTable[调整适用],MATCH($AM82,TaskStandardTable[工作类型ID],0)),IF(OR(INDEX(TaskStandardTable[新建适用],MATCH($AM82,TaskStandardTable[工作类型ID],0))),CHAR(10),"")&amp;"调整："&amp;INDEX(TaskStandardTable[调整完成标准],MATCH($AM82,TaskStandardTable[工作类型ID],0)),"")&amp;IF(INDEX(TaskStandardTable[接入复用适用],MATCH($AM82,TaskStandardTable[工作类型ID],0)),IF(OR(INDEX(TaskStandardTable[新建适用],MATCH($AM82,TaskStandardTable[工作类型ID],0)),INDEX(TaskStandardTable[调整适用],MATCH($AM82,TaskStandardTable[工作类型ID],0))),CHAR(10),"")&amp;"接入复用："&amp;INDEX(TaskStandardTable[接入复用完成标准],MATCH($AM82,TaskStandardTable[工作类型ID],0)),"")</f>
        <v>新建：形成可独立查阅、版本化并通过技术审查的参考资料。
调整：完成既有参考资料的接口、架构、示例或版本范围变更和准确性复核。</v>
      </c>
      <c r="AV82" s="42" t="str">
        <f aca="false">INDEX(TaskStandardTable[说明],MATCH($AM82,TaskStandardTable[工作类型ID],0))</f>
        <v>其他 Task 内部必要说明不单列；只有合同明确购买且可独立验收的技术参考成果使用本类型。培训活动用 HAND-KT，运维程序用 HAND-RUNBOOK。</v>
      </c>
      <c r="AW82" s="42" t="str">
        <f aca="false">INDEX(TaskStandardTable[主要计量维度],MATCH($AM82,TaskStandardTable[工作类型ID],0))</f>
        <v>技术主题、接口/组件、架构视图、读者角色</v>
      </c>
      <c r="AX82" s="42" t="str">
        <f aca="false">INDEX(TaskStandardTable[S标准],MATCH($AM82,TaskStandardTable[工作类型ID],0))</f>
        <v>1 个主题；≤5 个接口/组件；≤2 个视图；1 类读者</v>
      </c>
      <c r="AY82" s="42" t="str">
        <f aca="false">INDEX(TaskStandardTable[M标准],MATCH($AM82,TaskStandardTable[工作类型ID],0))</f>
        <v>2～4 个紧密主题，或 6～20 个接口/组件，或 3～6 个视图；2～3 类读者；含示例和版本说明</v>
      </c>
      <c r="AZ82" s="42" t="str">
        <f aca="false">INDEX(TaskStandardTable[L标准],MATCH($AM82,TaskStandardTable[工作类型ID],0))</f>
        <v>5～8 个主题、21～40 个接口/组件、7～12 个视图或 4～6 类读者；涉及跨组织发布，或严格向后兼容、受监管证据</v>
      </c>
      <c r="BA82" s="42" t="str">
        <f aca="false">INDEX(TaskStandardTable[X/拆分条件],MATCH($AM82,TaskStandardTable[工作类型ID],0))</f>
        <v>主题 &gt;8、接口/组件 &gt;40、视图 &gt;12、读者 &gt;6，包含多个可独立发布的产品/参考集，或读者、版本、事实来源和批准人未明确</v>
      </c>
      <c r="BB82" s="42" t="str">
        <f aca="false">INDEX(TaskStandardTable[模式适用说明],MATCH($AM82,TaskStandardTable[工作类型ID],0))</f>
        <v>新建看完整独立参考；调整只看变化接口、架构、示例、版本和受影响章节；普通内嵌说明不单列</v>
      </c>
    </row>
    <row r="83" customFormat="false" ht="96" hidden="false" customHeight="true" outlineLevel="0" collapsed="false">
      <c r="A83" s="32" t="n">
        <v>79</v>
      </c>
      <c r="B83" s="29" t="s">
        <v>1429</v>
      </c>
      <c r="C83" s="32" t="s">
        <v>1506</v>
      </c>
      <c r="D83" s="29" t="s">
        <v>1559</v>
      </c>
      <c r="E83" s="29" t="s">
        <v>1560</v>
      </c>
      <c r="F83" s="29" t="s">
        <v>1561</v>
      </c>
      <c r="G83" s="29" t="s">
        <v>1562</v>
      </c>
      <c r="H83" s="29" t="s">
        <v>1563</v>
      </c>
      <c r="I83" s="29" t="s">
        <v>1564</v>
      </c>
      <c r="J83" s="30" t="b">
        <f aca="false">TRUE()</f>
        <v>1</v>
      </c>
      <c r="K83" s="31" t="n">
        <v>2</v>
      </c>
      <c r="L83" s="29" t="s">
        <v>1565</v>
      </c>
      <c r="M83" s="30" t="b">
        <f aca="false">TRUE()</f>
        <v>1</v>
      </c>
      <c r="N83" s="31" t="n">
        <v>1.5</v>
      </c>
      <c r="O83" s="29" t="s">
        <v>1566</v>
      </c>
      <c r="P83" s="30" t="b">
        <f aca="false">FALSE()</f>
        <v>0</v>
      </c>
      <c r="Q83" s="31"/>
      <c r="R83" s="29"/>
      <c r="S83" s="29" t="s">
        <v>1567</v>
      </c>
      <c r="T83" s="29" t="s">
        <v>1568</v>
      </c>
      <c r="U83" s="29" t="s">
        <v>1569</v>
      </c>
      <c r="V83" s="29" t="s">
        <v>1570</v>
      </c>
      <c r="W83" s="29" t="s">
        <v>1571</v>
      </c>
      <c r="X83" s="29" t="s">
        <v>1572</v>
      </c>
      <c r="Y83" s="29" t="s">
        <v>1458</v>
      </c>
      <c r="Z83" s="29" t="s">
        <v>1573</v>
      </c>
      <c r="AA83" s="29" t="s">
        <v>1574</v>
      </c>
      <c r="AB83" s="32" t="s">
        <v>336</v>
      </c>
      <c r="AC83" s="32" t="s">
        <v>337</v>
      </c>
      <c r="AD83" s="32" t="s">
        <v>338</v>
      </c>
      <c r="AE83" s="29" t="s">
        <v>339</v>
      </c>
      <c r="AM83" s="34" t="s">
        <v>1506</v>
      </c>
      <c r="AN83" s="34" t="str">
        <f aca="false">INDEX(TaskStandardTable[分类],MATCH($AM83,TaskStandardTable[工作类型ID],0))</f>
        <v>交付与移交</v>
      </c>
      <c r="AO83" s="35" t="str">
        <f aca="false">INDEX(TaskStandardTable[工作类型名称],MATCH($AM83,TaskStandardTable[工作类型ID],0))</f>
        <v>用户使用参考与帮助文档</v>
      </c>
      <c r="AP83" s="34" t="str">
        <f aca="false">INDEX(TaskStandardTable[计量单位],MATCH($AM83,TaskStandardTable[工作类型ID],0))</f>
        <v>每套面向明确用户群体、覆盖一项连贯产品能力且可独立版本化的用户参考</v>
      </c>
      <c r="AQ83" s="36" t="n">
        <f aca="false">IF(INDEX(TaskStandardTable[新建适用],MATCH($AM83,TaskStandardTable[工作类型ID],0)),INDEX(TaskStandardTable[新建M档人天],MATCH($AM83,TaskStandardTable[工作类型ID],0)),"-")</f>
        <v>2</v>
      </c>
      <c r="AR83" s="36" t="n">
        <f aca="false">IF(INDEX(TaskStandardTable[调整适用],MATCH($AM83,TaskStandardTable[工作类型ID],0)),INDEX(TaskStandardTable[调整M档人天],MATCH($AM83,TaskStandardTable[工作类型ID],0)),"-")</f>
        <v>1.5</v>
      </c>
      <c r="AS83" s="36" t="str">
        <f aca="false">IF(INDEX(TaskStandardTable[接入复用适用],MATCH($AM83,TaskStandardTable[工作类型ID],0)),INDEX(TaskStandardTable[接入复用M档人天],MATCH($AM83,TaskStandardTable[工作类型ID],0)),"-")</f>
        <v>-</v>
      </c>
      <c r="AT83" s="34" t="str">
        <f aca="false">INDEX(TaskStandardTable[标准交付物],MATCH($AM83,TaskStandardTable[工作类型ID],0))</f>
        <v>可独立发布、版本化和验收的用户指南、管理员操作指南、在线帮助或快速参考，包含适用版本、角色边界、操作步骤、异常提示、示例及批准记录</v>
      </c>
      <c r="AU83" s="34" t="str">
        <f aca="false">IF(INDEX(TaskStandardTable[新建适用],MATCH($AM83,TaskStandardTable[工作类型ID],0)),"新建："&amp;INDEX(TaskStandardTable[新建完成标准],MATCH($AM83,TaskStandardTable[工作类型ID],0)),"")&amp;IF(INDEX(TaskStandardTable[调整适用],MATCH($AM83,TaskStandardTable[工作类型ID],0)),IF(OR(INDEX(TaskStandardTable[新建适用],MATCH($AM83,TaskStandardTable[工作类型ID],0))),CHAR(10),"")&amp;"调整："&amp;INDEX(TaskStandardTable[调整完成标准],MATCH($AM83,TaskStandardTable[工作类型ID],0)),"")&amp;IF(INDEX(TaskStandardTable[接入复用适用],MATCH($AM83,TaskStandardTable[工作类型ID],0)),IF(OR(INDEX(TaskStandardTable[新建适用],MATCH($AM83,TaskStandardTable[工作类型ID],0)),INDEX(TaskStandardTable[调整适用],MATCH($AM83,TaskStandardTable[工作类型ID],0))),CHAR(10),"")&amp;"接入复用："&amp;INDEX(TaskStandardTable[接入复用完成标准],MATCH($AM83,TaskStandardTable[工作类型ID],0)),"")</f>
        <v>新建：形成一套可独立发布的用户参考，明确目标用户、适用产品版本和能力范围，完成内容准确性、操作可执行性、链接/截图有效性和发布载体验证。
调整：点名既有用户参考及版本，更新受功能、角色、步骤、界面或异常路径变化影响的内容，并复核受影响章节、链接、截图和操作结果。</v>
      </c>
      <c r="AV83" s="34" t="str">
        <f aca="false">INDEX(TaskStandardTable[说明],MATCH($AM83,TaskStandardTable[工作类型ID],0))</f>
        <v>直接引用或分发既有资料不建 Task；基于共享资料形成新的独立版本时使用新建。功能 Task 内的少量内嵌帮助不单列；翻译/语审和长期内容运营不在本表。培训活动使用 HAND-USER-ENABLEMENT。</v>
      </c>
      <c r="AW83" s="34" t="str">
        <f aca="false">INDEX(TaskStandardTable[主要计量维度],MATCH($AM83,TaskStandardTable[工作类型ID],0))</f>
        <v>连贯工作流、读者角色、主题、发布载体</v>
      </c>
      <c r="AX83" s="34" t="str">
        <f aca="false">INDEX(TaskStandardTable[S标准],MATCH($AM83,TaskStandardTable[工作类型ID],0))</f>
        <v>1 项工作流；1 类角色；≤5 个主题；1 种发布载体</v>
      </c>
      <c r="AY83" s="34" t="str">
        <f aca="false">INDEX(TaskStandardTable[M标准],MATCH($AM83,TaskStandardTable[工作类型ID],0))</f>
        <v>2～3 项紧密工作流，或 2 类角色，或 6～12 个主题，或 2 种相关发布载体；含步骤、异常和示例</v>
      </c>
      <c r="AZ83" s="34" t="str">
        <f aca="false">INDEX(TaskStandardTable[L标准],MATCH($AM83,TaskStandardTable[工作类型ID],0))</f>
        <v>4～6 项紧密工作流、3～4 类角色、13～24 个主题或 3 种发布载体；涉及多版本分支、按角色条件呈现、离线/在线内容同步，或严格向后兼容、受监管证据</v>
      </c>
      <c r="BA83" s="34" t="str">
        <f aca="false">INDEX(TaskStandardTable[X/拆分条件],MATCH($AM83,TaskStandardTable[工作类型ID],0))</f>
        <v>工作流 &gt;6、角色 &gt;4、主题 &gt;24、载体 &gt;3，包含多套可独立发布的参考，或目标用户、适用版本、事实来源和批准人未明确</v>
      </c>
      <c r="BB83" s="34" t="str">
        <f aca="false">INDEX(TaskStandardTable[模式适用说明],MATCH($AM83,TaskStandardTable[工作类型ID],0))</f>
        <v>新建看完整独立用户参考；调整只看受功能、角色、步骤、界面或异常路径变化影响的章节、链接、截图和操作验证；培训活动另用 HAND-USER-ENABLEMENT</v>
      </c>
    </row>
    <row r="84" customFormat="false" ht="82" hidden="false" customHeight="true" outlineLevel="0" collapsed="false">
      <c r="A84" s="38" t="n">
        <v>80</v>
      </c>
      <c r="B84" s="39" t="s">
        <v>1575</v>
      </c>
      <c r="C84" s="38" t="s">
        <v>1576</v>
      </c>
      <c r="D84" s="39" t="s">
        <v>1577</v>
      </c>
      <c r="E84" s="39" t="s">
        <v>1578</v>
      </c>
      <c r="F84" s="39" t="s">
        <v>1579</v>
      </c>
      <c r="G84" s="39" t="s">
        <v>1580</v>
      </c>
      <c r="H84" s="39" t="s">
        <v>1581</v>
      </c>
      <c r="I84" s="39" t="s">
        <v>1582</v>
      </c>
      <c r="J84" s="40" t="b">
        <f aca="false">TRUE()</f>
        <v>1</v>
      </c>
      <c r="K84" s="41" t="n">
        <v>2.5</v>
      </c>
      <c r="L84" s="39" t="s">
        <v>1583</v>
      </c>
      <c r="M84" s="40" t="b">
        <f aca="false">TRUE()</f>
        <v>1</v>
      </c>
      <c r="N84" s="41" t="n">
        <v>1.5</v>
      </c>
      <c r="O84" s="39" t="s">
        <v>1584</v>
      </c>
      <c r="P84" s="40" t="b">
        <f aca="false">TRUE()</f>
        <v>1</v>
      </c>
      <c r="Q84" s="41" t="n">
        <v>1</v>
      </c>
      <c r="R84" s="39" t="s">
        <v>1585</v>
      </c>
      <c r="S84" s="39" t="s">
        <v>1586</v>
      </c>
      <c r="T84" s="39" t="s">
        <v>1587</v>
      </c>
      <c r="U84" s="39" t="s">
        <v>1588</v>
      </c>
      <c r="V84" s="39" t="s">
        <v>1589</v>
      </c>
      <c r="W84" s="39" t="s">
        <v>1590</v>
      </c>
      <c r="X84" s="39" t="s">
        <v>1591</v>
      </c>
      <c r="Y84" s="39" t="s">
        <v>1592</v>
      </c>
      <c r="Z84" s="39" t="s">
        <v>1593</v>
      </c>
      <c r="AA84" s="39" t="s">
        <v>1594</v>
      </c>
      <c r="AB84" s="38" t="s">
        <v>336</v>
      </c>
      <c r="AC84" s="38" t="s">
        <v>337</v>
      </c>
      <c r="AD84" s="38" t="s">
        <v>338</v>
      </c>
      <c r="AE84" s="39" t="s">
        <v>339</v>
      </c>
      <c r="AM84" s="42" t="s">
        <v>1576</v>
      </c>
      <c r="AN84" s="42" t="str">
        <f aca="false">INDEX(TaskStandardTable[分类],MATCH($AM84,TaskStandardTable[工作类型ID],0))</f>
        <v>智能研发工程化</v>
      </c>
      <c r="AO84" s="43" t="str">
        <f aca="false">INDEX(TaskStandardTable[工作类型名称],MATCH($AM84,TaskStandardTable[工作类型ID],0))</f>
        <v>智能研发工具扩展建设</v>
      </c>
      <c r="AP84" s="42" t="str">
        <f aca="false">INDEX(TaskStandardTable[计量单位],MATCH($AM84,TaskStandardTable[工作类型ID],0))</f>
        <v>每个可独立安装和版本化的扩展</v>
      </c>
      <c r="AQ84" s="44" t="n">
        <f aca="false">IF(INDEX(TaskStandardTable[新建适用],MATCH($AM84,TaskStandardTable[工作类型ID],0)),INDEX(TaskStandardTable[新建M档人天],MATCH($AM84,TaskStandardTable[工作类型ID],0)),"-")</f>
        <v>2.5</v>
      </c>
      <c r="AR84" s="44" t="n">
        <f aca="false">IF(INDEX(TaskStandardTable[调整适用],MATCH($AM84,TaskStandardTable[工作类型ID],0)),INDEX(TaskStandardTable[调整M档人天],MATCH($AM84,TaskStandardTable[工作类型ID],0)),"-")</f>
        <v>1.5</v>
      </c>
      <c r="AS84" s="44" t="n">
        <f aca="false">IF(INDEX(TaskStandardTable[接入复用适用],MATCH($AM84,TaskStandardTable[工作类型ID],0)),INDEX(TaskStandardTable[接入复用M档人天],MATCH($AM84,TaskStandardTable[工作类型ID],0)),"-")</f>
        <v>1</v>
      </c>
      <c r="AT84" s="42" t="str">
        <f aca="false">INDEX(TaskStandardTable[标准交付物],MATCH($AM84,TaskStandardTable[工作类型ID],0))</f>
        <v>可独立安装、启停和验证的 Plugin、MCP/工具适配器、Hook 或命令扩展</v>
      </c>
      <c r="AU84" s="42" t="str">
        <f aca="false">IF(INDEX(TaskStandardTable[新建适用],MATCH($AM84,TaskStandardTable[工作类型ID],0)),"新建："&amp;INDEX(TaskStandardTable[新建完成标准],MATCH($AM84,TaskStandardTable[工作类型ID],0)),"")&amp;IF(INDEX(TaskStandardTable[调整适用],MATCH($AM84,TaskStandardTable[工作类型ID],0)),IF(OR(INDEX(TaskStandardTable[新建适用],MATCH($AM84,TaskStandardTable[工作类型ID],0))),CHAR(10),"")&amp;"调整："&amp;INDEX(TaskStandardTable[调整完成标准],MATCH($AM84,TaskStandardTable[工作类型ID],0)),"")&amp;IF(INDEX(TaskStandardTable[接入复用适用],MATCH($AM84,TaskStandardTable[工作类型ID],0)),IF(OR(INDEX(TaskStandardTable[新建适用],MATCH($AM84,TaskStandardTable[工作类型ID],0)),INDEX(TaskStandardTable[调整适用],MATCH($AM84,TaskStandardTable[工作类型ID],0))),CHAR(10),"")&amp;"接入复用："&amp;INDEX(TaskStandardTable[接入复用完成标准],MATCH($AM84,TaskStandardTable[工作类型ID],0)),"")</f>
        <v>新建：形成可独立安装、版本化和验证的智能研发工具扩展。
调整：完成既有扩展入口、工具契约、Hook、兼容范围或运行行为的变更和回归。
接入复用：既有扩展保持不变，形成可独立验收的项目注册、参数映射、工具授权、兼容配置和专项验证结果。</v>
      </c>
      <c r="AV84" s="42" t="str">
        <f aca="false">INDEX(TaskStandardTable[说明],MATCH($AM84,TaskStandardTable[工作类型ID],0))</f>
        <v>标准安装、启用或普通调用不计；公司 AI 平台和 Harness 自带能力不属于本类型。Plugin 只是 Skill 的包装且没有独立运行能力时不重复计量；通用程序库使用 CO-TECH-COMPONENT，跨系统业务交互使用 IN-INTEGRATION。</v>
      </c>
      <c r="AW84" s="42" t="str">
        <f aca="false">INDEX(TaskStandardTable[主要计量维度],MATCH($AM84,TaskStandardTable[工作类型ID],0))</f>
        <v>工具/命令入口、目标研发系统、Hook/事件点、宿主兼容范围</v>
      </c>
      <c r="AX84" s="42" t="str">
        <f aca="false">INDEX(TaskStandardTable[S标准],MATCH($AM84,TaskStandardTable[工作类型ID],0))</f>
        <v>1～2 个入口；1 个目标研发系统；≤1 个 Hook/事件点；单一宿主和标准协议</v>
      </c>
      <c r="AY84" s="42" t="str">
        <f aca="false">INDEX(TaskStandardTable[M标准],MATCH($AM84,TaskStandardTable[工作类型ID],0))</f>
        <v>3～8 个相关入口；2～3 个目标研发系统；2～4 个 Hook/事件点；含配置、错误处理、版本和基础兼容</v>
      </c>
      <c r="AZ84" s="42" t="str">
        <f aca="false">INDEX(TaskStandardTable[L标准],MATCH($AM84,TaskStandardTable[工作类型ID],0))</f>
        <v>9～16 个入口、4～6 个目标研发系统或 5～8 个 Hook/事件点；涉及多宿主兼容、长任务状态恢复、流式双向交互、严格向后兼容，或高敏感代码与工具权限控制</v>
      </c>
      <c r="BA84" s="42" t="str">
        <f aca="false">INDEX(TaskStandardTable[X/拆分条件],MATCH($AM84,TaskStandardTable[工作类型ID],0))</f>
        <v>入口 &gt;16、目标研发系统 &gt;6、Hook/事件点 &gt;8，包含多个可独立安装的扩展，或工具契约、权限和失败语义未明确</v>
      </c>
      <c r="BB84" s="42" t="str">
        <f aca="false">INDEX(TaskStandardTable[模式适用说明],MATCH($AM84,TaskStandardTable[工作类型ID],0))</f>
        <v>新建看完整扩展；调整只看入口、契约、Hook、兼容范围变化及必要回归；接入复用只看项目注册、参数映射、工具授权、兼容配置和专项验证，标准安装或普通调用不计</v>
      </c>
    </row>
    <row r="85" customFormat="false" ht="96" hidden="false" customHeight="true" outlineLevel="0" collapsed="false">
      <c r="A85" s="32" t="n">
        <v>81</v>
      </c>
      <c r="B85" s="29" t="s">
        <v>1575</v>
      </c>
      <c r="C85" s="32" t="s">
        <v>1595</v>
      </c>
      <c r="D85" s="29" t="s">
        <v>1596</v>
      </c>
      <c r="E85" s="29" t="s">
        <v>1597</v>
      </c>
      <c r="F85" s="29" t="s">
        <v>1598</v>
      </c>
      <c r="G85" s="29" t="s">
        <v>1599</v>
      </c>
      <c r="H85" s="29" t="s">
        <v>1600</v>
      </c>
      <c r="I85" s="29" t="s">
        <v>1601</v>
      </c>
      <c r="J85" s="30" t="b">
        <f aca="false">TRUE()</f>
        <v>1</v>
      </c>
      <c r="K85" s="31" t="n">
        <v>2</v>
      </c>
      <c r="L85" s="29" t="s">
        <v>1602</v>
      </c>
      <c r="M85" s="30" t="b">
        <f aca="false">TRUE()</f>
        <v>1</v>
      </c>
      <c r="N85" s="31" t="n">
        <v>1</v>
      </c>
      <c r="O85" s="29" t="s">
        <v>1603</v>
      </c>
      <c r="P85" s="30" t="b">
        <f aca="false">TRUE()</f>
        <v>1</v>
      </c>
      <c r="Q85" s="31" t="n">
        <v>1</v>
      </c>
      <c r="R85" s="29" t="s">
        <v>1604</v>
      </c>
      <c r="S85" s="29" t="s">
        <v>1605</v>
      </c>
      <c r="T85" s="29" t="s">
        <v>1606</v>
      </c>
      <c r="U85" s="29" t="s">
        <v>1607</v>
      </c>
      <c r="V85" s="29" t="s">
        <v>1608</v>
      </c>
      <c r="W85" s="29" t="s">
        <v>1609</v>
      </c>
      <c r="X85" s="29" t="s">
        <v>1610</v>
      </c>
      <c r="Y85" s="29" t="s">
        <v>1611</v>
      </c>
      <c r="Z85" s="29" t="s">
        <v>1612</v>
      </c>
      <c r="AA85" s="29" t="s">
        <v>1613</v>
      </c>
      <c r="AB85" s="32" t="s">
        <v>336</v>
      </c>
      <c r="AC85" s="32" t="s">
        <v>337</v>
      </c>
      <c r="AD85" s="32" t="s">
        <v>338</v>
      </c>
      <c r="AE85" s="29" t="s">
        <v>339</v>
      </c>
      <c r="AM85" s="34" t="s">
        <v>1595</v>
      </c>
      <c r="AN85" s="34" t="str">
        <f aca="false">INDEX(TaskStandardTable[分类],MATCH($AM85,TaskStandardTable[工作类型ID],0))</f>
        <v>智能研发工程化</v>
      </c>
      <c r="AO85" s="35" t="str">
        <f aca="false">INDEX(TaskStandardTable[工作类型名称],MATCH($AM85,TaskStandardTable[工作类型ID],0))</f>
        <v>智能研发技能资产建设</v>
      </c>
      <c r="AP85" s="34" t="str">
        <f aca="false">INDEX(TaskStandardTable[计量单位],MATCH($AM85,TaskStandardTable[工作类型ID],0))</f>
        <v>每项可独立触发和验收的研发职责</v>
      </c>
      <c r="AQ85" s="36" t="n">
        <f aca="false">IF(INDEX(TaskStandardTable[新建适用],MATCH($AM85,TaskStandardTable[工作类型ID],0)),INDEX(TaskStandardTable[新建M档人天],MATCH($AM85,TaskStandardTable[工作类型ID],0)),"-")</f>
        <v>2</v>
      </c>
      <c r="AR85" s="36" t="n">
        <f aca="false">IF(INDEX(TaskStandardTable[调整适用],MATCH($AM85,TaskStandardTable[工作类型ID],0)),INDEX(TaskStandardTable[调整M档人天],MATCH($AM85,TaskStandardTable[工作类型ID],0)),"-")</f>
        <v>1</v>
      </c>
      <c r="AS85" s="36" t="n">
        <f aca="false">IF(INDEX(TaskStandardTable[接入复用适用],MATCH($AM85,TaskStandardTable[工作类型ID],0)),INDEX(TaskStandardTable[接入复用M档人天],MATCH($AM85,TaskStandardTable[工作类型ID],0)),"-")</f>
        <v>1</v>
      </c>
      <c r="AT85" s="34" t="str">
        <f aca="false">INDEX(TaskStandardTable[标准交付物],MATCH($AM85,TaskStandardTable[工作类型ID],0))</f>
        <v>具有明确触发条件、输入输出、执行规则、边界、示例和验证结果的 Skill 或 Agent 研发职责</v>
      </c>
      <c r="AU85" s="34" t="str">
        <f aca="false">IF(INDEX(TaskStandardTable[新建适用],MATCH($AM85,TaskStandardTable[工作类型ID],0)),"新建："&amp;INDEX(TaskStandardTable[新建完成标准],MATCH($AM85,TaskStandardTable[工作类型ID],0)),"")&amp;IF(INDEX(TaskStandardTable[调整适用],MATCH($AM85,TaskStandardTable[工作类型ID],0)),IF(OR(INDEX(TaskStandardTable[新建适用],MATCH($AM85,TaskStandardTable[工作类型ID],0))),CHAR(10),"")&amp;"调整："&amp;INDEX(TaskStandardTable[调整完成标准],MATCH($AM85,TaskStandardTable[工作类型ID],0)),"")&amp;IF(INDEX(TaskStandardTable[接入复用适用],MATCH($AM85,TaskStandardTable[工作类型ID],0)),IF(OR(INDEX(TaskStandardTable[新建适用],MATCH($AM85,TaskStandardTable[工作类型ID],0)),INDEX(TaskStandardTable[调整适用],MATCH($AM85,TaskStandardTable[工作类型ID],0))),CHAR(10),"")&amp;"接入复用："&amp;INDEX(TaskStandardTable[接入复用完成标准],MATCH($AM85,TaskStandardTable[工作类型ID],0)),"")</f>
        <v>新建：形成一项可独立触发、执行、复核和版本化的智能研发技能资产。
调整：完成既有技能的触发、输入输出、步骤、规则、边界或验证资产变更和回归。
接入复用：既有技能保持不变，形成可独立验收的项目参数、适用范围、上下文绑定、限制条件和专项验证结果。</v>
      </c>
      <c r="AV85" s="34" t="str">
        <f aca="false">INDEX(TaskStandardTable[说明],MATCH($AM85,TaskStandardTable[工作类型ID],0))</f>
        <v>临时提示词、普通 Agent 使用和直接安装现成 Skill 不计；面向人的技术文档使用 HAND-TECH-REFERENCE，多个技能之间的执行编排使用 ENG-AI4SE-WORKFLOW。</v>
      </c>
      <c r="AW85" s="34" t="str">
        <f aca="false">INDEX(TaskStandardTable[主要计量维度],MATCH($AM85,TaskStandardTable[工作类型ID],0))</f>
        <v>适用场景、触发条件、输入输出、规则/分支、工具或参考依赖</v>
      </c>
      <c r="AX85" s="34" t="str">
        <f aca="false">INDEX(TaskStandardTable[S标准],MATCH($AM85,TaskStandardTable[工作类型ID],0))</f>
        <v>1 个场景；1 个触发条件；输入输出类型合计 ≤3；≤5 条规则；不调用外部工具</v>
      </c>
      <c r="AY85" s="34" t="str">
        <f aca="false">INDEX(TaskStandardTable[M标准],MATCH($AM85,TaskStandardTable[工作类型ID],0))</f>
        <v>2～4 个紧密相关场景；2～4 个触发条件；输入输出类型合计 4～8；6～15 条规则；1～3 个工具或参考依赖；含示例和验证</v>
      </c>
      <c r="AZ85" s="34" t="str">
        <f aca="false">INDEX(TaskStandardTable[L标准],MATCH($AM85,TaskStandardTable[工作类型ID],0))</f>
        <v>5～8 个紧密相关场景、5～8 个触发条件、输入输出类型合计 9～16 或 16～30 条规则；涉及多阶段批准、证据闭环、异常恢复、跨代码库操作，或 4～6 个工具/参考依赖</v>
      </c>
      <c r="BA85" s="34" t="str">
        <f aca="false">INDEX(TaskStandardTable[X/拆分条件],MATCH($AM85,TaskStandardTable[工作类型ID],0))</f>
        <v>场景 &gt;8、触发条件 &gt;8、输入输出类型 &gt;16、规则 &gt;30、工具/参考依赖 &gt;6，包含多个独立研发职责，或触发、结果和停止条件未明确</v>
      </c>
      <c r="BB85" s="34" t="str">
        <f aca="false">INDEX(TaskStandardTable[模式适用说明],MATCH($AM85,TaskStandardTable[工作类型ID],0))</f>
        <v>新建看完整技能资产；调整只看触发、输入输出、步骤、规则、边界和验证变化；接入复用只看项目参数、适用范围、上下文绑定、限制条件和专项验证，临时提示或直接安装不计</v>
      </c>
    </row>
    <row r="86" customFormat="false" ht="96" hidden="false" customHeight="true" outlineLevel="0" collapsed="false">
      <c r="A86" s="38" t="n">
        <v>82</v>
      </c>
      <c r="B86" s="39" t="s">
        <v>1575</v>
      </c>
      <c r="C86" s="38" t="s">
        <v>1614</v>
      </c>
      <c r="D86" s="39" t="s">
        <v>1615</v>
      </c>
      <c r="E86" s="39" t="s">
        <v>1616</v>
      </c>
      <c r="F86" s="39" t="s">
        <v>1617</v>
      </c>
      <c r="G86" s="39" t="s">
        <v>1618</v>
      </c>
      <c r="H86" s="39" t="s">
        <v>1619</v>
      </c>
      <c r="I86" s="39" t="s">
        <v>1620</v>
      </c>
      <c r="J86" s="40" t="b">
        <f aca="false">TRUE()</f>
        <v>1</v>
      </c>
      <c r="K86" s="41" t="n">
        <v>2.5</v>
      </c>
      <c r="L86" s="39" t="s">
        <v>1621</v>
      </c>
      <c r="M86" s="40" t="b">
        <f aca="false">TRUE()</f>
        <v>1</v>
      </c>
      <c r="N86" s="41" t="n">
        <v>1.5</v>
      </c>
      <c r="O86" s="39" t="s">
        <v>1622</v>
      </c>
      <c r="P86" s="40" t="b">
        <f aca="false">TRUE()</f>
        <v>1</v>
      </c>
      <c r="Q86" s="41" t="n">
        <v>1</v>
      </c>
      <c r="R86" s="39" t="s">
        <v>1623</v>
      </c>
      <c r="S86" s="39" t="s">
        <v>1624</v>
      </c>
      <c r="T86" s="39" t="s">
        <v>1625</v>
      </c>
      <c r="U86" s="39" t="s">
        <v>1626</v>
      </c>
      <c r="V86" s="39" t="s">
        <v>1627</v>
      </c>
      <c r="W86" s="39" t="s">
        <v>1628</v>
      </c>
      <c r="X86" s="39" t="s">
        <v>1629</v>
      </c>
      <c r="Y86" s="39" t="s">
        <v>1630</v>
      </c>
      <c r="Z86" s="39" t="s">
        <v>1631</v>
      </c>
      <c r="AA86" s="39" t="s">
        <v>1632</v>
      </c>
      <c r="AB86" s="38" t="s">
        <v>336</v>
      </c>
      <c r="AC86" s="38" t="s">
        <v>337</v>
      </c>
      <c r="AD86" s="38" t="s">
        <v>338</v>
      </c>
      <c r="AE86" s="39" t="s">
        <v>339</v>
      </c>
      <c r="AM86" s="42" t="s">
        <v>1614</v>
      </c>
      <c r="AN86" s="42" t="str">
        <f aca="false">INDEX(TaskStandardTable[分类],MATCH($AM86,TaskStandardTable[工作类型ID],0))</f>
        <v>智能研发工程化</v>
      </c>
      <c r="AO86" s="43" t="str">
        <f aca="false">INDEX(TaskStandardTable[工作类型名称],MATCH($AM86,TaskStandardTable[工作类型ID],0))</f>
        <v>研发知识与项目上下文建设</v>
      </c>
      <c r="AP86" s="42" t="str">
        <f aca="false">INDEX(TaskStandardTable[计量单位],MATCH($AM86,TaskStandardTable[工作类型ID],0))</f>
        <v>每个可独立维护的研发知识域或项目上下文</v>
      </c>
      <c r="AQ86" s="44" t="n">
        <f aca="false">IF(INDEX(TaskStandardTable[新建适用],MATCH($AM86,TaskStandardTable[工作类型ID],0)),INDEX(TaskStandardTable[新建M档人天],MATCH($AM86,TaskStandardTable[工作类型ID],0)),"-")</f>
        <v>2.5</v>
      </c>
      <c r="AR86" s="44" t="n">
        <f aca="false">IF(INDEX(TaskStandardTable[调整适用],MATCH($AM86,TaskStandardTable[工作类型ID],0)),INDEX(TaskStandardTable[调整M档人天],MATCH($AM86,TaskStandardTable[工作类型ID],0)),"-")</f>
        <v>1.5</v>
      </c>
      <c r="AS86" s="44" t="n">
        <f aca="false">IF(INDEX(TaskStandardTable[接入复用适用],MATCH($AM86,TaskStandardTable[工作类型ID],0)),INDEX(TaskStandardTable[接入复用M档人天],MATCH($AM86,TaskStandardTable[工作类型ID],0)),"-")</f>
        <v>1</v>
      </c>
      <c r="AT86" s="42" t="str">
        <f aca="false">INDEX(TaskStandardTable[标准交付物],MATCH($AM86,TaskStandardTable[工作类型ID],0))</f>
        <v>可由研发 Agent 使用、更新和验证的代码与文档知识、索引、关系、上下文规则和访问边界</v>
      </c>
      <c r="AU86" s="42" t="str">
        <f aca="false">IF(INDEX(TaskStandardTable[新建适用],MATCH($AM86,TaskStandardTable[工作类型ID],0)),"新建："&amp;INDEX(TaskStandardTable[新建完成标准],MATCH($AM86,TaskStandardTable[工作类型ID],0)),"")&amp;IF(INDEX(TaskStandardTable[调整适用],MATCH($AM86,TaskStandardTable[工作类型ID],0)),IF(OR(INDEX(TaskStandardTable[新建适用],MATCH($AM86,TaskStandardTable[工作类型ID],0))),CHAR(10),"")&amp;"调整："&amp;INDEX(TaskStandardTable[调整完成标准],MATCH($AM86,TaskStandardTable[工作类型ID],0)),"")&amp;IF(INDEX(TaskStandardTable[接入复用适用],MATCH($AM86,TaskStandardTable[工作类型ID],0)),IF(OR(INDEX(TaskStandardTable[新建适用],MATCH($AM86,TaskStandardTable[工作类型ID],0)),INDEX(TaskStandardTable[调整适用],MATCH($AM86,TaskStandardTable[工作类型ID],0))),CHAR(10),"")&amp;"接入复用："&amp;INDEX(TaskStandardTable[接入复用完成标准],MATCH($AM86,TaskStandardTable[工作类型ID],0)),"")</f>
        <v>新建：形成一个可独立维护、更新和验证的研发知识域或项目上下文。
调整：完成既有上下文的来源、索引、关系、规则、权限或更新机制变更和回归。
接入复用：既有知识或上下文资产保持不变，形成可独立验收的项目绑定、范围过滤、权限配置和专项验证结果。</v>
      </c>
      <c r="AV86" s="42" t="str">
        <f aca="false">INDEX(TaskStandardTable[说明],MATCH($AM86,TaskStandardTable[工作类型ID],0))</f>
        <v>公司通用知识平台不计；直接打开代码库或引用现成文档不计。面向人的参考文档使用 HAND-TECH-REFERENCE，企业数据目录与血缘治理使用 DATA-CATALOG。</v>
      </c>
      <c r="AW86" s="42" t="str">
        <f aca="false">INDEX(TaskStandardTable[主要计量维度],MATCH($AM86,TaskStandardTable[工作类型ID],0))</f>
        <v>代码库/来源、来源类型、内容格式、索引关系、访问与更新方式</v>
      </c>
      <c r="AX86" s="42" t="str">
        <f aca="false">INDEX(TaskStandardTable[S标准],MATCH($AM86,TaskStandardTable[工作类型ID],0))</f>
        <v>1 个代码库或来源组；≤2 类来源；≤2 种格式；单一访问范围；手工或固定刷新</v>
      </c>
      <c r="AY86" s="42" t="str">
        <f aca="false">INDEX(TaskStandardTable[M标准],MATCH($AM86,TaskStandardTable[工作类型ID],0))</f>
        <v>2～3 个相关代码库；3～5 类来源；3～5 种格式；含语义或结构索引、2～3 个访问范围和增量更新</v>
      </c>
      <c r="AZ86" s="42" t="str">
        <f aca="false">INDEX(TaskStandardTable[L标准],MATCH($AM86,TaskStandardTable[工作类型ID],0))</f>
        <v>4～6 个相关代码库、6～10 类来源或 6～8 种格式；涉及跨代码库代码—文档关系、细粒度权限过滤、持续更新与失效处理，或高敏感代码</v>
      </c>
      <c r="BA86" s="42" t="str">
        <f aca="false">INDEX(TaskStandardTable[X/拆分条件],MATCH($AM86,TaskStandardTable[工作类型ID],0))</f>
        <v>代码库 &gt;6、来源类型 &gt;10、格式 &gt;8，包含多个无关研发知识域，或来源责任、时效、访问边界和验证方法未明确</v>
      </c>
      <c r="BB86" s="42" t="str">
        <f aca="false">INDEX(TaskStandardTable[模式适用说明],MATCH($AM86,TaskStandardTable[工作类型ID],0))</f>
        <v>新建看完整研发知识域或上下文；调整只看来源、索引、关系、规则、权限和更新机制变化；接入复用只看项目绑定、范围过滤、权限配置和专项验证，直接打开代码库或引用文档不计</v>
      </c>
    </row>
    <row r="87" customFormat="false" ht="82" hidden="false" customHeight="true" outlineLevel="0" collapsed="false">
      <c r="A87" s="32" t="n">
        <v>83</v>
      </c>
      <c r="B87" s="29" t="s">
        <v>1575</v>
      </c>
      <c r="C87" s="32" t="s">
        <v>1633</v>
      </c>
      <c r="D87" s="29" t="s">
        <v>1634</v>
      </c>
      <c r="E87" s="29" t="s">
        <v>1635</v>
      </c>
      <c r="F87" s="29" t="s">
        <v>1636</v>
      </c>
      <c r="G87" s="29" t="s">
        <v>1637</v>
      </c>
      <c r="H87" s="29" t="s">
        <v>1638</v>
      </c>
      <c r="I87" s="29" t="s">
        <v>1639</v>
      </c>
      <c r="J87" s="30" t="b">
        <f aca="false">TRUE()</f>
        <v>1</v>
      </c>
      <c r="K87" s="31" t="n">
        <v>3</v>
      </c>
      <c r="L87" s="29" t="s">
        <v>1640</v>
      </c>
      <c r="M87" s="30" t="b">
        <f aca="false">TRUE()</f>
        <v>1</v>
      </c>
      <c r="N87" s="31" t="n">
        <v>2</v>
      </c>
      <c r="O87" s="29" t="s">
        <v>1641</v>
      </c>
      <c r="P87" s="30" t="b">
        <f aca="false">TRUE()</f>
        <v>1</v>
      </c>
      <c r="Q87" s="31" t="n">
        <v>1.5</v>
      </c>
      <c r="R87" s="29" t="s">
        <v>1642</v>
      </c>
      <c r="S87" s="29" t="s">
        <v>1643</v>
      </c>
      <c r="T87" s="29" t="s">
        <v>1644</v>
      </c>
      <c r="U87" s="29" t="s">
        <v>1645</v>
      </c>
      <c r="V87" s="29" t="s">
        <v>1646</v>
      </c>
      <c r="W87" s="29" t="s">
        <v>1647</v>
      </c>
      <c r="X87" s="29" t="s">
        <v>1648</v>
      </c>
      <c r="Y87" s="29" t="s">
        <v>1649</v>
      </c>
      <c r="Z87" s="29" t="s">
        <v>1650</v>
      </c>
      <c r="AA87" s="29" t="s">
        <v>1651</v>
      </c>
      <c r="AB87" s="32" t="s">
        <v>336</v>
      </c>
      <c r="AC87" s="32" t="s">
        <v>337</v>
      </c>
      <c r="AD87" s="32" t="s">
        <v>338</v>
      </c>
      <c r="AE87" s="29" t="s">
        <v>339</v>
      </c>
      <c r="AM87" s="34" t="s">
        <v>1633</v>
      </c>
      <c r="AN87" s="34" t="str">
        <f aca="false">INDEX(TaskStandardTable[分类],MATCH($AM87,TaskStandardTable[工作类型ID],0))</f>
        <v>智能研发工程化</v>
      </c>
      <c r="AO87" s="35" t="str">
        <f aca="false">INDEX(TaskStandardTable[工作类型名称],MATCH($AM87,TaskStandardTable[工作类型ID],0))</f>
        <v>智能研发流程能力建设</v>
      </c>
      <c r="AP87" s="34" t="str">
        <f aca="false">INDEX(TaskStandardTable[计量单位],MATCH($AM87,TaskStandardTable[工作类型ID],0))</f>
        <v>每条可独立启动和验收的智能研发流程</v>
      </c>
      <c r="AQ87" s="36" t="n">
        <f aca="false">IF(INDEX(TaskStandardTable[新建适用],MATCH($AM87,TaskStandardTable[工作类型ID],0)),INDEX(TaskStandardTable[新建M档人天],MATCH($AM87,TaskStandardTable[工作类型ID],0)),"-")</f>
        <v>3</v>
      </c>
      <c r="AR87" s="36" t="n">
        <f aca="false">IF(INDEX(TaskStandardTable[调整适用],MATCH($AM87,TaskStandardTable[工作类型ID],0)),INDEX(TaskStandardTable[调整M档人天],MATCH($AM87,TaskStandardTable[工作类型ID],0)),"-")</f>
        <v>2</v>
      </c>
      <c r="AS87" s="36" t="n">
        <f aca="false">IF(INDEX(TaskStandardTable[接入复用适用],MATCH($AM87,TaskStandardTable[工作类型ID],0)),INDEX(TaskStandardTable[接入复用M档人天],MATCH($AM87,TaskStandardTable[工作类型ID],0)),"-")</f>
        <v>1.5</v>
      </c>
      <c r="AT87" s="34" t="str">
        <f aca="false">INDEX(TaskStandardTable[标准交付物],MATCH($AM87,TaskStandardTable[工作类型ID],0))</f>
        <v>可版本化的触发、步骤、Agent/Skill 与工具编排、人工门禁、异常恢复和研发交付结果</v>
      </c>
      <c r="AU87" s="34" t="str">
        <f aca="false">IF(INDEX(TaskStandardTable[新建适用],MATCH($AM87,TaskStandardTable[工作类型ID],0)),"新建："&amp;INDEX(TaskStandardTable[新建完成标准],MATCH($AM87,TaskStandardTable[工作类型ID],0)),"")&amp;IF(INDEX(TaskStandardTable[调整适用],MATCH($AM87,TaskStandardTable[工作类型ID],0)),IF(OR(INDEX(TaskStandardTable[新建适用],MATCH($AM87,TaskStandardTable[工作类型ID],0))),CHAR(10),"")&amp;"调整："&amp;INDEX(TaskStandardTable[调整完成标准],MATCH($AM87,TaskStandardTable[工作类型ID],0)),"")&amp;IF(INDEX(TaskStandardTable[接入复用适用],MATCH($AM87,TaskStandardTable[工作类型ID],0)),IF(OR(INDEX(TaskStandardTable[新建适用],MATCH($AM87,TaskStandardTable[工作类型ID],0)),INDEX(TaskStandardTable[调整适用],MATCH($AM87,TaskStandardTable[工作类型ID],0))),CHAR(10),"")&amp;"接入复用："&amp;INDEX(TaskStandardTable[接入复用完成标准],MATCH($AM87,TaskStandardTable[工作类型ID],0)),"")</f>
        <v>新建：形成可独立启动、回退、复核和验收的智能研发流程。
调整：完成既有流程的触发、步骤、Agent/Skill 与工具调用、分支、人工门禁或恢复规则变更和回归。
接入复用：既有流程模板保持不变，形成可独立验收的项目触发、代码库/工具绑定、审批配置和端到端验证结果。</v>
      </c>
      <c r="AV87" s="34" t="str">
        <f aca="false">INDEX(TaskStandardTable[说明],MATCH($AM87,TaskStandardTable[工作类型ID],0))</f>
        <v>必须至少包含一项由 Agent 或 Skill 完成的研发判断、生成或操作；普通使用 Agent 完成开发不计。CI/CD 或纯确定性自动化使用 ENG-PIPELINE，确定性业务流程使用 FE-RULE-WORKFLOW，面向业务用户的智能流程使用 AI-WORKFLOW。</v>
      </c>
      <c r="AW87" s="34" t="str">
        <f aca="false">INDEX(TaskStandardTable[主要计量维度],MATCH($AM87,TaskStandardTable[工作类型ID],0))</f>
        <v>流程步骤、Agent/Skill 与工具、分支、人工门禁、交付物与恢复</v>
      </c>
      <c r="AX87" s="34" t="str">
        <f aca="false">INDEX(TaskStandardTable[S标准],MATCH($AM87,TaskStandardTable[工作类型ID],0))</f>
        <v>≤3 个步骤；Agent/Skill 与工具合计 1 项；单一路径；≤1 个人工确认；1 种交付物</v>
      </c>
      <c r="AY87" s="34" t="str">
        <f aca="false">INDEX(TaskStandardTable[M标准],MATCH($AM87,TaskStandardTable[工作类型ID],0))</f>
        <v>4～8 个步骤；Agent/Skill 与工具合计 2～4 项；2～4 条分支；1～2 个人工门禁；含交付物留存和标准失败处置</v>
      </c>
      <c r="AZ87" s="34" t="str">
        <f aca="false">INDEX(TaskStandardTable[L标准],MATCH($AM87,TaskStandardTable[工作类型ID],0))</f>
        <v>9～15 个步骤、Agent/Skill 与工具合计 5～8 项或 5～8 条分支；涉及 3～4 个人工门禁、跨代码库变更、状态恢复、晋级/回退或多方联合交付</v>
      </c>
      <c r="BA87" s="34" t="str">
        <f aca="false">INDEX(TaskStandardTable[X/拆分条件],MATCH($AM87,TaskStandardTable[工作类型ID],0))</f>
        <v>步骤 &gt;15、Agent/Skill 与工具合计 &gt;8、分支 &gt;8、人工门禁 &gt;4，包含多个可独立启动和验收的研发流程，或触发、结束条件、责任和失败处置未明确</v>
      </c>
      <c r="BB87" s="34" t="str">
        <f aca="false">INDEX(TaskStandardTable[模式适用说明],MATCH($AM87,TaskStandardTable[工作类型ID],0))</f>
        <v>至少一项能力必须由 Agent 或 Skill 完成。新建看完整研发流程；调整只看步骤、调用、分支、门禁和恢复变化；接入复用只看项目触发、代码库/工具绑定、审批配置和端到端验证，普通 Agent 使用不计</v>
      </c>
    </row>
    <row r="88" customFormat="false" ht="68" hidden="false" customHeight="true" outlineLevel="0" collapsed="false">
      <c r="A88" s="38" t="n">
        <v>84</v>
      </c>
      <c r="B88" s="39" t="s">
        <v>1652</v>
      </c>
      <c r="C88" s="38" t="s">
        <v>1653</v>
      </c>
      <c r="D88" s="39" t="s">
        <v>1654</v>
      </c>
      <c r="E88" s="39" t="s">
        <v>1655</v>
      </c>
      <c r="F88" s="39" t="s">
        <v>1656</v>
      </c>
      <c r="G88" s="39" t="s">
        <v>1657</v>
      </c>
      <c r="H88" s="39" t="s">
        <v>1658</v>
      </c>
      <c r="I88" s="39" t="s">
        <v>1659</v>
      </c>
      <c r="J88" s="40" t="b">
        <f aca="false">TRUE()</f>
        <v>1</v>
      </c>
      <c r="K88" s="41" t="n">
        <v>2.5</v>
      </c>
      <c r="L88" s="39" t="s">
        <v>1660</v>
      </c>
      <c r="M88" s="40" t="b">
        <f aca="false">TRUE()</f>
        <v>1</v>
      </c>
      <c r="N88" s="41" t="n">
        <v>1.5</v>
      </c>
      <c r="O88" s="39" t="s">
        <v>1661</v>
      </c>
      <c r="P88" s="40" t="b">
        <f aca="false">FALSE()</f>
        <v>0</v>
      </c>
      <c r="Q88" s="41"/>
      <c r="R88" s="39"/>
      <c r="S88" s="39" t="s">
        <v>1662</v>
      </c>
      <c r="T88" s="39" t="s">
        <v>1663</v>
      </c>
      <c r="U88" s="39" t="s">
        <v>1664</v>
      </c>
      <c r="V88" s="39" t="s">
        <v>1665</v>
      </c>
      <c r="W88" s="39" t="s">
        <v>1666</v>
      </c>
      <c r="X88" s="39" t="s">
        <v>1667</v>
      </c>
      <c r="Y88" s="39"/>
      <c r="Z88" s="39" t="s">
        <v>334</v>
      </c>
      <c r="AA88" s="39" t="s">
        <v>1668</v>
      </c>
      <c r="AB88" s="38" t="s">
        <v>336</v>
      </c>
      <c r="AC88" s="38" t="s">
        <v>337</v>
      </c>
      <c r="AD88" s="38" t="s">
        <v>338</v>
      </c>
      <c r="AE88" s="39" t="s">
        <v>339</v>
      </c>
      <c r="AM88" s="42" t="s">
        <v>1653</v>
      </c>
      <c r="AN88" s="42" t="str">
        <f aca="false">INDEX(TaskStandardTable[分类],MATCH($AM88,TaskStandardTable[工作类型ID],0))</f>
        <v>智能系统</v>
      </c>
      <c r="AO88" s="43" t="str">
        <f aca="false">INDEX(TaskStandardTable[工作类型名称],MATCH($AM88,TaskStandardTable[工作类型ID],0))</f>
        <v>智能业务能力实现</v>
      </c>
      <c r="AP88" s="42" t="str">
        <f aca="false">INDEX(TaskStandardTable[计量单位],MATCH($AM88,TaskStandardTable[工作类型ID],0))</f>
        <v>每个可独立调用和验收的智能业务结果</v>
      </c>
      <c r="AQ88" s="44" t="n">
        <f aca="false">IF(INDEX(TaskStandardTable[新建适用],MATCH($AM88,TaskStandardTable[工作类型ID],0)),INDEX(TaskStandardTable[新建M档人天],MATCH($AM88,TaskStandardTable[工作类型ID],0)),"-")</f>
        <v>2.5</v>
      </c>
      <c r="AR88" s="44" t="n">
        <f aca="false">IF(INDEX(TaskStandardTable[调整适用],MATCH($AM88,TaskStandardTable[工作类型ID],0)),INDEX(TaskStandardTable[调整M档人天],MATCH($AM88,TaskStandardTable[工作类型ID],0)),"-")</f>
        <v>1.5</v>
      </c>
      <c r="AS88" s="44" t="str">
        <f aca="false">IF(INDEX(TaskStandardTable[接入复用适用],MATCH($AM88,TaskStandardTable[工作类型ID],0)),INDEX(TaskStandardTable[接入复用M档人天],MATCH($AM88,TaskStandardTable[工作类型ID],0)),"-")</f>
        <v>-</v>
      </c>
      <c r="AT88" s="42" t="str">
        <f aca="false">INDEX(TaskStandardTable[标准交付物],MATCH($AM88,TaskStandardTable[工作类型ID],0))</f>
        <v>面向业务场景的智能生成、总结、分类、提取、推荐或判断结果，以及必要的规则、回退和人工确认</v>
      </c>
      <c r="AU88" s="42" t="str">
        <f aca="false">IF(INDEX(TaskStandardTable[新建适用],MATCH($AM88,TaskStandardTable[工作类型ID],0)),"新建："&amp;INDEX(TaskStandardTable[新建完成标准],MATCH($AM88,TaskStandardTable[工作类型ID],0)),"")&amp;IF(INDEX(TaskStandardTable[调整适用],MATCH($AM88,TaskStandardTable[工作类型ID],0)),IF(OR(INDEX(TaskStandardTable[新建适用],MATCH($AM88,TaskStandardTable[工作类型ID],0))),CHAR(10),"")&amp;"调整："&amp;INDEX(TaskStandardTable[调整完成标准],MATCH($AM88,TaskStandardTable[工作类型ID],0)),"")&amp;IF(INDEX(TaskStandardTable[接入复用适用],MATCH($AM88,TaskStandardTable[工作类型ID],0)),IF(OR(INDEX(TaskStandardTable[新建适用],MATCH($AM88,TaskStandardTable[工作类型ID],0)),INDEX(TaskStandardTable[调整适用],MATCH($AM88,TaskStandardTable[工作类型ID],0))),CHAR(10),"")&amp;"接入复用："&amp;INDEX(TaskStandardTable[接入复用完成标准],MATCH($AM88,TaskStandardTable[工作类型ID],0)),"")</f>
        <v>新建：形成一个可独立调用、追踪和验收的智能业务结果。
调整：完成既有智能业务能力的输入输出、业务规则、结果约束、回退或人工确认机制变更和回归。</v>
      </c>
      <c r="AV88" s="42" t="str">
        <f aca="false">INDEX(TaskStandardTable[说明],MATCH($AM88,TaskStandardTable[工作类型ID],0))</f>
        <v>基础模型、模型网关和标准调用由公司 AI 平台提供，不单列；单次模型调用及必要提示包含在本类型。跨系统业务集成、用户页面、持久化和正式评测只有形成独立结果时才使用对应专用类型。</v>
      </c>
      <c r="AW88" s="42" t="str">
        <f aca="false">INDEX(TaskStandardTable[主要计量维度],MATCH($AM88,TaskStandardTable[工作类型ID],0))</f>
        <v>输入输出形态、业务规则、角色、回退与人工确认</v>
      </c>
      <c r="AX88" s="42" t="str">
        <f aca="false">INDEX(TaskStandardTable[S标准],MATCH($AM88,TaskStandardTable[工作类型ID],0))</f>
        <v>1 种输入和 1 种输出；≤3 条业务规则；1 个角色；固定回退且无需人工确认</v>
      </c>
      <c r="AY88" s="42" t="str">
        <f aca="false">INDEX(TaskStandardTable[M标准],MATCH($AM88,TaskStandardTable[工作类型ID],0))</f>
        <v>输入输出形态合计 3～6 种；4～10 条规则；2～3 个角色；含人工确认、纠正或结果回退</v>
      </c>
      <c r="AZ88" s="42" t="str">
        <f aca="false">INDEX(TaskStandardTable[L标准],MATCH($AM88,TaskStandardTable[工作类型ID],0))</f>
        <v>输入输出形态合计 7～12 种、11～20 条规则或 4～6 个角色；涉及证据解释、高敏感业务判断、多级人工处置、动态结果约束，或受监管证据</v>
      </c>
      <c r="BA88" s="42" t="str">
        <f aca="false">INDEX(TaskStandardTable[X/拆分条件],MATCH($AM88,TaskStandardTable[工作类型ID],0))</f>
        <v>输入输出形态 &gt;12、规则 &gt;20、角色 &gt;6，包含多个可独立调用和验收的智能业务结果，或允许结果、责任和回退条件未明确</v>
      </c>
      <c r="BB88" s="42" t="str">
        <f aca="false">INDEX(TaskStandardTable[模式适用说明],MATCH($AM88,TaskStandardTable[工作类型ID],0))</f>
        <v>新建看完整智能业务结果；调整只看输入输出、规则、角色、回退和必要回归；公司 AI 平台和基础模型不计，单次调用及必要提示包含在本行，普通使用既有能力不创建复用 Task</v>
      </c>
    </row>
    <row r="89" customFormat="false" ht="68" hidden="false" customHeight="true" outlineLevel="0" collapsed="false">
      <c r="A89" s="32" t="n">
        <v>85</v>
      </c>
      <c r="B89" s="29" t="s">
        <v>1652</v>
      </c>
      <c r="C89" s="32" t="s">
        <v>1669</v>
      </c>
      <c r="D89" s="29" t="s">
        <v>1670</v>
      </c>
      <c r="E89" s="29" t="s">
        <v>1671</v>
      </c>
      <c r="F89" s="29" t="s">
        <v>1672</v>
      </c>
      <c r="G89" s="29" t="s">
        <v>1673</v>
      </c>
      <c r="H89" s="29" t="s">
        <v>1674</v>
      </c>
      <c r="I89" s="29" t="s">
        <v>1675</v>
      </c>
      <c r="J89" s="30" t="b">
        <f aca="false">TRUE()</f>
        <v>1</v>
      </c>
      <c r="K89" s="31" t="n">
        <v>3</v>
      </c>
      <c r="L89" s="29" t="s">
        <v>1676</v>
      </c>
      <c r="M89" s="30" t="b">
        <f aca="false">TRUE()</f>
        <v>1</v>
      </c>
      <c r="N89" s="31" t="n">
        <v>2</v>
      </c>
      <c r="O89" s="29" t="s">
        <v>1677</v>
      </c>
      <c r="P89" s="30" t="b">
        <f aca="false">FALSE()</f>
        <v>0</v>
      </c>
      <c r="Q89" s="31"/>
      <c r="R89" s="29"/>
      <c r="S89" s="29" t="s">
        <v>1678</v>
      </c>
      <c r="T89" s="29" t="s">
        <v>1679</v>
      </c>
      <c r="U89" s="29" t="s">
        <v>1680</v>
      </c>
      <c r="V89" s="29" t="s">
        <v>1681</v>
      </c>
      <c r="W89" s="29" t="s">
        <v>1682</v>
      </c>
      <c r="X89" s="29" t="s">
        <v>1683</v>
      </c>
      <c r="Y89" s="29" t="s">
        <v>1684</v>
      </c>
      <c r="Z89" s="29" t="s">
        <v>1685</v>
      </c>
      <c r="AA89" s="29" t="s">
        <v>1686</v>
      </c>
      <c r="AB89" s="32" t="s">
        <v>336</v>
      </c>
      <c r="AC89" s="32" t="s">
        <v>337</v>
      </c>
      <c r="AD89" s="32" t="s">
        <v>338</v>
      </c>
      <c r="AE89" s="29" t="s">
        <v>339</v>
      </c>
      <c r="AM89" s="34" t="s">
        <v>1669</v>
      </c>
      <c r="AN89" s="34" t="str">
        <f aca="false">INDEX(TaskStandardTable[分类],MATCH($AM89,TaskStandardTable[工作类型ID],0))</f>
        <v>智能系统</v>
      </c>
      <c r="AO89" s="35" t="str">
        <f aca="false">INDEX(TaskStandardTable[工作类型名称],MATCH($AM89,TaskStandardTable[工作类型ID],0))</f>
        <v>智能知识检索与依据引用</v>
      </c>
      <c r="AP89" s="34" t="str">
        <f aca="false">INDEX(TaskStandardTable[计量单位],MATCH($AM89,TaskStandardTable[工作类型ID],0))</f>
        <v>每个可独立维护和验收的业务知识域</v>
      </c>
      <c r="AQ89" s="36" t="n">
        <f aca="false">IF(INDEX(TaskStandardTable[新建适用],MATCH($AM89,TaskStandardTable[工作类型ID],0)),INDEX(TaskStandardTable[新建M档人天],MATCH($AM89,TaskStandardTable[工作类型ID],0)),"-")</f>
        <v>3</v>
      </c>
      <c r="AR89" s="36" t="n">
        <f aca="false">IF(INDEX(TaskStandardTable[调整适用],MATCH($AM89,TaskStandardTable[工作类型ID],0)),INDEX(TaskStandardTable[调整M档人天],MATCH($AM89,TaskStandardTable[工作类型ID],0)),"-")</f>
        <v>2</v>
      </c>
      <c r="AS89" s="36" t="str">
        <f aca="false">IF(INDEX(TaskStandardTable[接入复用适用],MATCH($AM89,TaskStandardTable[工作类型ID],0)),INDEX(TaskStandardTable[接入复用M档人天],MATCH($AM89,TaskStandardTable[工作类型ID],0)),"-")</f>
        <v>-</v>
      </c>
      <c r="AT89" s="34" t="str">
        <f aca="false">INDEX(TaskStandardTable[标准交付物],MATCH($AM89,TaskStandardTable[工作类型ID],0))</f>
        <v>可更新、可按权限检索并可验证依据引用的业务知识处理与检索结果</v>
      </c>
      <c r="AU89" s="34" t="str">
        <f aca="false">IF(INDEX(TaskStandardTable[新建适用],MATCH($AM89,TaskStandardTable[工作类型ID],0)),"新建："&amp;INDEX(TaskStandardTable[新建完成标准],MATCH($AM89,TaskStandardTable[工作类型ID],0)),"")&amp;IF(INDEX(TaskStandardTable[调整适用],MATCH($AM89,TaskStandardTable[工作类型ID],0)),IF(OR(INDEX(TaskStandardTable[新建适用],MATCH($AM89,TaskStandardTable[工作类型ID],0))),CHAR(10),"")&amp;"调整："&amp;INDEX(TaskStandardTable[调整完成标准],MATCH($AM89,TaskStandardTable[工作类型ID],0)),"")&amp;IF(INDEX(TaskStandardTable[接入复用适用],MATCH($AM89,TaskStandardTable[工作类型ID],0)),IF(OR(INDEX(TaskStandardTable[新建适用],MATCH($AM89,TaskStandardTable[工作类型ID],0)),INDEX(TaskStandardTable[调整适用],MATCH($AM89,TaskStandardTable[工作类型ID],0))),CHAR(10),"")&amp;"接入复用："&amp;INDEX(TaskStandardTable[接入复用完成标准],MATCH($AM89,TaskStandardTable[工作类型ID],0)),"")</f>
        <v>新建：形成一个可独立维护、检索、引用和验收的业务知识域。
调整：完成既有知识域的来源、解析、索引、检索、排序、权限过滤、引用或更新机制变更和回归。</v>
      </c>
      <c r="AV89" s="34" t="str">
        <f aca="false">INDEX(TaskStandardTable[说明],MATCH($AM89,TaskStandardTable[工作类型ID],0))</f>
        <v>底层知识平台既有不改变本知识域的新建模式；知识检索只是某项智能能力内部实现且不能独立验收时包含在 AI-CAPABILITY 或 AI-WORKFLOW 中。研发知识与代码上下文使用 ENG-AI4SE-CONTEXT。</v>
      </c>
      <c r="AW89" s="34" t="str">
        <f aca="false">INDEX(TaskStandardTable[主要计量维度],MATCH($AM89,TaskStandardTable[工作类型ID],0))</f>
        <v>知识来源、内容格式、检索/排序方式、权限范围、引用与更新</v>
      </c>
      <c r="AX89" s="34" t="str">
        <f aca="false">INDEX(TaskStandardTable[S标准],MATCH($AM89,TaskStandardTable[工作类型ID],0))</f>
        <v>1 个来源；≤2 种格式；单一检索方式；单一权限范围；固定引用和手工更新</v>
      </c>
      <c r="AY89" s="34" t="str">
        <f aca="false">INDEX(TaskStandardTable[M标准],MATCH($AM89,TaskStandardTable[工作类型ID],0))</f>
        <v>2～5 个相关来源；3～5 种格式；含混合检索或重排、元数据过滤、依据引用、2～3 个权限范围和增量更新</v>
      </c>
      <c r="AZ89" s="34" t="str">
        <f aca="false">INDEX(TaskStandardTable[L标准],MATCH($AM89,TaskStandardTable[工作类型ID],0))</f>
        <v>6～10 个相关来源或 6～8 种格式；涉及跨来源多步检索、细粒度权限过滤、引用一致性验证、持续更新与失效处理，或高敏感知识</v>
      </c>
      <c r="BA89" s="34" t="str">
        <f aca="false">INDEX(TaskStandardTable[X/拆分条件],MATCH($AM89,TaskStandardTable[工作类型ID],0))</f>
        <v>来源 &gt;10、格式 &gt;8，包含多个独立业务知识域，或来源授权、知识时效、检索判据、权限和引用责任未明确</v>
      </c>
      <c r="BB89" s="34" t="str">
        <f aca="false">INDEX(TaskStandardTable[模式适用说明],MATCH($AM89,TaskStandardTable[工作类型ID],0))</f>
        <v>新建看完整业务知识域；调整只看来源、解析、索引、检索、排序、权限、引用和更新变化；底层平台既有不改变模式，不能独立验收的内部检索包含在 AI-CAPABILITY 或 AI-WORKFLOW</v>
      </c>
    </row>
    <row r="90" customFormat="false" ht="82" hidden="false" customHeight="true" outlineLevel="0" collapsed="false">
      <c r="A90" s="38" t="n">
        <v>86</v>
      </c>
      <c r="B90" s="39" t="s">
        <v>1652</v>
      </c>
      <c r="C90" s="38" t="s">
        <v>1687</v>
      </c>
      <c r="D90" s="39" t="s">
        <v>1688</v>
      </c>
      <c r="E90" s="39" t="s">
        <v>1689</v>
      </c>
      <c r="F90" s="39" t="s">
        <v>1690</v>
      </c>
      <c r="G90" s="39" t="s">
        <v>1691</v>
      </c>
      <c r="H90" s="39" t="s">
        <v>1692</v>
      </c>
      <c r="I90" s="39" t="s">
        <v>1693</v>
      </c>
      <c r="J90" s="40" t="b">
        <f aca="false">TRUE()</f>
        <v>1</v>
      </c>
      <c r="K90" s="41" t="n">
        <v>3</v>
      </c>
      <c r="L90" s="39" t="s">
        <v>1694</v>
      </c>
      <c r="M90" s="40" t="b">
        <f aca="false">TRUE()</f>
        <v>1</v>
      </c>
      <c r="N90" s="41" t="n">
        <v>2</v>
      </c>
      <c r="O90" s="39" t="s">
        <v>1695</v>
      </c>
      <c r="P90" s="40" t="b">
        <f aca="false">FALSE()</f>
        <v>0</v>
      </c>
      <c r="Q90" s="41"/>
      <c r="R90" s="39"/>
      <c r="S90" s="39" t="s">
        <v>1696</v>
      </c>
      <c r="T90" s="39" t="s">
        <v>1697</v>
      </c>
      <c r="U90" s="39" t="s">
        <v>1698</v>
      </c>
      <c r="V90" s="39" t="s">
        <v>1699</v>
      </c>
      <c r="W90" s="39" t="s">
        <v>1700</v>
      </c>
      <c r="X90" s="39" t="s">
        <v>1701</v>
      </c>
      <c r="Y90" s="39" t="s">
        <v>1702</v>
      </c>
      <c r="Z90" s="39" t="s">
        <v>1703</v>
      </c>
      <c r="AA90" s="39" t="s">
        <v>374</v>
      </c>
      <c r="AB90" s="38" t="s">
        <v>336</v>
      </c>
      <c r="AC90" s="38" t="s">
        <v>337</v>
      </c>
      <c r="AD90" s="38" t="s">
        <v>338</v>
      </c>
      <c r="AE90" s="39" t="s">
        <v>339</v>
      </c>
      <c r="AM90" s="42" t="s">
        <v>1687</v>
      </c>
      <c r="AN90" s="42" t="str">
        <f aca="false">INDEX(TaskStandardTable[分类],MATCH($AM90,TaskStandardTable[工作类型ID],0))</f>
        <v>智能系统</v>
      </c>
      <c r="AO90" s="43" t="str">
        <f aca="false">INDEX(TaskStandardTable[工作类型名称],MATCH($AM90,TaskStandardTable[工作类型ID],0))</f>
        <v>智能业务流程编排与控制</v>
      </c>
      <c r="AP90" s="42" t="str">
        <f aca="false">INDEX(TaskStandardTable[计量单位],MATCH($AM90,TaskStandardTable[工作类型ID],0))</f>
        <v>每个可独立启动和验收的智能业务流程</v>
      </c>
      <c r="AQ90" s="44" t="n">
        <f aca="false">IF(INDEX(TaskStandardTable[新建适用],MATCH($AM90,TaskStandardTable[工作类型ID],0)),INDEX(TaskStandardTable[新建M档人天],MATCH($AM90,TaskStandardTable[工作类型ID],0)),"-")</f>
        <v>3</v>
      </c>
      <c r="AR90" s="44" t="n">
        <f aca="false">IF(INDEX(TaskStandardTable[调整适用],MATCH($AM90,TaskStandardTable[工作类型ID],0)),INDEX(TaskStandardTable[调整M档人天],MATCH($AM90,TaskStandardTable[工作类型ID],0)),"-")</f>
        <v>2</v>
      </c>
      <c r="AS90" s="44" t="str">
        <f aca="false">IF(INDEX(TaskStandardTable[接入复用适用],MATCH($AM90,TaskStandardTable[工作类型ID],0)),INDEX(TaskStandardTable[接入复用M档人天],MATCH($AM90,TaskStandardTable[工作类型ID],0)),"-")</f>
        <v>-</v>
      </c>
      <c r="AT90" s="42" t="str">
        <f aca="false">INDEX(TaskStandardTable[标准交付物],MATCH($AM90,TaskStandardTable[工作类型ID],0))</f>
        <v>可版本化的步骤、智能能力/工具调用、结果与防护分支、人工节点、状态恢复和可追踪业务结果</v>
      </c>
      <c r="AU90" s="42" t="str">
        <f aca="false">IF(INDEX(TaskStandardTable[新建适用],MATCH($AM90,TaskStandardTable[工作类型ID],0)),"新建："&amp;INDEX(TaskStandardTable[新建完成标准],MATCH($AM90,TaskStandardTable[工作类型ID],0)),"")&amp;IF(INDEX(TaskStandardTable[调整适用],MATCH($AM90,TaskStandardTable[工作类型ID],0)),IF(OR(INDEX(TaskStandardTable[新建适用],MATCH($AM90,TaskStandardTable[工作类型ID],0))),CHAR(10),"")&amp;"调整："&amp;INDEX(TaskStandardTable[调整完成标准],MATCH($AM90,TaskStandardTable[工作类型ID],0)),"")&amp;IF(INDEX(TaskStandardTable[接入复用适用],MATCH($AM90,TaskStandardTable[工作类型ID],0)),IF(OR(INDEX(TaskStandardTable[新建适用],MATCH($AM90,TaskStandardTable[工作类型ID],0)),INDEX(TaskStandardTable[调整适用],MATCH($AM90,TaskStandardTable[工作类型ID],0))),CHAR(10),"")&amp;"接入复用："&amp;INDEX(TaskStandardTable[接入复用完成标准],MATCH($AM90,TaskStandardTable[工作类型ID],0)),"")</f>
        <v>新建：形成可独立启动、运行、回退和验收的智能业务流程。
调整：改变既有流程的步骤、智能能力/工具调用、分支、防护、人工节点或恢复契约，并完成受影响路径回归。</v>
      </c>
      <c r="AV90" s="42" t="str">
        <f aca="false">INDEX(TaskStandardTable[说明],MATCH($AM90,TaskStandardTable[工作类型ID],0))</f>
        <v>本类型拥有业务流程编排与结果控制；单一智能结果使用 AI-CAPABILITY，独立业务知识域使用 AI-KNOWLEDGE，跨系统认证/连接/映射用 IN-*，资源或数据允许/拒绝用 GOV-*，正式评测用 AI-EVALUATION。公司 AI 平台既有不改变本流程的新建模式。</v>
      </c>
      <c r="AW90" s="42" t="str">
        <f aca="false">INDEX(TaskStandardTable[主要计量维度],MATCH($AM90,TaskStandardTable[工作类型ID],0))</f>
        <v>流程步骤、智能能力与工具、结果分支、人工节点、状态恢复</v>
      </c>
      <c r="AX90" s="42" t="str">
        <f aca="false">INDEX(TaskStandardTable[S标准],MATCH($AM90,TaskStandardTable[工作类型ID],0))</f>
        <v>≤3 个步骤；智能能力与工具合计 1 项且必须为智能能力；单一路径；固定回退</v>
      </c>
      <c r="AY90" s="42" t="str">
        <f aca="false">INDEX(TaskStandardTable[M标准],MATCH($AM90,TaskStandardTable[工作类型ID],0))</f>
        <v>4～8 个步骤；智能能力与工具合计 2～3 项且至少 1 项为智能能力；2～4 条分支；1 个人工节点；含追踪、超时和回退</v>
      </c>
      <c r="AZ90" s="42" t="str">
        <f aca="false">INDEX(TaskStandardTable[L标准],MATCH($AM90,TaskStandardTable[工作类型ID],0))</f>
        <v>9～15 个步骤、智能能力与工具合计 4～6 项或 5～8 条分支；至少 1 项为智能能力，并涉及多级人工审批、跨系统状态恢复、动态规划、检索证据约束，或高敏感数据、受监管证据、量化服务目标</v>
      </c>
      <c r="BA90" s="42" t="str">
        <f aca="false">INDEX(TaskStandardTable[X/拆分条件],MATCH($AM90,TaskStandardTable[工作类型ID],0))</f>
        <v>步骤 &gt;15、智能能力与工具合计 &gt;6、分支 &gt;8，包含多个可独立启动和验收的智能业务流程，或允许结果、状态、回退和责任未明确</v>
      </c>
      <c r="BB90" s="42" t="str">
        <f aca="false">INDEX(TaskStandardTable[模式适用说明],MATCH($AM90,TaskStandardTable[工作类型ID],0))</f>
        <v>新建看完整业务流程；调整只看步骤、调用、分支、人工节点、恢复和必要回归；单一智能结果使用 AI-CAPABILITY，不能独立验收的知识检索包含在本行，公司 AI 平台既有不改变模式</v>
      </c>
    </row>
    <row r="91" customFormat="false" ht="82" hidden="false" customHeight="true" outlineLevel="0" collapsed="false">
      <c r="A91" s="32" t="n">
        <v>87</v>
      </c>
      <c r="B91" s="29" t="s">
        <v>1652</v>
      </c>
      <c r="C91" s="32" t="s">
        <v>1704</v>
      </c>
      <c r="D91" s="29" t="s">
        <v>1705</v>
      </c>
      <c r="E91" s="29" t="s">
        <v>1706</v>
      </c>
      <c r="F91" s="29" t="s">
        <v>1707</v>
      </c>
      <c r="G91" s="29" t="s">
        <v>1708</v>
      </c>
      <c r="H91" s="29" t="s">
        <v>1709</v>
      </c>
      <c r="I91" s="29" t="s">
        <v>1710</v>
      </c>
      <c r="J91" s="30" t="b">
        <f aca="false">TRUE()</f>
        <v>1</v>
      </c>
      <c r="K91" s="31" t="n">
        <v>2.5</v>
      </c>
      <c r="L91" s="29" t="s">
        <v>1711</v>
      </c>
      <c r="M91" s="30" t="b">
        <f aca="false">TRUE()</f>
        <v>1</v>
      </c>
      <c r="N91" s="31" t="n">
        <v>1.5</v>
      </c>
      <c r="O91" s="29" t="s">
        <v>1712</v>
      </c>
      <c r="P91" s="30" t="b">
        <f aca="false">FALSE()</f>
        <v>0</v>
      </c>
      <c r="Q91" s="31"/>
      <c r="R91" s="29"/>
      <c r="S91" s="29" t="s">
        <v>1713</v>
      </c>
      <c r="T91" s="29" t="s">
        <v>1714</v>
      </c>
      <c r="U91" s="29" t="s">
        <v>1715</v>
      </c>
      <c r="V91" s="29" t="s">
        <v>1716</v>
      </c>
      <c r="W91" s="29" t="s">
        <v>1717</v>
      </c>
      <c r="X91" s="29" t="s">
        <v>1718</v>
      </c>
      <c r="Y91" s="29" t="s">
        <v>1719</v>
      </c>
      <c r="Z91" s="29" t="s">
        <v>1720</v>
      </c>
      <c r="AA91" s="29" t="s">
        <v>1721</v>
      </c>
      <c r="AB91" s="32" t="s">
        <v>336</v>
      </c>
      <c r="AC91" s="32" t="s">
        <v>337</v>
      </c>
      <c r="AD91" s="32" t="s">
        <v>338</v>
      </c>
      <c r="AE91" s="29" t="s">
        <v>339</v>
      </c>
      <c r="AM91" s="34" t="s">
        <v>1704</v>
      </c>
      <c r="AN91" s="34" t="str">
        <f aca="false">INDEX(TaskStandardTable[分类],MATCH($AM91,TaskStandardTable[工作类型ID],0))</f>
        <v>智能系统</v>
      </c>
      <c r="AO91" s="35" t="str">
        <f aca="false">INDEX(TaskStandardTable[工作类型名称],MATCH($AM91,TaskStandardTable[工作类型ID],0))</f>
        <v>智能能力质量与安全评测</v>
      </c>
      <c r="AP91" s="34" t="str">
        <f aca="false">INDEX(TaskStandardTable[计量单位],MATCH($AM91,TaskStandardTable[工作类型ID],0))</f>
        <v>每个独立评测目标</v>
      </c>
      <c r="AQ91" s="36" t="n">
        <f aca="false">IF(INDEX(TaskStandardTable[新建适用],MATCH($AM91,TaskStandardTable[工作类型ID],0)),INDEX(TaskStandardTable[新建M档人天],MATCH($AM91,TaskStandardTable[工作类型ID],0)),"-")</f>
        <v>2.5</v>
      </c>
      <c r="AR91" s="36" t="n">
        <f aca="false">IF(INDEX(TaskStandardTable[调整适用],MATCH($AM91,TaskStandardTable[工作类型ID],0)),INDEX(TaskStandardTable[调整M档人天],MATCH($AM91,TaskStandardTable[工作类型ID],0)),"-")</f>
        <v>1.5</v>
      </c>
      <c r="AS91" s="36" t="str">
        <f aca="false">IF(INDEX(TaskStandardTable[接入复用适用],MATCH($AM91,TaskStandardTable[工作类型ID],0)),INDEX(TaskStandardTable[接入复用M档人天],MATCH($AM91,TaskStandardTable[工作类型ID],0)),"-")</f>
        <v>-</v>
      </c>
      <c r="AT91" s="34" t="str">
        <f aca="false">INDEX(TaskStandardTable[标准交付物],MATCH($AM91,TaskStandardTable[工作类型ID],0))</f>
        <v>可版本化的评测集、指标、判据、执行资产及智能能力、业务流程或 AI4SE 资产的质量与行为安全结论</v>
      </c>
      <c r="AU91" s="34" t="str">
        <f aca="false">IF(INDEX(TaskStandardTable[新建适用],MATCH($AM91,TaskStandardTable[工作类型ID],0)),"新建："&amp;INDEX(TaskStandardTable[新建完成标准],MATCH($AM91,TaskStandardTable[工作类型ID],0)),"")&amp;IF(INDEX(TaskStandardTable[调整适用],MATCH($AM91,TaskStandardTable[工作类型ID],0)),IF(OR(INDEX(TaskStandardTable[新建适用],MATCH($AM91,TaskStandardTable[工作类型ID],0))),CHAR(10),"")&amp;"调整："&amp;INDEX(TaskStandardTable[调整完成标准],MATCH($AM91,TaskStandardTable[工作类型ID],0)),"")&amp;IF(INDEX(TaskStandardTable[接入复用适用],MATCH($AM91,TaskStandardTable[工作类型ID],0)),IF(OR(INDEX(TaskStandardTable[新建适用],MATCH($AM91,TaskStandardTable[工作类型ID],0)),INDEX(TaskStandardTable[调整适用],MATCH($AM91,TaskStandardTable[工作类型ID],0))),CHAR(10),"")&amp;"接入复用："&amp;INDEX(TaskStandardTable[接入复用完成标准],MATCH($AM91,TaskStandardTable[工作类型ID],0)),"")</f>
        <v>新建：形成新的评测目标、样本、指标和判据，完成执行并通过验收。
调整：改变既有评测资产，执行受影响范围并完成验证。</v>
      </c>
      <c r="AV91" s="34" t="str">
        <f aca="false">INDEX(TaskStandardTable[说明],MATCH($AM91,TaskStandardTable[工作类型ID],0))</f>
        <v>适用于智能业务能力、智能知识、智能流程或 AI4SE 资产的离线质量与行为安全评测；资产未变化的周期性重复评测不单列。确定性功能测试和应用信息安全验证使用对应 TEST-*；线上长期监控用 ENG-OBSERVABILITY / ENG-ALERT。</v>
      </c>
      <c r="AW91" s="34" t="str">
        <f aca="false">INDEX(TaskStandardTable[主要计量维度],MATCH($AM91,TaskStandardTable[工作类型ID],0))</f>
        <v>评测场景、样本、候选版本、指标、数据切片、人工复核</v>
      </c>
      <c r="AX91" s="34" t="str">
        <f aca="false">INDEX(TaskStandardTable[S标准],MATCH($AM91,TaskStandardTable[工作类型ID],0))</f>
        <v>≤3 个场景；≤50 个样本；1 个候选版本；≤3 个指标；单一数据切片；固定评测集</v>
      </c>
      <c r="AY91" s="34" t="str">
        <f aca="false">INDEX(TaskStandardTable[M标准],MATCH($AM91,TaskStandardTable[工作类型ID],0))</f>
        <v>4～10 个场景；&gt;50 且 ≤500 个样本；2～3 个候选版本；4～8 个指标；2～4 个切片；含自动评测和抽样人工复核</v>
      </c>
      <c r="AZ91" s="34" t="str">
        <f aca="false">INDEX(TaskStandardTable[L标准],MATCH($AM91,TaskStandardTable[工作类型ID],0))</f>
        <v>11～20 个场景、&gt;500 且 ≤5000 个样本、4～6 个候选版本、9～16 个指标或 5～8 个切片；涉及对抗样本评测、人工评审一致性校准、行为安全基线与验收，或高敏感数据、受监管证据</v>
      </c>
      <c r="BA91" s="34" t="str">
        <f aca="false">INDEX(TaskStandardTable[X/拆分条件],MATCH($AM91,TaskStandardTable[工作类型ID],0))</f>
        <v>场景 &gt;20、样本 &gt;5000、候选版本 &gt;6、指标 &gt;16、切片 &gt;8，包含多个独立评测目标，或样本来源、通过阈值、评测责任和签署人未明确</v>
      </c>
      <c r="BB91" s="34" t="str">
        <f aca="false">INDEX(TaskStandardTable[模式适用说明],MATCH($AM91,TaskStandardTable[工作类型ID],0))</f>
        <v>新建看完整新评测资产；调整只看样本、指标、判据和执行资产变化及必要回归；被评对象可以是智能业务能力、智能流程或 AI4SE 资产，资产未变化的周期性重复评测不计</v>
      </c>
    </row>
    <row r="92" customFormat="false" ht="68" hidden="false" customHeight="true" outlineLevel="0" collapsed="false">
      <c r="A92" s="38" t="n">
        <v>88</v>
      </c>
      <c r="B92" s="39" t="s">
        <v>1722</v>
      </c>
      <c r="C92" s="38" t="s">
        <v>1723</v>
      </c>
      <c r="D92" s="39" t="s">
        <v>1724</v>
      </c>
      <c r="E92" s="39" t="s">
        <v>1725</v>
      </c>
      <c r="F92" s="39" t="s">
        <v>1726</v>
      </c>
      <c r="G92" s="39" t="s">
        <v>1727</v>
      </c>
      <c r="H92" s="39" t="s">
        <v>1728</v>
      </c>
      <c r="I92" s="39" t="s">
        <v>1729</v>
      </c>
      <c r="J92" s="40" t="b">
        <f aca="false">TRUE()</f>
        <v>1</v>
      </c>
      <c r="K92" s="41" t="n">
        <v>3</v>
      </c>
      <c r="L92" s="39" t="s">
        <v>1730</v>
      </c>
      <c r="M92" s="40" t="b">
        <f aca="false">TRUE()</f>
        <v>1</v>
      </c>
      <c r="N92" s="41" t="n">
        <v>2</v>
      </c>
      <c r="O92" s="39" t="s">
        <v>1731</v>
      </c>
      <c r="P92" s="40" t="b">
        <f aca="false">FALSE()</f>
        <v>0</v>
      </c>
      <c r="Q92" s="41"/>
      <c r="R92" s="39"/>
      <c r="S92" s="39" t="s">
        <v>1732</v>
      </c>
      <c r="T92" s="39" t="s">
        <v>1733</v>
      </c>
      <c r="U92" s="39" t="s">
        <v>1734</v>
      </c>
      <c r="V92" s="39" t="s">
        <v>1735</v>
      </c>
      <c r="W92" s="39" t="s">
        <v>1736</v>
      </c>
      <c r="X92" s="39" t="s">
        <v>1737</v>
      </c>
      <c r="Y92" s="39"/>
      <c r="Z92" s="39" t="s">
        <v>334</v>
      </c>
      <c r="AA92" s="39" t="s">
        <v>374</v>
      </c>
      <c r="AB92" s="38" t="s">
        <v>336</v>
      </c>
      <c r="AC92" s="38" t="s">
        <v>337</v>
      </c>
      <c r="AD92" s="38" t="s">
        <v>338</v>
      </c>
      <c r="AE92" s="39" t="s">
        <v>339</v>
      </c>
      <c r="AM92" s="42" t="s">
        <v>1723</v>
      </c>
      <c r="AN92" s="42" t="str">
        <f aca="false">INDEX(TaskStandardTable[分类],MATCH($AM92,TaskStandardTable[工作类型ID],0))</f>
        <v>软件安全性（Safety）</v>
      </c>
      <c r="AO92" s="43" t="str">
        <f aca="false">INDEX(TaskStandardTable[工作类型名称],MATCH($AM92,TaskStandardTable[工作类型ID],0))</f>
        <v>软件安全性保障与危害论证</v>
      </c>
      <c r="AP92" s="42" t="str">
        <f aca="false">INDEX(TaskStandardTable[计量单位],MATCH($AM92,TaskStandardTable[工作类型ID],0))</f>
        <v>每个可独立批准的软件安全性保障范围</v>
      </c>
      <c r="AQ92" s="44" t="n">
        <f aca="false">IF(INDEX(TaskStandardTable[新建适用],MATCH($AM92,TaskStandardTable[工作类型ID],0)),INDEX(TaskStandardTable[新建M档人天],MATCH($AM92,TaskStandardTable[工作类型ID],0)),"-")</f>
        <v>3</v>
      </c>
      <c r="AR92" s="44" t="n">
        <f aca="false">IF(INDEX(TaskStandardTable[调整适用],MATCH($AM92,TaskStandardTable[工作类型ID],0)),INDEX(TaskStandardTable[调整M档人天],MATCH($AM92,TaskStandardTable[工作类型ID],0)),"-")</f>
        <v>2</v>
      </c>
      <c r="AS92" s="44" t="str">
        <f aca="false">IF(INDEX(TaskStandardTable[接入复用适用],MATCH($AM92,TaskStandardTable[工作类型ID],0)),INDEX(TaskStandardTable[接入复用M档人天],MATCH($AM92,TaskStandardTable[工作类型ID],0)),"-")</f>
        <v>-</v>
      </c>
      <c r="AT92" s="42" t="str">
        <f aca="false">INDEX(TaskStandardTable[标准交付物],MATCH($AM92,TaskStandardTable[工作类型ID],0))</f>
        <v>危害分析与日志、安全主张/要求、论据、证据、残余风险及批准结论</v>
      </c>
      <c r="AU92" s="42" t="str">
        <f aca="false">IF(INDEX(TaskStandardTable[新建适用],MATCH($AM92,TaskStandardTable[工作类型ID],0)),"新建："&amp;INDEX(TaskStandardTable[新建完成标准],MATCH($AM92,TaskStandardTable[工作类型ID],0)),"")&amp;IF(INDEX(TaskStandardTable[调整适用],MATCH($AM92,TaskStandardTable[工作类型ID],0)),IF(OR(INDEX(TaskStandardTable[新建适用],MATCH($AM92,TaskStandardTable[工作类型ID],0))),CHAR(10),"")&amp;"调整："&amp;INDEX(TaskStandardTable[调整完成标准],MATCH($AM92,TaskStandardTable[工作类型ID],0)),"")&amp;IF(INDEX(TaskStandardTable[接入复用适用],MATCH($AM92,TaskStandardTable[工作类型ID],0)),IF(OR(INDEX(TaskStandardTable[新建适用],MATCH($AM92,TaskStandardTable[工作类型ID],0)),INDEX(TaskStandardTable[调整适用],MATCH($AM92,TaskStandardTable[工作类型ID],0))),CHAR(10),"")&amp;"接入复用："&amp;INDEX(TaskStandardTable[接入复用完成标准],MATCH($AM92,TaskStandardTable[工作类型ID],0)),"")</f>
        <v>新建：形成一个软件安全性保障范围的危害清单、安全要求、主张—论据—证据链、残余风险和批准结论。
调整：在同一保障范围内更新危害、要求、论证或证据，复核受影响控制和验证并形成新批准结论。</v>
      </c>
      <c r="AV92" s="42" t="str">
        <f aca="false">INDEX(TaskStandardTable[说明],MATCH($AM92,TaskStandardTable[工作类型ID],0))</f>
        <v>本类型指 safety（避免软件行为造成人员、财产、环境或受控业务过程伤害），不等同于 cybersecurity。独立第三方安全认证/功能安全认证仍走目录外专业服务；工程整改按被修改类型另计。</v>
      </c>
      <c r="AW92" s="42" t="str">
        <f aca="false">INDEX(TaskStandardTable[主要计量维度],MATCH($AM92,TaskStandardTable[工作类型ID],0))</f>
        <v>危害、主张/安全要求、证据源、组件、运行模式、责任方</v>
      </c>
      <c r="AX92" s="42" t="str">
        <f aca="false">INDEX(TaskStandardTable[S标准],MATCH($AM92,TaskStandardTable[工作类型ID],0))</f>
        <v>1～3 个危害；≤5 项主张/安全要求；≤3 个证据源；1 个组件；1 个运行模式；1 个责任方</v>
      </c>
      <c r="AY92" s="42" t="str">
        <f aca="false">INDEX(TaskStandardTable[M标准],MATCH($AM92,TaskStandardTable[工作类型ID],0))</f>
        <v>4～10 个危害；6～15 项主张/要求；4～8 个证据源；2～4 个组件；2～4 个运行模式；2～3 个责任方；含残余风险和批准结论</v>
      </c>
      <c r="AZ92" s="42" t="str">
        <f aca="false">INDEX(TaskStandardTable[L标准],MATCH($AM92,TaskStandardTable[工作类型ID],0))</f>
        <v>11～20 个危害、16～30 项主张/要求、9～16 个证据源、5～8 个组件、5～8 个运行模式或 4～6 个责任方；涉及故障树/事件树论证、主张—论据—证据闭环、失效模式与安全机制验证，或关键业务影响、受监管证据、多方联合交付</v>
      </c>
      <c r="BA92" s="42" t="str">
        <f aca="false">INDEX(TaskStandardTable[X/拆分条件],MATCH($AM92,TaskStandardTable[工作类型ID],0))</f>
        <v>危害 &gt;20、主张/要求 &gt;30、证据源 &gt;16、组件 &gt;8、运行模式 &gt;8、责任方 &gt;6，包含多个可独立批准的 safety case，或伤害边界、安全等级、证据责任和批准人未明确</v>
      </c>
      <c r="BB92" s="42" t="str">
        <f aca="false">INDEX(TaskStandardTable[模式适用说明],MATCH($AM92,TaskStandardTable[工作类型ID],0))</f>
        <v>组件数和运行模式数是两个独立维度，分别判档，不相加、不取笛卡尔积。新建看完整保障范围；调整只看同一范围内变化危害、主张、论据、证据和受影响验证；独立整改使用被修改对象的工作类型</v>
      </c>
    </row>
  </sheetData>
  <sheetProtection sheet="true" formatColumns="false" formatRows="false" autoFilter="false"/>
  <autoFilter ref="AM4:BB92"/>
  <mergeCells count="10">
    <mergeCell ref="A1:AL1"/>
    <mergeCell ref="AM1:AT1"/>
    <mergeCell ref="AU1:AV1"/>
    <mergeCell ref="A2:AE2"/>
    <mergeCell ref="AG2:AL2"/>
    <mergeCell ref="AM2:AV2"/>
    <mergeCell ref="AM3:AP3"/>
    <mergeCell ref="AQ3:AS3"/>
    <mergeCell ref="AT3:AV3"/>
    <mergeCell ref="AW3:BB3"/>
  </mergeCells>
  <hyperlinks>
    <hyperlink ref="AU1" location="'03-工作量汇总'!A11" display="查看估算参数 →"/>
  </hyperlinks>
  <printOptions headings="false" gridLines="false" gridLinesSet="true" horizontalCentered="false" verticalCentered="false"/>
  <pageMargins left="0.25" right="0.25" top="0.3" bottom="0.3" header="0.511811023622047" footer="0.5"/>
  <pageSetup paperSize="8" scale="100" fitToWidth="1" fitToHeight="0" pageOrder="downThenOver" orientation="landscape" blackAndWhite="false" draft="false" cellComments="none" horizontalDpi="300" verticalDpi="300" copies="1"/>
  <headerFooter differentFirst="false" differentOddEven="false">
    <oddHeader/>
    <oddFooter>&amp;C第 &amp;P 页</oddFooter>
  </headerFooter>
  <drawing r:id="rId1"/>
  <tableParts>
    <tablePart r:id="rId2"/>
    <tablePart r:id="rId3"/>
  </tableParts>
</worksheet>
</file>

<file path=docProps/app.xml><?xml version="1.0" encoding="utf-8"?>
<Properties xmlns="http://schemas.openxmlformats.org/officeDocument/2006/extended-properties" xmlns:vt="http://schemas.openxmlformats.org/officeDocument/2006/docPropsVTypes">
  <Template/>
  <TotalTime>0</TotalTime>
  <Application>AI SOW Office Engine</Application>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2000-01-01T00:00:00Z</dcterms:created>
  <dc:creator>AI SOW</dc:creator>
  <dc:description>SOW 1.3 正式估算模板</dc:description>
  <dc:language>en-US</dc:language>
  <cp:lastModifiedBy>AI SOW</cp:lastModifiedBy>
  <dcterms:modified xsi:type="dcterms:W3CDTF">2000-01-01T00:00:00Z</dcterms:modified>
  <cp:revision>0</cp:revision>
  <dc:subject/>
  <dc:title>AI SOW 正式估算工作簿</dc:title>
</cp:coreProperties>
</file>

<file path=docProps/custom.xml><?xml version="1.0" encoding="utf-8"?>
<Properties xmlns="http://schemas.openxmlformats.org/officeDocument/2006/custom-properties" xmlns:vt="http://schemas.openxmlformats.org/officeDocument/2006/docPropsVTypes"/>
</file>