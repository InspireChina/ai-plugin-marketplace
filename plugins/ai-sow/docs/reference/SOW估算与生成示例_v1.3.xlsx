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使用说明" sheetId="1" state="visible" r:id="rId1"/>
    <sheet name="01-需求" sheetId="2" state="visible" r:id="rId2"/>
    <sheet name="02-子需求" sheetId="3" state="visible" r:id="rId3"/>
    <sheet name="03-SOW主表" sheetId="4" state="visible" r:id="rId4"/>
    <sheet name="04-验收条件" sheetId="5" state="visible" r:id="rId5"/>
    <sheet name="05-任务明细" sheetId="6" state="visible" r:id="rId6"/>
    <sheet name="06-集成点" sheetId="7" state="visible" r:id="rId7"/>
    <sheet name="07-假设清单" sheetId="8" state="visible" r:id="rId8"/>
    <sheet name="20-项目汇总" sheetId="9" state="visible" r:id="rId9"/>
    <sheet name="90-系统现状" sheetId="10" state="visible" r:id="rId10"/>
    <sheet name="91-项目参数" sheetId="11" state="visible" r:id="rId11"/>
    <sheet name="92-基础人天" sheetId="12" state="visible" r:id="rId12"/>
  </sheets>
  <definedNames/>
  <calcPr calcId="124519" calcMode="auto" fullCalcOnLoad="1" calcOnSave="1" forceFullCalc="1"/>
</workbook>
</file>

<file path=xl/styles.xml><?xml version="1.0" encoding="utf-8"?>
<styleSheet xmlns="http://schemas.openxmlformats.org/spreadsheetml/2006/main">
  <numFmts count="3">
    <numFmt numFmtId="164" formatCode="0.0"/>
    <numFmt numFmtId="165" formatCode="_ * #,##0.00_ ;_ * \-#,##0.00_ ;_ * &quot;-&quot;??_ ;_ @_ "/>
    <numFmt numFmtId="166" formatCode="_ * #,##0_ ;_ * \-#,##0_ ;_ * &quot;-&quot;_ ;_ @_ "/>
  </numFmts>
  <fonts count="56">
    <font>
      <name val="Carlito"/>
      <sz val="11"/>
    </font>
    <font>
      <name val="Carlito"/>
      <b val="1"/>
      <color rgb="FFFFFFFF"/>
      <sz val="16"/>
    </font>
    <font>
      <name val="Carlito"/>
      <i val="1"/>
      <color rgb="FF44546A"/>
      <sz val="10"/>
    </font>
    <font>
      <name val="Carlito"/>
      <b val="1"/>
      <color rgb="FFFFFFFF"/>
      <sz val="10"/>
    </font>
    <font>
      <name val="Carlito"/>
      <color rgb="FF1F1F1F"/>
      <sz val="10"/>
    </font>
    <font>
      <name val="Carlito"/>
      <b val="1"/>
      <color rgb="FF17365D"/>
      <sz val="11"/>
    </font>
    <font>
      <name val="Carlito"/>
      <b val="1"/>
      <color rgb="FFFFFFFF"/>
      <sz val="11"/>
    </font>
    <font>
      <name val="Carlito"/>
      <i val="1"/>
      <color rgb="FF44546A"/>
      <sz val="11"/>
    </font>
    <font>
      <name val="Carlito"/>
      <color rgb="FF1F1F1F"/>
      <sz val="11"/>
    </font>
    <font>
      <name val="Carlito"/>
      <b val="1"/>
      <color rgb="FF17365D"/>
      <sz val="10"/>
    </font>
    <font>
      <name val="Carlito"/>
      <i val="1"/>
      <color rgb="FF666666"/>
      <sz val="11"/>
    </font>
    <font>
      <name val="Calibri"/>
      <color theme="1"/>
      <sz val="11"/>
    </font>
    <font>
      <name val="Calibri"/>
      <color rgb="FF0000FF"/>
      <sz val="11"/>
    </font>
    <font>
      <name val="Calibri"/>
      <color rgb="FF800080"/>
      <sz val="11"/>
    </font>
    <font>
      <name val="Calibri"/>
      <color rgb="FFFF0000"/>
      <sz val="11"/>
    </font>
    <font>
      <name val="Calibri"/>
      <b val="1"/>
      <color theme="3"/>
      <sz val="18"/>
    </font>
    <font>
      <name val="Calibri"/>
      <i val="1"/>
      <color rgb="FF7F7F7F"/>
      <sz val="11"/>
    </font>
    <font>
      <name val="Calibri"/>
      <b val="1"/>
      <color theme="3"/>
      <sz val="15"/>
    </font>
    <font>
      <name val="Calibri"/>
      <b val="1"/>
      <color theme="3"/>
      <sz val="13"/>
    </font>
    <font>
      <name val="Calibri"/>
      <b val="1"/>
      <color theme="3"/>
      <sz val="11"/>
    </font>
    <font>
      <name val="Calibri"/>
      <color rgb="FF3F3F76"/>
      <sz val="11"/>
    </font>
    <font>
      <name val="Calibri"/>
      <b val="1"/>
      <color rgb="FF3F3F3F"/>
      <sz val="11"/>
    </font>
    <font>
      <name val="Calibri"/>
      <b val="1"/>
      <color rgb="FFFA7D00"/>
      <sz val="11"/>
    </font>
    <font>
      <name val="Calibri"/>
      <b val="1"/>
      <color rgb="FFFFFFFF"/>
      <sz val="11"/>
    </font>
    <font>
      <name val="Calibri"/>
      <color rgb="FFFA7D00"/>
      <sz val="11"/>
    </font>
    <font>
      <name val="Calibri"/>
      <b val="1"/>
      <color theme="1"/>
      <sz val="11"/>
    </font>
    <font>
      <name val="Calibri"/>
      <color rgb="FF006100"/>
      <sz val="11"/>
    </font>
    <font>
      <name val="Calibri"/>
      <color rgb="FF9C0006"/>
      <sz val="11"/>
    </font>
    <font>
      <name val="Calibri"/>
      <color rgb="FF9C6500"/>
      <sz val="11"/>
    </font>
    <font>
      <name val="Calibri"/>
      <color theme="0"/>
      <sz val="11"/>
    </font>
    <font>
      <name val="Calibri"/>
      <color theme="1"/>
      <sz val="11"/>
    </font>
    <font>
      <name val="Carlito"/>
      <b val="1"/>
      <color rgb="FFFFFFFF"/>
      <sz val="15"/>
    </font>
    <font>
      <name val="Carlito"/>
      <color rgb="FF44546A"/>
      <sz val="11"/>
    </font>
    <font>
      <name val="Carlito"/>
      <i val="1"/>
      <color rgb="FF666666"/>
      <sz val="10"/>
    </font>
    <font>
      <name val="Carlito"/>
      <b val="1"/>
      <color rgb="FFFFFFFF"/>
      <sz val="13"/>
    </font>
    <font>
      <name val="Carlito"/>
      <b val="1"/>
      <i val="1"/>
      <color rgb="FF666666"/>
      <sz val="11"/>
    </font>
    <font>
      <name val="Carlito"/>
      <b val="1"/>
      <color rgb="FF1F1F1F"/>
      <sz val="11"/>
    </font>
    <font>
      <name val="Aptos Display"/>
      <b val="1"/>
      <color rgb="FFFFFFFF"/>
      <sz val="17"/>
    </font>
    <font>
      <name val="Aptos"/>
      <i val="1"/>
      <color rgb="FF667680"/>
      <sz val="10"/>
    </font>
    <font>
      <name val="Aptos"/>
      <b val="1"/>
      <color rgb="FFFFFFFF"/>
      <sz val="17"/>
    </font>
    <font>
      <name val="Aptos"/>
      <sz val="11"/>
    </font>
    <font>
      <name val="Aptos"/>
      <b val="1"/>
      <color rgb="FFFFFFFF"/>
      <sz val="11"/>
    </font>
    <font>
      <name val="Aptos"/>
      <color rgb="FF1F1F1F"/>
      <sz val="11"/>
    </font>
    <font>
      <name val="Aptos"/>
      <b val="1"/>
      <color rgb="FF24313A"/>
      <sz val="10"/>
    </font>
    <font>
      <name val="Aptos"/>
      <color rgb="FF24313A"/>
      <sz val="10"/>
    </font>
    <font>
      <name val="Aptos"/>
      <b val="1"/>
      <color rgb="FF315F61"/>
      <sz val="10"/>
    </font>
    <font>
      <name val="Aptos"/>
      <b val="1"/>
      <color rgb="FFFFFFFF"/>
      <sz val="10"/>
    </font>
    <font>
      <name val="Aptos"/>
      <color rgb="FF5E6B75"/>
      <sz val="10"/>
    </font>
    <font>
      <name val="Aptos"/>
      <b val="1"/>
      <color rgb="FF17324D"/>
      <sz val="11"/>
    </font>
    <font>
      <name val="Aptos"/>
      <b val="1"/>
      <color rgb="FF72531E"/>
      <sz val="10"/>
    </font>
    <font>
      <name val="Aptos"/>
      <b val="1"/>
      <color rgb="FF72531E"/>
      <sz val="11"/>
    </font>
    <font>
      <name val="Aptos"/>
      <color rgb="FF667680"/>
      <sz val="10"/>
    </font>
    <font>
      <name val="Carlito"/>
      <color rgb="FF24313A"/>
      <sz val="11"/>
    </font>
    <font>
      <name val="Carlito"/>
      <color rgb="FF5E6B75"/>
      <sz val="11"/>
    </font>
    <font>
      <name val="Aptos"/>
      <color rgb="FF23323F"/>
      <sz val="10"/>
    </font>
    <font>
      <name val="Carlito"/>
      <color rgb="FF23323F"/>
      <sz val="11"/>
    </font>
  </fonts>
  <fills count="124">
    <fill>
      <patternFill/>
    </fill>
    <fill>
      <patternFill patternType="gray125"/>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9EAF7"/>
      </patternFill>
    </fill>
    <fill>
      <patternFill patternType="solid">
        <fgColor rgb="FFDDEBF7"/>
      </patternFill>
    </fill>
    <fill>
      <patternFill patternType="solid">
        <fgColor rgb="FF2F75B5"/>
      </patternFill>
    </fill>
    <fill>
      <patternFill patternType="solid">
        <fgColor rgb="FFE2F0D9"/>
      </patternFill>
    </fill>
    <fill>
      <patternFill patternType="solid">
        <fgColor rgb="FFFCE4D6"/>
      </patternFill>
    </fill>
    <fill>
      <patternFill patternType="solid">
        <fgColor rgb="FFFFFFCC"/>
      </patternFill>
    </fill>
    <fill>
      <patternFill patternType="solid">
        <fgColor rgb="FFFFCC99"/>
      </patternFill>
    </fill>
    <fill>
      <patternFill patternType="solid">
        <fgColor rgb="FFA5A5A5"/>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8"/>
      </patternFill>
    </fill>
    <fill>
      <patternFill patternType="solid">
        <fgColor theme="4" tint="0.59999"/>
      </patternFill>
    </fill>
    <fill>
      <patternFill patternType="solid">
        <fgColor theme="4" tint="0.39998"/>
      </patternFill>
    </fill>
    <fill>
      <patternFill patternType="solid">
        <fgColor theme="5"/>
      </patternFill>
    </fill>
    <fill>
      <patternFill patternType="solid">
        <fgColor theme="5" tint="0.79998"/>
      </patternFill>
    </fill>
    <fill>
      <patternFill patternType="solid">
        <fgColor theme="5" tint="0.59999"/>
      </patternFill>
    </fill>
    <fill>
      <patternFill patternType="solid">
        <fgColor theme="5" tint="0.39998"/>
      </patternFill>
    </fill>
    <fill>
      <patternFill patternType="solid">
        <fgColor theme="6"/>
      </patternFill>
    </fill>
    <fill>
      <patternFill patternType="solid">
        <fgColor theme="6" tint="0.79998"/>
      </patternFill>
    </fill>
    <fill>
      <patternFill patternType="solid">
        <fgColor theme="6" tint="0.59999"/>
      </patternFill>
    </fill>
    <fill>
      <patternFill patternType="solid">
        <fgColor theme="6" tint="0.39998"/>
      </patternFill>
    </fill>
    <fill>
      <patternFill patternType="solid">
        <fgColor theme="7"/>
      </patternFill>
    </fill>
    <fill>
      <patternFill patternType="solid">
        <fgColor theme="7" tint="0.79998"/>
      </patternFill>
    </fill>
    <fill>
      <patternFill patternType="solid">
        <fgColor theme="7" tint="0.59999"/>
      </patternFill>
    </fill>
    <fill>
      <patternFill patternType="solid">
        <fgColor theme="7" tint="0.39998"/>
      </patternFill>
    </fill>
    <fill>
      <patternFill patternType="solid">
        <fgColor theme="8"/>
      </patternFill>
    </fill>
    <fill>
      <patternFill patternType="solid">
        <fgColor theme="8" tint="0.79998"/>
      </patternFill>
    </fill>
    <fill>
      <patternFill patternType="solid">
        <fgColor theme="8" tint="0.59999"/>
      </patternFill>
    </fill>
    <fill>
      <patternFill patternType="solid">
        <fgColor theme="8" tint="0.39998"/>
      </patternFill>
    </fill>
    <fill>
      <patternFill patternType="solid">
        <fgColor theme="9"/>
      </patternFill>
    </fill>
    <fill>
      <patternFill patternType="solid">
        <fgColor theme="9" tint="0.79998"/>
      </patternFill>
    </fill>
    <fill>
      <patternFill patternType="solid">
        <fgColor theme="9" tint="0.59999"/>
      </patternFill>
    </fill>
    <fill>
      <patternFill patternType="solid">
        <fgColor theme="9" tint="0.39998"/>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2F75B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2F75B5"/>
      </patternFill>
    </fill>
    <fill>
      <patternFill patternType="solid">
        <fgColor rgb="FFBF9000"/>
      </patternFill>
    </fill>
    <fill>
      <patternFill patternType="solid">
        <fgColor rgb="FF70AD47"/>
      </patternFill>
    </fill>
    <fill>
      <patternFill patternType="solid">
        <fgColor rgb="FF5B9BD5"/>
      </patternFill>
    </fill>
    <fill>
      <patternFill patternType="solid">
        <fgColor rgb="FFEAF2F8"/>
      </patternFill>
    </fill>
    <fill>
      <patternFill patternType="solid">
        <fgColor rgb="FFFFFFFF"/>
      </patternFill>
    </fill>
    <fill>
      <patternFill patternType="solid">
        <fgColor rgb="FFFFF2CC"/>
      </patternFill>
    </fill>
    <fill>
      <patternFill patternType="solid">
        <fgColor rgb="FFE2F0D9"/>
      </patternFill>
    </fill>
    <fill>
      <patternFill patternType="solid">
        <fgColor rgb="FF17324D"/>
      </patternFill>
    </fill>
    <fill>
      <patternFill patternType="solid">
        <fgColor rgb="FFF7F9FA"/>
      </patternFill>
    </fill>
    <fill>
      <patternFill patternType="solid">
        <fgColor rgb="FF26465F"/>
      </patternFill>
    </fill>
    <fill>
      <patternFill patternType="solid">
        <fgColor rgb="FFFFFFFF"/>
      </patternFill>
    </fill>
    <fill>
      <patternFill patternType="solid">
        <fgColor rgb="FFE8F1F0"/>
      </patternFill>
    </fill>
    <fill>
      <patternFill patternType="solid">
        <fgColor rgb="FF315F61"/>
      </patternFill>
    </fill>
    <fill>
      <patternFill patternType="solid">
        <fgColor rgb="FFFFF5E3"/>
      </patternFill>
    </fill>
    <fill>
      <patternFill patternType="solid">
        <fgColor rgb="FFF1F4F6"/>
      </patternFill>
    </fill>
    <fill>
      <patternFill patternType="solid">
        <fgColor rgb="FFDCEEE7"/>
      </patternFill>
    </fill>
    <fill>
      <patternFill patternType="solid">
        <fgColor rgb="FF5E6B75"/>
      </patternFill>
    </fill>
    <fill>
      <patternFill patternType="solid">
        <fgColor rgb="FF3F7778"/>
      </patternFill>
    </fill>
    <fill>
      <patternFill patternType="solid">
        <fgColor rgb="FFA8762E"/>
      </patternFill>
    </fill>
    <fill>
      <patternFill patternType="solid">
        <fgColor rgb="FFF1F4F6"/>
      </patternFill>
    </fill>
    <fill>
      <patternFill patternType="solid">
        <fgColor rgb="FFFFFFFF"/>
      </patternFill>
    </fill>
    <fill>
      <patternFill patternType="solid">
        <fgColor rgb="FFE8F1F0"/>
      </patternFill>
    </fill>
    <fill>
      <patternFill patternType="solid">
        <fgColor rgb="FFFFF5E3"/>
      </patternFill>
    </fill>
    <fill>
      <patternFill patternType="solid">
        <fgColor rgb="FF315F61"/>
      </patternFill>
    </fill>
    <fill>
      <patternFill patternType="solid">
        <fgColor rgb="FFFFF5E3"/>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26465F"/>
      </patternFill>
    </fill>
    <fill>
      <patternFill patternType="solid">
        <fgColor rgb="FFE8F1F0"/>
      </patternFill>
    </fill>
    <fill>
      <patternFill patternType="solid">
        <fgColor rgb="FFFFFFFF"/>
      </patternFill>
    </fill>
    <fill>
      <patternFill patternType="solid">
        <fgColor rgb="00FFFFFF"/>
      </patternFill>
    </fill>
    <fill>
      <patternFill patternType="solid">
        <fgColor rgb="00FFF2CC"/>
      </patternFill>
    </fill>
  </fills>
  <borders count="43">
    <border/>
    <border>
      <left style="thin">
        <color rgb="FFB4C6E7"/>
      </left>
      <right style="thin">
        <color rgb="FFB4C6E7"/>
      </right>
      <top style="thin">
        <color rgb="FFB4C6E7"/>
      </top>
      <bottom style="thin">
        <color rgb="FFB4C6E7"/>
      </bottom>
    </border>
    <border>
      <left style="thin">
        <color rgb="FFB4C6E7"/>
      </left>
      <top style="thin">
        <color rgb="FFB4C6E7"/>
      </top>
      <bottom style="thin">
        <color rgb="FFB4C6E7"/>
      </bottom>
    </border>
    <border>
      <top style="thin">
        <color rgb="FFB4C6E7"/>
      </top>
      <bottom style="thin">
        <color rgb="FFB4C6E7"/>
      </bottom>
    </border>
    <border>
      <right style="thin">
        <color rgb="FFB4C6E7"/>
      </right>
      <top style="thin">
        <color rgb="FFB4C6E7"/>
      </top>
      <bottom style="thin">
        <color rgb="FFB4C6E7"/>
      </bottom>
    </border>
    <border>
      <left style="thin">
        <color rgb="FFB2B2B2"/>
      </left>
      <right style="thin">
        <color rgb="FFB2B2B2"/>
      </right>
      <top style="thin">
        <color rgb="FFB2B2B2"/>
      </top>
      <bottom style="thin">
        <color rgb="FFB2B2B2"/>
      </bottom>
    </border>
    <border>
      <bottom style="medium">
        <color theme="4"/>
      </bottom>
    </border>
    <border>
      <bottom style="medium">
        <color theme="4" tint="0.4999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bottom style="double">
        <color rgb="FFFF8001"/>
      </bottom>
    </border>
    <border>
      <top style="thin">
        <color theme="4"/>
      </top>
      <bottom style="double">
        <color theme="4"/>
      </bottom>
    </border>
    <border>
      <left style="thin">
        <color rgb="FFA9C7EA"/>
      </left>
      <right style="thin">
        <color rgb="FFA9C7EA"/>
      </right>
      <top style="thin">
        <color rgb="FFA9C7EA"/>
      </top>
      <bottom style="thin">
        <color rgb="FFA9C7EA"/>
      </bottom>
    </border>
    <border>
      <top style="thin">
        <color rgb="FFA9C7EA"/>
      </top>
    </border>
    <border>
      <right style="thin">
        <color rgb="FFA9C7EA"/>
      </right>
      <top style="thin">
        <color rgb="FFA9C7EA"/>
      </top>
    </border>
    <border>
      <top style="thin">
        <color rgb="FFA9C7EA"/>
      </top>
      <bottom style="thin">
        <color rgb="FFA9C7EA"/>
      </bottom>
    </border>
    <border>
      <right style="thin">
        <color rgb="FFA9C7EA"/>
      </right>
      <top style="thin">
        <color rgb="FFA9C7EA"/>
      </top>
      <bottom style="thin">
        <color rgb="FFA9C7EA"/>
      </bottom>
    </border>
    <border>
      <top style="thin">
        <color rgb="FFB4C6E7"/>
      </top>
    </border>
    <border>
      <right style="thin">
        <color rgb="FFB4C6E7"/>
      </right>
      <top style="thin">
        <color rgb="FFB4C6E7"/>
      </top>
    </border>
    <border>
      <left style="thin">
        <color rgb="FFD9E2F3"/>
      </left>
      <right style="thin">
        <color rgb="FFD9E2F3"/>
      </right>
      <top style="thin">
        <color rgb="FFD9E2F3"/>
      </top>
      <bottom style="thin">
        <color rgb="FFD9E2F3"/>
      </bottom>
    </border>
    <border>
      <bottom style="medium">
        <color rgb="FF3F7778"/>
      </bottom>
    </border>
    <border>
      <bottom style="thin">
        <color rgb="FFB9C7CE"/>
      </bottom>
    </border>
    <border>
      <left style="thin">
        <color rgb="FFA9C7EA"/>
      </left>
      <right style="thin">
        <color rgb="FFA9C7EA"/>
      </right>
      <top style="thin">
        <color rgb="FFA9C7EA"/>
      </top>
      <bottom style="medium">
        <color rgb="FF3F7778"/>
      </bottom>
    </border>
    <border>
      <top style="thin">
        <color rgb="FFA9C7EA"/>
      </top>
      <bottom style="medium">
        <color rgb="FF3F7778"/>
      </bottom>
    </border>
    <border>
      <right style="thin">
        <color rgb="FFA9C7EA"/>
      </right>
      <top style="thin">
        <color rgb="FFA9C7EA"/>
      </top>
      <bottom style="medium">
        <color rgb="FF3F7778"/>
      </bottom>
    </border>
    <border>
      <left style="thin">
        <color rgb="FFD6DEE3"/>
      </left>
      <right style="thin">
        <color rgb="FFD6DEE3"/>
      </right>
      <top style="thin">
        <color rgb="FFD6DEE3"/>
      </top>
      <bottom style="thin">
        <color rgb="FFD6DEE3"/>
      </bottom>
    </border>
    <border>
      <left style="thin">
        <color rgb="FFDCE7E7"/>
      </left>
      <right style="thin">
        <color rgb="FFDCE7E7"/>
      </right>
      <top style="thin">
        <color rgb="FFDCE7E7"/>
      </top>
      <bottom style="thin">
        <color rgb="FFDCE7E7"/>
      </bottom>
    </border>
    <border>
      <left style="medium">
        <color rgb="FF17324D"/>
      </left>
      <right style="medium">
        <color rgb="FF17324D"/>
      </right>
      <top style="medium">
        <color rgb="FF17324D"/>
      </top>
      <bottom style="medium">
        <color rgb="FF17324D"/>
      </bottom>
    </border>
    <border>
      <left style="thin">
        <color rgb="FFFFFFFF"/>
      </left>
      <right style="thin">
        <color rgb="FFFFFFFF"/>
      </right>
      <top style="thin">
        <color rgb="FFFFFFFF"/>
      </top>
      <bottom style="thin">
        <color rgb="FFFFFFFF"/>
      </bottom>
    </border>
    <border>
      <top style="thin">
        <color rgb="FFD6DEE3"/>
      </top>
    </border>
    <border>
      <right style="thin">
        <color rgb="FFD6DEE3"/>
      </right>
      <top style="thin">
        <color rgb="FFD6DEE3"/>
      </top>
    </border>
    <border>
      <top style="thin">
        <color rgb="FFD6DEE3"/>
      </top>
      <bottom style="thin">
        <color rgb="FFD6DEE3"/>
      </bottom>
    </border>
    <border>
      <right style="thin">
        <color rgb="FFD6DEE3"/>
      </right>
      <top style="thin">
        <color rgb="FFD6DEE3"/>
      </top>
      <bottom style="thin">
        <color rgb="FFD6DEE3"/>
      </bottom>
    </border>
    <border>
      <top style="thin">
        <color rgb="FFFFFFFF"/>
      </top>
    </border>
    <border>
      <right style="thin">
        <color rgb="FFFFFFFF"/>
      </right>
      <top style="thin">
        <color rgb="FFFFFFFF"/>
      </top>
    </border>
    <border>
      <top style="thin">
        <color rgb="FFFFFFFF"/>
      </top>
      <bottom style="thin">
        <color rgb="FFFFFFFF"/>
      </bottom>
    </border>
    <border>
      <right style="thin">
        <color rgb="FFFFFFFF"/>
      </right>
      <top style="thin">
        <color rgb="FFFFFFFF"/>
      </top>
      <bottom style="thin">
        <color rgb="FFFFFFFF"/>
      </bottom>
    </border>
    <border>
      <left style="thin">
        <color rgb="FFB7C9C7"/>
      </left>
      <right style="thin">
        <color rgb="FFB7C9C7"/>
      </right>
      <top style="thin">
        <color rgb="FFB7C9C7"/>
      </top>
      <bottom style="thin">
        <color rgb="FFB7C9C7"/>
      </bottom>
    </border>
    <border>
      <top style="thin">
        <color rgb="FFB7C9C7"/>
      </top>
    </border>
    <border>
      <right style="thin">
        <color rgb="FFB7C9C7"/>
      </right>
      <top style="thin">
        <color rgb="FFB7C9C7"/>
      </top>
    </border>
    <border>
      <top style="thin">
        <color rgb="FFB7C9C7"/>
      </top>
      <bottom style="thin">
        <color rgb="FFB7C9C7"/>
      </bottom>
    </border>
    <border>
      <right style="thin">
        <color rgb="FFB7C9C7"/>
      </right>
      <top style="thin">
        <color rgb="FFB7C9C7"/>
      </top>
      <bottom style="thin">
        <color rgb="FFB7C9C7"/>
      </bottom>
    </border>
  </borders>
  <cellStyleXfs count="49">
    <xf numFmtId="0" fontId="0" fillId="0" borderId="0"/>
    <xf numFmtId="165" fontId="30" fillId="0" borderId="0" applyAlignment="1">
      <alignment vertical="center"/>
    </xf>
    <xf numFmtId="44" fontId="30" fillId="0" borderId="0" applyAlignment="1">
      <alignment vertical="center"/>
    </xf>
    <xf numFmtId="9" fontId="30" fillId="0" borderId="0" applyAlignment="1">
      <alignment vertical="center"/>
    </xf>
    <xf numFmtId="166" fontId="30" fillId="0" borderId="0" applyAlignment="1">
      <alignment vertical="center"/>
    </xf>
    <xf numFmtId="42" fontId="30" fillId="0" borderId="0" applyAlignment="1">
      <alignment vertical="center"/>
    </xf>
    <xf numFmtId="0" fontId="12" fillId="0" borderId="0" applyAlignment="1">
      <alignment vertical="center"/>
    </xf>
    <xf numFmtId="0" fontId="13" fillId="0" borderId="0" applyAlignment="1">
      <alignment vertical="center"/>
    </xf>
    <xf numFmtId="0" fontId="30" fillId="11" borderId="5"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6" applyAlignment="1">
      <alignment vertical="center"/>
    </xf>
    <xf numFmtId="0" fontId="18" fillId="0" borderId="6" applyAlignment="1">
      <alignment vertical="center"/>
    </xf>
    <xf numFmtId="0" fontId="19" fillId="0" borderId="7" applyAlignment="1">
      <alignment vertical="center"/>
    </xf>
    <xf numFmtId="0" fontId="19" fillId="0" borderId="0" applyAlignment="1">
      <alignment vertical="center"/>
    </xf>
    <xf numFmtId="0" fontId="20" fillId="12" borderId="8" applyAlignment="1">
      <alignment vertical="center"/>
    </xf>
    <xf numFmtId="0" fontId="21" fillId="82" borderId="9" applyAlignment="1">
      <alignment vertical="center"/>
    </xf>
    <xf numFmtId="0" fontId="22" fillId="82" borderId="8" applyAlignment="1">
      <alignment vertical="center"/>
    </xf>
    <xf numFmtId="0" fontId="23" fillId="13" borderId="10" applyAlignment="1">
      <alignment vertical="center"/>
    </xf>
    <xf numFmtId="0" fontId="24" fillId="0" borderId="11" applyAlignment="1">
      <alignment vertical="center"/>
    </xf>
    <xf numFmtId="0" fontId="25" fillId="0" borderId="12" applyAlignment="1">
      <alignment vertical="center"/>
    </xf>
    <xf numFmtId="0" fontId="26" fillId="14" borderId="0" applyAlignment="1">
      <alignment vertical="center"/>
    </xf>
    <xf numFmtId="0" fontId="27" fillId="15" borderId="0" applyAlignment="1">
      <alignment vertical="center"/>
    </xf>
    <xf numFmtId="0" fontId="28" fillId="16" borderId="0" applyAlignment="1">
      <alignment vertical="center"/>
    </xf>
    <xf numFmtId="0" fontId="29" fillId="17" borderId="0" applyAlignment="1">
      <alignment vertical="center"/>
    </xf>
    <xf numFmtId="0" fontId="30" fillId="18" borderId="0" applyAlignment="1">
      <alignment vertical="center"/>
    </xf>
    <xf numFmtId="0" fontId="30" fillId="19" borderId="0" applyAlignment="1">
      <alignment vertical="center"/>
    </xf>
    <xf numFmtId="0" fontId="29" fillId="20" borderId="0" applyAlignment="1">
      <alignment vertical="center"/>
    </xf>
    <xf numFmtId="0" fontId="29" fillId="21" borderId="0" applyAlignment="1">
      <alignment vertical="center"/>
    </xf>
    <xf numFmtId="0" fontId="30" fillId="22" borderId="0" applyAlignment="1">
      <alignment vertical="center"/>
    </xf>
    <xf numFmtId="0" fontId="30" fillId="23" borderId="0" applyAlignment="1">
      <alignment vertical="center"/>
    </xf>
    <xf numFmtId="0" fontId="29" fillId="24" borderId="0" applyAlignment="1">
      <alignment vertical="center"/>
    </xf>
    <xf numFmtId="0" fontId="29" fillId="25" borderId="0" applyAlignment="1">
      <alignment vertical="center"/>
    </xf>
    <xf numFmtId="0" fontId="30" fillId="26" borderId="0" applyAlignment="1">
      <alignment vertical="center"/>
    </xf>
    <xf numFmtId="0" fontId="30" fillId="27" borderId="0" applyAlignment="1">
      <alignment vertical="center"/>
    </xf>
    <xf numFmtId="0" fontId="29" fillId="28" borderId="0" applyAlignment="1">
      <alignment vertical="center"/>
    </xf>
    <xf numFmtId="0" fontId="29" fillId="29" borderId="0" applyAlignment="1">
      <alignment vertical="center"/>
    </xf>
    <xf numFmtId="0" fontId="30" fillId="30" borderId="0" applyAlignment="1">
      <alignment vertical="center"/>
    </xf>
    <xf numFmtId="0" fontId="30" fillId="31" borderId="0" applyAlignment="1">
      <alignment vertical="center"/>
    </xf>
    <xf numFmtId="0" fontId="29" fillId="32" borderId="0" applyAlignment="1">
      <alignment vertical="center"/>
    </xf>
    <xf numFmtId="0" fontId="29" fillId="33" borderId="0" applyAlignment="1">
      <alignment vertical="center"/>
    </xf>
    <xf numFmtId="0" fontId="30" fillId="34" borderId="0" applyAlignment="1">
      <alignment vertical="center"/>
    </xf>
    <xf numFmtId="0" fontId="30" fillId="35" borderId="0" applyAlignment="1">
      <alignment vertical="center"/>
    </xf>
    <xf numFmtId="0" fontId="29" fillId="36" borderId="0" applyAlignment="1">
      <alignment vertical="center"/>
    </xf>
    <xf numFmtId="0" fontId="29" fillId="37" borderId="0" applyAlignment="1">
      <alignment vertical="center"/>
    </xf>
    <xf numFmtId="0" fontId="30" fillId="38" borderId="0" applyAlignment="1">
      <alignment vertical="center"/>
    </xf>
    <xf numFmtId="0" fontId="30" fillId="39" borderId="0" applyAlignment="1">
      <alignment vertical="center"/>
    </xf>
    <xf numFmtId="0" fontId="29" fillId="40" borderId="0" applyAlignment="1">
      <alignment vertical="center"/>
    </xf>
  </cellStyleXfs>
  <cellXfs count="1062">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horizontal="center" vertical="center" wrapText="1"/>
    </xf>
    <xf numFmtId="0" fontId="4" fillId="5" borderId="1" applyAlignment="1" pivotButton="0" quotePrefix="0" xfId="0">
      <alignment vertical="top" wrapText="1"/>
    </xf>
    <xf numFmtId="164" fontId="4" fillId="5"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center" wrapText="1"/>
    </xf>
    <xf numFmtId="9" fontId="4" fillId="5" borderId="1" applyAlignment="1" pivotButton="0" quotePrefix="0" xfId="0">
      <alignment vertical="top" wrapText="1"/>
    </xf>
    <xf numFmtId="0" fontId="6" fillId="2" borderId="0" applyAlignment="1" pivotButton="0" quotePrefix="0" xfId="0">
      <alignment vertical="center"/>
    </xf>
    <xf numFmtId="0" fontId="7" fillId="3" borderId="0" applyAlignment="1" pivotButton="0" quotePrefix="0" xfId="0">
      <alignment vertical="center" wrapText="1"/>
    </xf>
    <xf numFmtId="0" fontId="5" fillId="7" borderId="2" applyAlignment="1" pivotButton="0" quotePrefix="0" xfId="0">
      <alignment vertical="center"/>
    </xf>
    <xf numFmtId="0" fontId="5" fillId="7" borderId="3" applyAlignment="1" pivotButton="0" quotePrefix="0" xfId="0">
      <alignment vertical="center"/>
    </xf>
    <xf numFmtId="0" fontId="5" fillId="7" borderId="4" applyAlignment="1" pivotButton="0" quotePrefix="0" xfId="0">
      <alignment vertical="center"/>
    </xf>
    <xf numFmtId="0" fontId="6" fillId="4" borderId="1" applyAlignment="1" pivotButton="0" quotePrefix="0" xfId="0">
      <alignment horizontal="center" vertical="center" wrapText="1"/>
    </xf>
    <xf numFmtId="0" fontId="8" fillId="5" borderId="1" applyAlignment="1" pivotButton="0" quotePrefix="0" xfId="0">
      <alignment vertical="center" wrapText="1"/>
    </xf>
    <xf numFmtId="0" fontId="8" fillId="7" borderId="1" applyAlignment="1" pivotButton="0" quotePrefix="0" xfId="0">
      <alignment vertical="center" wrapText="1"/>
    </xf>
    <xf numFmtId="164" fontId="4" fillId="7" borderId="1" applyAlignment="1" pivotButton="0" quotePrefix="0" xfId="0">
      <alignment vertical="top" wrapText="1"/>
    </xf>
    <xf numFmtId="0" fontId="4" fillId="7" borderId="1" applyAlignment="1" pivotButton="0" quotePrefix="0" xfId="0">
      <alignment vertical="top" wrapText="1"/>
    </xf>
    <xf numFmtId="0" fontId="9" fillId="6" borderId="1" applyAlignment="1" pivotButton="0" quotePrefix="0" xfId="0">
      <alignment vertical="top" wrapText="1"/>
    </xf>
    <xf numFmtId="164" fontId="9" fillId="6" borderId="1" applyAlignment="1" pivotButton="0" quotePrefix="0" xfId="0">
      <alignment vertical="top" wrapText="1"/>
    </xf>
    <xf numFmtId="0" fontId="3" fillId="2" borderId="1" applyAlignment="1" pivotButton="0" quotePrefix="0" xfId="0">
      <alignment vertical="top" wrapText="1"/>
    </xf>
    <xf numFmtId="164" fontId="3" fillId="2" borderId="1" applyAlignment="1" pivotButton="0" quotePrefix="0" xfId="0">
      <alignment vertical="top" wrapText="1"/>
    </xf>
    <xf numFmtId="164" fontId="8" fillId="5" borderId="1" applyAlignment="1" pivotButton="0" quotePrefix="0" xfId="0">
      <alignment vertical="center" wrapText="1"/>
    </xf>
    <xf numFmtId="164" fontId="8" fillId="7" borderId="1" applyAlignment="1" pivotButton="0" quotePrefix="0" xfId="0">
      <alignment vertical="center" wrapText="1"/>
    </xf>
    <xf numFmtId="0" fontId="10" fillId="3" borderId="0" applyAlignment="1" pivotButton="0" quotePrefix="0" xfId="0">
      <alignment vertical="center"/>
    </xf>
    <xf numFmtId="0" fontId="0" fillId="5" borderId="1" applyAlignment="1" pivotButton="0" quotePrefix="0" xfId="0">
      <alignment vertical="top" wrapText="1"/>
    </xf>
    <xf numFmtId="0" fontId="0" fillId="5" borderId="1" applyAlignment="1" pivotButton="0" quotePrefix="0" xfId="0">
      <alignment horizontal="center" vertical="top" wrapText="1"/>
    </xf>
    <xf numFmtId="0" fontId="8" fillId="7" borderId="1" applyAlignment="1" pivotButton="0" quotePrefix="0" xfId="0">
      <alignment vertical="top" wrapText="1"/>
    </xf>
    <xf numFmtId="0" fontId="5" fillId="6" borderId="1" applyAlignment="1" pivotButton="0" quotePrefix="0" xfId="0">
      <alignment vertical="center"/>
    </xf>
    <xf numFmtId="0" fontId="3" fillId="8" borderId="1" applyAlignment="1" pivotButton="0" quotePrefix="0" xfId="0">
      <alignment horizontal="center" vertical="top" wrapText="1"/>
    </xf>
    <xf numFmtId="0" fontId="9" fillId="7"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0" fontId="3" fillId="8" borderId="1" applyAlignment="1" pivotButton="0" quotePrefix="0" xfId="0">
      <alignment horizontal="center" vertical="center" wrapText="1"/>
    </xf>
    <xf numFmtId="0" fontId="9" fillId="6" borderId="1" applyAlignment="1" pivotButton="0" quotePrefix="0" xfId="0">
      <alignment vertical="center" wrapText="1"/>
    </xf>
    <xf numFmtId="0" fontId="3" fillId="2" borderId="1" applyAlignment="1" pivotButton="0" quotePrefix="0" xfId="0">
      <alignment horizontal="center" vertical="center" wrapText="1"/>
    </xf>
    <xf numFmtId="0" fontId="1" fillId="41" borderId="0" applyAlignment="1" pivotButton="0" quotePrefix="0" xfId="0">
      <alignment vertical="center"/>
    </xf>
    <xf numFmtId="0" fontId="0" fillId="41" borderId="0" pivotButton="0" quotePrefix="0" xfId="0"/>
    <xf numFmtId="0" fontId="31" fillId="41" borderId="0" applyAlignment="1" pivotButton="0" quotePrefix="0" xfId="0">
      <alignment vertical="center"/>
    </xf>
    <xf numFmtId="0" fontId="31" fillId="41" borderId="0" pivotButton="0" quotePrefix="0" xfId="0"/>
    <xf numFmtId="0" fontId="2" fillId="42" borderId="0" applyAlignment="1" pivotButton="0" quotePrefix="0" xfId="0">
      <alignment vertical="center" wrapText="1"/>
    </xf>
    <xf numFmtId="0" fontId="0" fillId="42" borderId="0" pivotButton="0" quotePrefix="0" xfId="0"/>
    <xf numFmtId="0" fontId="7" fillId="42" borderId="0" pivotButton="0" quotePrefix="0" xfId="0"/>
    <xf numFmtId="0" fontId="7" fillId="42" borderId="0" applyAlignment="1" pivotButton="0" quotePrefix="0" xfId="0">
      <alignment wrapText="1"/>
    </xf>
    <xf numFmtId="0" fontId="7" fillId="42" borderId="0" applyAlignment="1" pivotButton="0" quotePrefix="0" xfId="0">
      <alignment vertical="center" wrapText="1"/>
    </xf>
    <xf numFmtId="0" fontId="3" fillId="43" borderId="1" applyAlignment="1" pivotButton="0" quotePrefix="0" xfId="0">
      <alignment horizontal="center" vertical="center" wrapText="1"/>
    </xf>
    <xf numFmtId="0" fontId="0" fillId="43" borderId="0" pivotButton="0" quotePrefix="0" xfId="0"/>
    <xf numFmtId="0" fontId="6" fillId="43" borderId="0" pivotButton="0" quotePrefix="0" xfId="0"/>
    <xf numFmtId="0" fontId="3" fillId="43" borderId="13" applyAlignment="1" pivotButton="0" quotePrefix="0" xfId="0">
      <alignment horizontal="center" vertical="center" wrapText="1"/>
    </xf>
    <xf numFmtId="0" fontId="6" fillId="43" borderId="13" pivotButton="0" quotePrefix="0" xfId="0"/>
    <xf numFmtId="0" fontId="6" fillId="43" borderId="13" applyAlignment="1" pivotButton="0" quotePrefix="0" xfId="0">
      <alignment wrapText="1"/>
    </xf>
    <xf numFmtId="0" fontId="6" fillId="43" borderId="13" applyAlignment="1" pivotButton="0" quotePrefix="0" xfId="0">
      <alignment horizontal="center" wrapText="1"/>
    </xf>
    <xf numFmtId="0" fontId="6" fillId="43" borderId="13" applyAlignment="1" pivotButton="0" quotePrefix="0" xfId="0">
      <alignment horizontal="center" vertical="center" wrapText="1"/>
    </xf>
    <xf numFmtId="0" fontId="4" fillId="44" borderId="1" applyAlignment="1" pivotButton="0" quotePrefix="0" xfId="0">
      <alignment vertical="top" wrapText="1"/>
    </xf>
    <xf numFmtId="164" fontId="4" fillId="44" borderId="1" applyAlignment="1" pivotButton="0" quotePrefix="0" xfId="0">
      <alignment vertical="top" wrapText="1"/>
    </xf>
    <xf numFmtId="0" fontId="0" fillId="44" borderId="0" pivotButton="0" quotePrefix="0" xfId="0"/>
    <xf numFmtId="0" fontId="8" fillId="44" borderId="0" pivotButton="0" quotePrefix="0" xfId="0"/>
    <xf numFmtId="0" fontId="4" fillId="44" borderId="13" applyAlignment="1" pivotButton="0" quotePrefix="0" xfId="0">
      <alignment vertical="top" wrapText="1"/>
    </xf>
    <xf numFmtId="164" fontId="4" fillId="44" borderId="13" applyAlignment="1" pivotButton="0" quotePrefix="0" xfId="0">
      <alignment vertical="top" wrapText="1"/>
    </xf>
    <xf numFmtId="0" fontId="8" fillId="44" borderId="13" pivotButton="0" quotePrefix="0" xfId="0"/>
    <xf numFmtId="0" fontId="8" fillId="44" borderId="13" applyAlignment="1" pivotButton="0" quotePrefix="0" xfId="0">
      <alignment wrapText="1"/>
    </xf>
    <xf numFmtId="0" fontId="4" fillId="44" borderId="13" applyAlignment="1" pivotButton="0" quotePrefix="0" xfId="0">
      <alignment vertical="center" wrapText="1"/>
    </xf>
    <xf numFmtId="164" fontId="4" fillId="44" borderId="13" applyAlignment="1" pivotButton="0" quotePrefix="0" xfId="0">
      <alignment vertical="center" wrapText="1"/>
    </xf>
    <xf numFmtId="0" fontId="8" fillId="44" borderId="13" applyAlignment="1" pivotButton="0" quotePrefix="0" xfId="0">
      <alignment vertical="center" wrapText="1"/>
    </xf>
    <xf numFmtId="0" fontId="4" fillId="45" borderId="13" applyAlignment="1" pivotButton="0" quotePrefix="0" xfId="0">
      <alignment vertical="center" wrapText="1"/>
    </xf>
    <xf numFmtId="0" fontId="8" fillId="45"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164" fontId="8" fillId="45" borderId="1" applyAlignment="1" pivotButton="0" quotePrefix="0" xfId="0">
      <alignment vertical="center" wrapText="1"/>
    </xf>
    <xf numFmtId="0" fontId="0" fillId="45" borderId="0" pivotButton="0" quotePrefix="0" xfId="0"/>
    <xf numFmtId="0" fontId="8" fillId="45" borderId="0" pivotButton="0" quotePrefix="0" xfId="0"/>
    <xf numFmtId="0" fontId="8" fillId="45" borderId="13" pivotButton="0" quotePrefix="0" xfId="0"/>
    <xf numFmtId="0" fontId="8" fillId="45" borderId="13" applyAlignment="1" pivotButton="0" quotePrefix="0" xfId="0">
      <alignment wrapText="1"/>
    </xf>
    <xf numFmtId="0" fontId="6" fillId="41" borderId="0" applyAlignment="1" pivotButton="0" quotePrefix="0" xfId="0">
      <alignment vertical="center"/>
    </xf>
    <xf numFmtId="0" fontId="8" fillId="43" borderId="13" applyAlignment="1" pivotButton="0" quotePrefix="0" xfId="0">
      <alignment vertical="center" wrapText="1"/>
    </xf>
    <xf numFmtId="0" fontId="6" fillId="43" borderId="13" applyAlignment="1" pivotButton="0" quotePrefix="0" xfId="0">
      <alignment vertical="center" wrapText="1"/>
    </xf>
    <xf numFmtId="0" fontId="1" fillId="46" borderId="0" applyAlignment="1" pivotButton="0" quotePrefix="0" xfId="0">
      <alignment vertical="center"/>
    </xf>
    <xf numFmtId="0" fontId="31" fillId="46" borderId="0" applyAlignment="1" pivotButton="0" quotePrefix="0" xfId="0">
      <alignment vertical="center"/>
    </xf>
    <xf numFmtId="0" fontId="2" fillId="47" borderId="0" applyAlignment="1" pivotButton="0" quotePrefix="0" xfId="0">
      <alignment vertical="center" wrapText="1"/>
    </xf>
    <xf numFmtId="0" fontId="0" fillId="48" borderId="0" pivotButton="0" quotePrefix="0" xfId="0"/>
    <xf numFmtId="0" fontId="6" fillId="48" borderId="0" pivotButton="0" quotePrefix="0" xfId="0"/>
    <xf numFmtId="0" fontId="6" fillId="48" borderId="13" pivotButton="0" quotePrefix="0" xfId="0"/>
    <xf numFmtId="0" fontId="6" fillId="48" borderId="13" applyAlignment="1" pivotButton="0" quotePrefix="0" xfId="0">
      <alignment wrapText="1"/>
    </xf>
    <xf numFmtId="0" fontId="6" fillId="48" borderId="13" applyAlignment="1" pivotButton="0" quotePrefix="0" xfId="0">
      <alignment horizontal="left" wrapText="1"/>
    </xf>
    <xf numFmtId="0" fontId="6" fillId="48" borderId="13" applyAlignment="1" pivotButton="0" quotePrefix="0" xfId="0">
      <alignment horizontal="left" vertical="center" wrapText="1"/>
    </xf>
    <xf numFmtId="0" fontId="0" fillId="49" borderId="0" pivotButton="0" quotePrefix="0" xfId="0"/>
    <xf numFmtId="0" fontId="6" fillId="49" borderId="0" pivotButton="0" quotePrefix="0" xfId="0"/>
    <xf numFmtId="0" fontId="6" fillId="49" borderId="13" pivotButton="0" quotePrefix="0" xfId="0"/>
    <xf numFmtId="0" fontId="6" fillId="49" borderId="13" applyAlignment="1" pivotButton="0" quotePrefix="0" xfId="0">
      <alignment wrapText="1"/>
    </xf>
    <xf numFmtId="0" fontId="6" fillId="49" borderId="13" applyAlignment="1" pivotButton="0" quotePrefix="0" xfId="0">
      <alignment horizontal="center" wrapText="1"/>
    </xf>
    <xf numFmtId="0" fontId="6" fillId="49" borderId="13" applyAlignment="1" pivotButton="0" quotePrefix="0" xfId="0">
      <alignment horizontal="center" vertical="center" wrapText="1"/>
    </xf>
    <xf numFmtId="0" fontId="0" fillId="50" borderId="0" pivotButton="0" quotePrefix="0" xfId="0"/>
    <xf numFmtId="0" fontId="8" fillId="50" borderId="0" pivotButton="0" quotePrefix="0" xfId="0"/>
    <xf numFmtId="0" fontId="8" fillId="50" borderId="13" pivotButton="0" quotePrefix="0" xfId="0"/>
    <xf numFmtId="0" fontId="8" fillId="50" borderId="13" applyAlignment="1" pivotButton="0" quotePrefix="0" xfId="0">
      <alignment wrapText="1"/>
    </xf>
    <xf numFmtId="0" fontId="8" fillId="50" borderId="13" applyAlignment="1" pivotButton="0" quotePrefix="0" xfId="0">
      <alignment vertical="center" wrapText="1"/>
    </xf>
    <xf numFmtId="0" fontId="0" fillId="51" borderId="0" pivotButton="0" quotePrefix="0" xfId="0"/>
    <xf numFmtId="0" fontId="8" fillId="51" borderId="0" pivotButton="0" quotePrefix="0" xfId="0"/>
    <xf numFmtId="0" fontId="8" fillId="51" borderId="13" pivotButton="0" quotePrefix="0" xfId="0"/>
    <xf numFmtId="0" fontId="8" fillId="51" borderId="13" applyAlignment="1" pivotButton="0" quotePrefix="0" xfId="0">
      <alignment wrapText="1"/>
    </xf>
    <xf numFmtId="0" fontId="8" fillId="51" borderId="13" applyAlignment="1" pivotButton="0" quotePrefix="0" xfId="0">
      <alignment vertical="center" wrapText="1"/>
    </xf>
    <xf numFmtId="0" fontId="6" fillId="48" borderId="13" applyAlignment="1" pivotButton="0" quotePrefix="0" xfId="0">
      <alignment horizontal="center" wrapText="1"/>
    </xf>
    <xf numFmtId="0" fontId="6" fillId="48" borderId="13" applyAlignment="1" pivotButton="0" quotePrefix="0" xfId="0">
      <alignment horizontal="center" vertical="center" wrapText="1"/>
    </xf>
    <xf numFmtId="0" fontId="6" fillId="48" borderId="1" applyAlignment="1" pivotButton="0" quotePrefix="0" xfId="0">
      <alignment horizontal="center" vertical="center" wrapText="1"/>
    </xf>
    <xf numFmtId="0" fontId="8" fillId="50" borderId="1" applyAlignment="1" pivotButton="0" quotePrefix="0" xfId="0">
      <alignment vertical="center" wrapText="1"/>
    </xf>
    <xf numFmtId="0" fontId="8" fillId="51" borderId="1" applyAlignment="1" pivotButton="0" quotePrefix="0" xfId="0">
      <alignment vertical="center" wrapText="1"/>
    </xf>
    <xf numFmtId="0" fontId="8" fillId="51" borderId="1" applyAlignment="1" pivotButton="0" quotePrefix="0" xfId="0">
      <alignment vertical="top" wrapText="1"/>
    </xf>
    <xf numFmtId="164" fontId="8" fillId="51" borderId="1" applyAlignment="1" pivotButton="0" quotePrefix="0" xfId="0">
      <alignment vertical="center" wrapText="1"/>
    </xf>
    <xf numFmtId="0" fontId="8" fillId="51" borderId="13" applyAlignment="1" pivotButton="0" quotePrefix="0" xfId="0">
      <alignment vertical="top" wrapText="1"/>
    </xf>
    <xf numFmtId="164" fontId="8" fillId="51" borderId="13" applyAlignment="1" pivotButton="0" quotePrefix="0" xfId="0">
      <alignment vertical="center" wrapText="1"/>
    </xf>
    <xf numFmtId="0" fontId="0" fillId="50" borderId="1" applyAlignment="1" pivotButton="0" quotePrefix="0" xfId="0">
      <alignment vertical="top" wrapText="1"/>
    </xf>
    <xf numFmtId="0" fontId="0" fillId="50" borderId="1" applyAlignment="1" pivotButton="0" quotePrefix="0" xfId="0">
      <alignment horizontal="center" vertical="top" wrapText="1"/>
    </xf>
    <xf numFmtId="0" fontId="8" fillId="50" borderId="1" applyAlignment="1" pivotButton="0" quotePrefix="0" xfId="0">
      <alignment vertical="top" wrapText="1"/>
    </xf>
    <xf numFmtId="0" fontId="8" fillId="50" borderId="1" applyAlignment="1" pivotButton="0" quotePrefix="0" xfId="0">
      <alignment horizontal="center" vertical="top" wrapText="1"/>
    </xf>
    <xf numFmtId="0" fontId="8" fillId="50" borderId="13" applyAlignment="1" pivotButton="0" quotePrefix="0" xfId="0">
      <alignment vertical="top" wrapText="1"/>
    </xf>
    <xf numFmtId="0" fontId="8" fillId="50" borderId="13" applyAlignment="1" pivotButton="0" quotePrefix="0" xfId="0">
      <alignment horizontal="center" vertical="top" wrapText="1"/>
    </xf>
    <xf numFmtId="0" fontId="8" fillId="50" borderId="13" applyAlignment="1" pivotButton="0" quotePrefix="0" xfId="0">
      <alignment horizontal="center" vertical="center" wrapText="1"/>
    </xf>
    <xf numFmtId="164" fontId="8" fillId="50" borderId="1" applyAlignment="1" pivotButton="0" quotePrefix="0" xfId="0">
      <alignment vertical="center" wrapText="1"/>
    </xf>
    <xf numFmtId="164" fontId="8" fillId="50" borderId="13" applyAlignment="1" pivotButton="0" quotePrefix="0" xfId="0">
      <alignment vertical="center" wrapText="1"/>
    </xf>
    <xf numFmtId="0" fontId="0" fillId="46" borderId="0" pivotButton="0" quotePrefix="0" xfId="0"/>
    <xf numFmtId="0" fontId="31" fillId="46" borderId="0" pivotButton="0" quotePrefix="0" xfId="0"/>
    <xf numFmtId="0" fontId="0" fillId="47" borderId="0" pivotButton="0" quotePrefix="0" xfId="0"/>
    <xf numFmtId="0" fontId="7" fillId="47" borderId="0" pivotButton="0" quotePrefix="0" xfId="0"/>
    <xf numFmtId="0" fontId="7" fillId="47" borderId="0" applyAlignment="1" pivotButton="0" quotePrefix="0" xfId="0">
      <alignment wrapText="1"/>
    </xf>
    <xf numFmtId="0" fontId="7" fillId="47" borderId="0" applyAlignment="1" pivotButton="0" quotePrefix="0" xfId="0">
      <alignment vertical="center" wrapText="1"/>
    </xf>
    <xf numFmtId="0" fontId="3" fillId="48" borderId="1" applyAlignment="1" pivotButton="0" quotePrefix="0" xfId="0">
      <alignment horizontal="center" vertical="center" wrapText="1"/>
    </xf>
    <xf numFmtId="0" fontId="3" fillId="48" borderId="13" applyAlignment="1" pivotButton="0" quotePrefix="0" xfId="0">
      <alignment horizontal="center" vertical="center" wrapText="1"/>
    </xf>
    <xf numFmtId="0" fontId="4" fillId="50" borderId="1" applyAlignment="1" pivotButton="0" quotePrefix="0" xfId="0">
      <alignment vertical="top" wrapText="1"/>
    </xf>
    <xf numFmtId="0" fontId="4" fillId="50" borderId="13" applyAlignment="1" pivotButton="0" quotePrefix="0" xfId="0">
      <alignment vertical="top" wrapText="1"/>
    </xf>
    <xf numFmtId="0" fontId="4" fillId="50" borderId="13" applyAlignment="1" pivotButton="0" quotePrefix="0" xfId="0">
      <alignment vertical="center" wrapText="1"/>
    </xf>
    <xf numFmtId="164" fontId="4" fillId="51" borderId="1" applyAlignment="1" pivotButton="0" quotePrefix="0" xfId="0">
      <alignment vertical="top" wrapText="1"/>
    </xf>
    <xf numFmtId="164" fontId="4" fillId="51" borderId="13" applyAlignment="1" pivotButton="0" quotePrefix="0" xfId="0">
      <alignment vertical="top" wrapText="1"/>
    </xf>
    <xf numFmtId="164" fontId="4" fillId="51" borderId="13" applyAlignment="1" pivotButton="0" quotePrefix="0" xfId="0">
      <alignment vertical="center" wrapText="1"/>
    </xf>
    <xf numFmtId="0" fontId="4" fillId="51" borderId="1" applyAlignment="1" pivotButton="0" quotePrefix="0" xfId="0">
      <alignment vertical="top" wrapText="1"/>
    </xf>
    <xf numFmtId="0" fontId="4" fillId="51" borderId="13" applyAlignment="1" pivotButton="0" quotePrefix="0" xfId="0">
      <alignment vertical="top" wrapText="1"/>
    </xf>
    <xf numFmtId="0" fontId="4" fillId="51" borderId="13" applyAlignment="1" pivotButton="0" quotePrefix="0" xfId="0">
      <alignment vertical="center" wrapText="1"/>
    </xf>
    <xf numFmtId="164" fontId="0" fillId="0" borderId="0" pivotButton="0" quotePrefix="0" xfId="0"/>
    <xf numFmtId="164" fontId="8" fillId="7" borderId="13" applyAlignment="1" pivotButton="0" quotePrefix="0" xfId="0">
      <alignment vertical="center" wrapText="1"/>
    </xf>
    <xf numFmtId="0" fontId="0" fillId="0" borderId="16" pivotButton="0" quotePrefix="0" xfId="0"/>
    <xf numFmtId="0" fontId="0" fillId="0" borderId="17" pivotButton="0" quotePrefix="0" xfId="0"/>
    <xf numFmtId="164" fontId="8" fillId="51" borderId="13" applyAlignment="1" pivotButton="0" quotePrefix="0" xfId="0">
      <alignment vertical="center" wrapText="1"/>
    </xf>
    <xf numFmtId="164" fontId="8" fillId="7" borderId="1" applyAlignment="1" pivotButton="0" quotePrefix="0" xfId="0">
      <alignment vertical="center" wrapText="1"/>
    </xf>
    <xf numFmtId="164" fontId="0" fillId="0" borderId="0" pivotButton="0" quotePrefix="0" xfId="0"/>
    <xf numFmtId="164" fontId="8" fillId="50" borderId="13" applyAlignment="1" pivotButton="0" quotePrefix="0" xfId="0">
      <alignment vertical="center" wrapText="1"/>
    </xf>
    <xf numFmtId="164" fontId="8" fillId="5" borderId="1" applyAlignment="1" pivotButton="0" quotePrefix="0" xfId="0">
      <alignment vertical="center" wrapText="1"/>
    </xf>
    <xf numFmtId="164" fontId="8" fillId="7" borderId="13" applyAlignment="1" pivotButton="0" quotePrefix="0" xfId="0">
      <alignment vertical="center" wrapText="1"/>
    </xf>
    <xf numFmtId="164" fontId="4" fillId="51" borderId="13" applyAlignment="1" pivotButton="0" quotePrefix="0" xfId="0">
      <alignment vertical="center" wrapText="1"/>
    </xf>
    <xf numFmtId="164" fontId="4" fillId="7" borderId="1" applyAlignment="1" pivotButton="0" quotePrefix="0" xfId="0">
      <alignment vertical="top" wrapText="1"/>
    </xf>
    <xf numFmtId="164" fontId="9" fillId="6" borderId="1" applyAlignment="1" pivotButton="0" quotePrefix="0" xfId="0">
      <alignment vertical="top" wrapText="1"/>
    </xf>
    <xf numFmtId="164" fontId="3" fillId="2" borderId="1" applyAlignment="1" pivotButton="0" quotePrefix="0" xfId="0">
      <alignment vertical="top" wrapText="1"/>
    </xf>
    <xf numFmtId="164" fontId="4" fillId="5" borderId="1" applyAlignment="1" pivotButton="0" quotePrefix="0" xfId="0">
      <alignment vertical="top" wrapText="1"/>
    </xf>
    <xf numFmtId="164" fontId="4" fillId="44"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0" fontId="0" fillId="0" borderId="3" pivotButton="0" quotePrefix="0" xfId="0"/>
    <xf numFmtId="0" fontId="0" fillId="0" borderId="4" pivotButton="0" quotePrefix="0" xfId="0"/>
    <xf numFmtId="0" fontId="0" fillId="52" borderId="0" pivotButton="0" quotePrefix="0" xfId="0"/>
    <xf numFmtId="0" fontId="6" fillId="52" borderId="0" pivotButton="0" quotePrefix="0" xfId="0"/>
    <xf numFmtId="0" fontId="6" fillId="52" borderId="0" applyAlignment="1" pivotButton="0" quotePrefix="0" xfId="0">
      <alignment vertical="center"/>
    </xf>
    <xf numFmtId="0" fontId="0" fillId="53" borderId="0" pivotButton="0" quotePrefix="0" xfId="0"/>
    <xf numFmtId="0" fontId="32" fillId="53" borderId="0" pivotButton="0" quotePrefix="0" xfId="0"/>
    <xf numFmtId="0" fontId="32" fillId="53" borderId="0" applyAlignment="1" pivotButton="0" quotePrefix="0" xfId="0">
      <alignment wrapText="1"/>
    </xf>
    <xf numFmtId="0" fontId="32" fillId="53" borderId="0" applyAlignment="1" pivotButton="0" quotePrefix="0" xfId="0">
      <alignment vertical="center" wrapText="1"/>
    </xf>
    <xf numFmtId="0" fontId="0" fillId="54" borderId="0" pivotButton="0" quotePrefix="0" xfId="0"/>
    <xf numFmtId="0" fontId="6" fillId="54" borderId="0" pivotButton="0" quotePrefix="0" xfId="0"/>
    <xf numFmtId="0" fontId="6" fillId="54" borderId="13" pivotButton="0" quotePrefix="0" xfId="0"/>
    <xf numFmtId="0" fontId="6" fillId="54" borderId="13" applyAlignment="1" pivotButton="0" quotePrefix="0" xfId="0">
      <alignment wrapText="1"/>
    </xf>
    <xf numFmtId="0" fontId="6" fillId="54" borderId="13" applyAlignment="1" pivotButton="0" quotePrefix="0" xfId="0">
      <alignment horizontal="center" wrapText="1"/>
    </xf>
    <xf numFmtId="0" fontId="6" fillId="54" borderId="13" applyAlignment="1" pivotButton="0" quotePrefix="0" xfId="0">
      <alignment horizontal="center" vertical="center" wrapText="1"/>
    </xf>
    <xf numFmtId="0" fontId="0" fillId="55" borderId="0" pivotButton="0" quotePrefix="0" xfId="0"/>
    <xf numFmtId="0" fontId="8" fillId="55" borderId="0" pivotButton="0" quotePrefix="0" xfId="0"/>
    <xf numFmtId="0" fontId="8" fillId="55" borderId="20" pivotButton="0" quotePrefix="0" xfId="0"/>
    <xf numFmtId="0" fontId="8" fillId="55" borderId="20" applyAlignment="1" pivotButton="0" quotePrefix="0" xfId="0">
      <alignment wrapText="1"/>
    </xf>
    <xf numFmtId="0" fontId="8" fillId="55" borderId="20" applyAlignment="1" pivotButton="0" quotePrefix="0" xfId="0">
      <alignment vertical="center" wrapText="1"/>
    </xf>
    <xf numFmtId="0" fontId="0" fillId="56" borderId="0" pivotButton="0" quotePrefix="0" xfId="0"/>
    <xf numFmtId="0" fontId="6" fillId="56" borderId="0" pivotButton="0" quotePrefix="0" xfId="0"/>
    <xf numFmtId="0" fontId="6" fillId="56" borderId="0" applyAlignment="1" pivotButton="0" quotePrefix="0" xfId="0">
      <alignment vertical="center"/>
    </xf>
    <xf numFmtId="0" fontId="0" fillId="57" borderId="0" pivotButton="0" quotePrefix="0" xfId="0"/>
    <xf numFmtId="0" fontId="32" fillId="57" borderId="0" pivotButton="0" quotePrefix="0" xfId="0"/>
    <xf numFmtId="0" fontId="32" fillId="57" borderId="0" applyAlignment="1" pivotButton="0" quotePrefix="0" xfId="0">
      <alignment wrapText="1"/>
    </xf>
    <xf numFmtId="0" fontId="32" fillId="57" borderId="0" applyAlignment="1" pivotButton="0" quotePrefix="0" xfId="0">
      <alignment vertical="center" wrapText="1"/>
    </xf>
    <xf numFmtId="0" fontId="0" fillId="58" borderId="0" pivotButton="0" quotePrefix="0" xfId="0"/>
    <xf numFmtId="0" fontId="6" fillId="58" borderId="0" pivotButton="0" quotePrefix="0" xfId="0"/>
    <xf numFmtId="0" fontId="6" fillId="58" borderId="13" pivotButton="0" quotePrefix="0" xfId="0"/>
    <xf numFmtId="0" fontId="6" fillId="58" borderId="13" applyAlignment="1" pivotButton="0" quotePrefix="0" xfId="0">
      <alignment wrapText="1"/>
    </xf>
    <xf numFmtId="0" fontId="6" fillId="58" borderId="13" applyAlignment="1" pivotButton="0" quotePrefix="0" xfId="0">
      <alignment horizontal="center" wrapText="1"/>
    </xf>
    <xf numFmtId="0" fontId="6" fillId="58" borderId="13" applyAlignment="1" pivotButton="0" quotePrefix="0" xfId="0">
      <alignment horizontal="center" vertical="center" wrapText="1"/>
    </xf>
    <xf numFmtId="0" fontId="0" fillId="59" borderId="0" pivotButton="0" quotePrefix="0" xfId="0"/>
    <xf numFmtId="0" fontId="8" fillId="59" borderId="0" pivotButton="0" quotePrefix="0" xfId="0"/>
    <xf numFmtId="0" fontId="8" fillId="59" borderId="20" pivotButton="0" quotePrefix="0" xfId="0"/>
    <xf numFmtId="0" fontId="8" fillId="59" borderId="20" applyAlignment="1" pivotButton="0" quotePrefix="0" xfId="0">
      <alignment wrapText="1"/>
    </xf>
    <xf numFmtId="0" fontId="8" fillId="59" borderId="20" applyAlignment="1" pivotButton="0" quotePrefix="0" xfId="0">
      <alignment vertical="center" wrapText="1"/>
    </xf>
    <xf numFmtId="0" fontId="6" fillId="60" borderId="13" applyAlignment="1" pivotButton="0" quotePrefix="0" xfId="0">
      <alignment horizontal="center" vertical="center" wrapText="1"/>
    </xf>
    <xf numFmtId="0" fontId="0" fillId="60" borderId="0" pivotButton="0" quotePrefix="0" xfId="0"/>
    <xf numFmtId="0" fontId="6" fillId="60" borderId="0" pivotButton="0" quotePrefix="0" xfId="0"/>
    <xf numFmtId="0" fontId="6" fillId="60" borderId="13" pivotButton="0" quotePrefix="0" xfId="0"/>
    <xf numFmtId="0" fontId="6" fillId="60" borderId="13" applyAlignment="1" pivotButton="0" quotePrefix="0" xfId="0">
      <alignment wrapText="1"/>
    </xf>
    <xf numFmtId="0" fontId="6" fillId="60" borderId="13" applyAlignment="1" pivotButton="0" quotePrefix="0" xfId="0">
      <alignment horizontal="center" wrapText="1"/>
    </xf>
    <xf numFmtId="0" fontId="8" fillId="61" borderId="13" applyAlignment="1" pivotButton="0" quotePrefix="0" xfId="0">
      <alignment vertical="center" wrapText="1"/>
    </xf>
    <xf numFmtId="164" fontId="8" fillId="62" borderId="13" applyAlignment="1" pivotButton="0" quotePrefix="0" xfId="0">
      <alignment vertical="center" wrapText="1"/>
    </xf>
    <xf numFmtId="0" fontId="0" fillId="62" borderId="0" pivotButton="0" quotePrefix="0" xfId="0"/>
    <xf numFmtId="0" fontId="8" fillId="62" borderId="0" pivotButton="0" quotePrefix="0" xfId="0"/>
    <xf numFmtId="0" fontId="8" fillId="62" borderId="13" pivotButton="0" quotePrefix="0" xfId="0"/>
    <xf numFmtId="0" fontId="8" fillId="62" borderId="13" applyAlignment="1" pivotButton="0" quotePrefix="0" xfId="0">
      <alignment wrapText="1"/>
    </xf>
    <xf numFmtId="0" fontId="8" fillId="62" borderId="13" applyAlignment="1" pivotButton="0" quotePrefix="0" xfId="0">
      <alignment vertical="center" wrapText="1"/>
    </xf>
    <xf numFmtId="0" fontId="31" fillId="63" borderId="0" applyAlignment="1" pivotButton="0" quotePrefix="0" xfId="0">
      <alignment vertical="center"/>
    </xf>
    <xf numFmtId="0" fontId="0" fillId="63" borderId="0" pivotButton="0" quotePrefix="0" xfId="0"/>
    <xf numFmtId="0" fontId="1" fillId="63" borderId="0" applyAlignment="1" pivotButton="0" quotePrefix="0" xfId="0">
      <alignment vertical="center"/>
    </xf>
    <xf numFmtId="0" fontId="1" fillId="63" borderId="0" pivotButton="0" quotePrefix="0" xfId="0"/>
    <xf numFmtId="0" fontId="7" fillId="64" borderId="0" applyAlignment="1" pivotButton="0" quotePrefix="0" xfId="0">
      <alignment vertical="center" wrapText="1"/>
    </xf>
    <xf numFmtId="0" fontId="0" fillId="64" borderId="0" pivotButton="0" quotePrefix="0" xfId="0"/>
    <xf numFmtId="0" fontId="33" fillId="64" borderId="0" applyAlignment="1" pivotButton="0" quotePrefix="0" xfId="0">
      <alignment vertical="center" wrapText="1"/>
    </xf>
    <xf numFmtId="0" fontId="33" fillId="64" borderId="0" pivotButton="0" quotePrefix="0" xfId="0"/>
    <xf numFmtId="0" fontId="33" fillId="64" borderId="0" applyAlignment="1" pivotButton="0" quotePrefix="0" xfId="0">
      <alignment wrapText="1"/>
    </xf>
    <xf numFmtId="0" fontId="6" fillId="65" borderId="13" applyAlignment="1" pivotButton="0" quotePrefix="0" xfId="0">
      <alignment horizontal="center" vertical="center" wrapText="1"/>
    </xf>
    <xf numFmtId="0" fontId="8" fillId="66" borderId="13" applyAlignment="1" pivotButton="0" quotePrefix="0" xfId="0">
      <alignment vertical="center" wrapText="1"/>
    </xf>
    <xf numFmtId="0" fontId="8" fillId="67" borderId="13" applyAlignment="1" pivotButton="0" quotePrefix="0" xfId="0">
      <alignment vertical="center" wrapText="1"/>
    </xf>
    <xf numFmtId="164" fontId="8" fillId="67" borderId="13" applyAlignment="1" pivotButton="0" quotePrefix="0" xfId="0">
      <alignment vertical="center" wrapText="1"/>
    </xf>
    <xf numFmtId="0" fontId="6" fillId="63" borderId="0" applyAlignment="1" pivotButton="0" quotePrefix="0" xfId="0">
      <alignment vertical="center"/>
    </xf>
    <xf numFmtId="0" fontId="0" fillId="65" borderId="0" pivotButton="0" quotePrefix="0" xfId="0"/>
    <xf numFmtId="0" fontId="6" fillId="65" borderId="0" pivotButton="0" quotePrefix="0" xfId="0"/>
    <xf numFmtId="0" fontId="6" fillId="65" borderId="0" applyAlignment="1" pivotButton="0" quotePrefix="0" xfId="0">
      <alignment wrapText="1"/>
    </xf>
    <xf numFmtId="0" fontId="6" fillId="65" borderId="0" applyAlignment="1" pivotButton="0" quotePrefix="0" xfId="0">
      <alignment horizontal="center" wrapText="1"/>
    </xf>
    <xf numFmtId="0" fontId="6" fillId="65" borderId="0" applyAlignment="1" pivotButton="0" quotePrefix="0" xfId="0">
      <alignment horizontal="center" vertical="center" wrapText="1"/>
    </xf>
    <xf numFmtId="164" fontId="8" fillId="66" borderId="13" applyAlignment="1" pivotButton="0" quotePrefix="0" xfId="0">
      <alignment vertical="center" wrapText="1"/>
    </xf>
    <xf numFmtId="0" fontId="0" fillId="67" borderId="0" pivotButton="0" quotePrefix="0" xfId="0"/>
    <xf numFmtId="0" fontId="0" fillId="67" borderId="0" applyAlignment="1" pivotButton="0" quotePrefix="0" xfId="0">
      <alignment wrapText="1"/>
    </xf>
    <xf numFmtId="0" fontId="2" fillId="64" borderId="0" applyAlignment="1" pivotButton="0" quotePrefix="0" xfId="0">
      <alignment vertical="center" wrapText="1"/>
    </xf>
    <xf numFmtId="0" fontId="3" fillId="65" borderId="13" applyAlignment="1" pivotButton="0" quotePrefix="0" xfId="0">
      <alignment horizontal="center" vertical="center" wrapText="1"/>
    </xf>
    <xf numFmtId="0" fontId="4" fillId="66" borderId="13" applyAlignment="1" pivotButton="0" quotePrefix="0" xfId="0">
      <alignment vertical="center" wrapText="1"/>
    </xf>
    <xf numFmtId="164" fontId="4" fillId="66" borderId="13" applyAlignment="1" pivotButton="0" quotePrefix="0" xfId="0">
      <alignment vertical="center" wrapText="1"/>
    </xf>
    <xf numFmtId="0" fontId="0" fillId="66" borderId="0" pivotButton="0" quotePrefix="0" xfId="0"/>
    <xf numFmtId="0" fontId="8" fillId="66" borderId="0" pivotButton="0" quotePrefix="0" xfId="0"/>
    <xf numFmtId="0" fontId="8" fillId="66" borderId="0" applyAlignment="1" pivotButton="0" quotePrefix="0" xfId="0">
      <alignment wrapText="1"/>
    </xf>
    <xf numFmtId="0" fontId="4" fillId="66" borderId="13" applyAlignment="1" pivotButton="0" quotePrefix="0" xfId="0">
      <alignment vertical="top" wrapText="1"/>
    </xf>
    <xf numFmtId="164" fontId="4" fillId="66" borderId="13" applyAlignment="1" pivotButton="0" quotePrefix="0" xfId="0">
      <alignment vertical="top" wrapText="1"/>
    </xf>
    <xf numFmtId="0" fontId="8" fillId="66" borderId="13" applyAlignment="1" pivotButton="0" quotePrefix="0" xfId="0">
      <alignment vertical="top" wrapText="1"/>
    </xf>
    <xf numFmtId="0" fontId="8" fillId="66" borderId="0" applyAlignment="1" pivotButton="0" quotePrefix="0" xfId="0">
      <alignment vertical="top" wrapText="1"/>
    </xf>
    <xf numFmtId="0" fontId="4" fillId="63" borderId="13" applyAlignment="1" pivotButton="0" quotePrefix="0" xfId="0">
      <alignment vertical="center" wrapText="1"/>
    </xf>
    <xf numFmtId="0" fontId="34" fillId="63" borderId="13" applyAlignment="1" pivotButton="0" quotePrefix="0" xfId="0">
      <alignment vertical="center" wrapText="1"/>
    </xf>
    <xf numFmtId="0" fontId="4" fillId="65" borderId="13" applyAlignment="1" pivotButton="0" quotePrefix="0" xfId="0">
      <alignment vertical="center" wrapText="1"/>
    </xf>
    <xf numFmtId="0" fontId="3" fillId="65" borderId="13" applyAlignment="1" pivotButton="0" quotePrefix="0" xfId="0">
      <alignment vertical="center" wrapText="1"/>
    </xf>
    <xf numFmtId="164" fontId="4" fillId="63" borderId="13" applyAlignment="1" pivotButton="0" quotePrefix="0" xfId="0">
      <alignment vertical="center" wrapText="1"/>
    </xf>
    <xf numFmtId="164" fontId="34" fillId="63" borderId="13" applyAlignment="1" pivotButton="0" quotePrefix="0" xfId="0">
      <alignment vertical="center" wrapText="1"/>
    </xf>
    <xf numFmtId="164" fontId="4" fillId="65" borderId="13" applyAlignment="1" pivotButton="0" quotePrefix="0" xfId="0">
      <alignment vertical="center" wrapText="1"/>
    </xf>
    <xf numFmtId="164" fontId="3" fillId="65" borderId="13" applyAlignment="1" pivotButton="0" quotePrefix="0" xfId="0">
      <alignment vertical="center" wrapText="1"/>
    </xf>
    <xf numFmtId="164" fontId="3" fillId="65" borderId="13" applyAlignment="1" pivotButton="0" quotePrefix="0" xfId="0">
      <alignment horizontal="center" vertical="center" wrapText="1"/>
    </xf>
    <xf numFmtId="164" fontId="4" fillId="68" borderId="13" applyAlignment="1" pivotButton="0" quotePrefix="0" xfId="0">
      <alignment vertical="center" wrapText="1"/>
    </xf>
    <xf numFmtId="164" fontId="1" fillId="63" borderId="0" applyAlignment="1" pivotButton="0" quotePrefix="0" xfId="0">
      <alignment vertical="center"/>
    </xf>
    <xf numFmtId="0" fontId="3" fillId="65" borderId="1" applyAlignment="1" pivotButton="0" quotePrefix="0" xfId="0">
      <alignment horizontal="center" vertical="center" wrapText="1"/>
    </xf>
    <xf numFmtId="0" fontId="4" fillId="66" borderId="1" applyAlignment="1" pivotButton="0" quotePrefix="0" xfId="0">
      <alignment vertical="top" wrapText="1"/>
    </xf>
    <xf numFmtId="164" fontId="4" fillId="66" borderId="1" applyAlignment="1" pivotButton="0" quotePrefix="0" xfId="0">
      <alignment vertical="top" wrapText="1"/>
    </xf>
    <xf numFmtId="0" fontId="5" fillId="64" borderId="1" applyAlignment="1" pivotButton="0" quotePrefix="0" xfId="0">
      <alignment vertical="center" wrapText="1"/>
    </xf>
    <xf numFmtId="0" fontId="0" fillId="64" borderId="3" pivotButton="0" quotePrefix="0" xfId="0"/>
    <xf numFmtId="0" fontId="0" fillId="64" borderId="4" pivotButton="0" quotePrefix="0" xfId="0"/>
    <xf numFmtId="0" fontId="35" fillId="64" borderId="1" applyAlignment="1" pivotButton="0" quotePrefix="0" xfId="0">
      <alignment vertical="center" wrapText="1"/>
    </xf>
    <xf numFmtId="0" fontId="10" fillId="64" borderId="3" pivotButton="0" quotePrefix="0" xfId="0"/>
    <xf numFmtId="0" fontId="10" fillId="64" borderId="4" pivotButton="0" quotePrefix="0" xfId="0"/>
    <xf numFmtId="0" fontId="10" fillId="64" borderId="3" applyAlignment="1" pivotButton="0" quotePrefix="0" xfId="0">
      <alignment wrapText="1"/>
    </xf>
    <xf numFmtId="0" fontId="10" fillId="64" borderId="4" applyAlignment="1" pivotButton="0" quotePrefix="0" xfId="0">
      <alignment wrapText="1"/>
    </xf>
    <xf numFmtId="0" fontId="31" fillId="2" borderId="0" applyAlignment="1" pivotButton="0" quotePrefix="0" xfId="0">
      <alignment vertical="center" wrapText="1"/>
    </xf>
    <xf numFmtId="0" fontId="0" fillId="0" borderId="0" applyAlignment="1" pivotButton="0" quotePrefix="0" xfId="0">
      <alignment wrapText="1"/>
    </xf>
    <xf numFmtId="0" fontId="2" fillId="3" borderId="0" applyAlignment="1" pivotButton="0" quotePrefix="0" xfId="0">
      <alignment vertical="center" wrapText="1"/>
    </xf>
    <xf numFmtId="0" fontId="6" fillId="4" borderId="13" applyAlignment="1" pivotButton="0" quotePrefix="0" xfId="0">
      <alignment horizontal="left" vertical="center" wrapText="1"/>
    </xf>
    <xf numFmtId="0" fontId="0" fillId="0" borderId="16" applyAlignment="1" pivotButton="0" quotePrefix="0" xfId="0">
      <alignment wrapText="1"/>
    </xf>
    <xf numFmtId="0" fontId="6" fillId="8" borderId="13" applyAlignment="1" pivotButton="0" quotePrefix="0" xfId="0">
      <alignment horizontal="center" vertical="center" wrapText="1"/>
    </xf>
    <xf numFmtId="0" fontId="8" fillId="5" borderId="13" applyAlignment="1" pivotButton="0" quotePrefix="0" xfId="0">
      <alignment vertical="center" wrapText="1"/>
    </xf>
    <xf numFmtId="0" fontId="8" fillId="7" borderId="13" applyAlignment="1" pivotButton="0" quotePrefix="0" xfId="0">
      <alignment vertical="center" wrapText="1"/>
    </xf>
    <xf numFmtId="0" fontId="6" fillId="4" borderId="13" applyAlignment="1" pivotButton="0" quotePrefix="0" xfId="0">
      <alignment horizontal="center" vertical="center" wrapText="1"/>
    </xf>
    <xf numFmtId="0" fontId="1" fillId="69" borderId="0" applyAlignment="1" pivotButton="0" quotePrefix="0" xfId="0">
      <alignment vertical="center"/>
    </xf>
    <xf numFmtId="0" fontId="33" fillId="70" borderId="0" applyAlignment="1" pivotButton="0" quotePrefix="0" xfId="0">
      <alignment vertical="center" wrapText="1"/>
    </xf>
    <xf numFmtId="0" fontId="6" fillId="71" borderId="13" applyAlignment="1" pivotButton="0" quotePrefix="0" xfId="0">
      <alignment horizontal="center" vertical="center" wrapText="1"/>
    </xf>
    <xf numFmtId="0" fontId="8" fillId="72" borderId="13" applyAlignment="1" pivotButton="0" quotePrefix="0" xfId="0">
      <alignment vertical="center" wrapText="1"/>
    </xf>
    <xf numFmtId="0" fontId="8" fillId="73" borderId="13" applyAlignment="1" pivotButton="0" quotePrefix="0" xfId="0">
      <alignment vertical="center" wrapText="1"/>
    </xf>
    <xf numFmtId="164" fontId="8" fillId="73" borderId="13" applyAlignment="1" pivotButton="0" quotePrefix="0" xfId="0">
      <alignment vertical="center" wrapText="1"/>
    </xf>
    <xf numFmtId="0" fontId="6" fillId="71" borderId="0" applyAlignment="1" pivotButton="0" quotePrefix="0" xfId="0">
      <alignment horizontal="center" vertical="center" wrapText="1"/>
    </xf>
    <xf numFmtId="164" fontId="8" fillId="72" borderId="13" applyAlignment="1" pivotButton="0" quotePrefix="0" xfId="0">
      <alignment vertical="center" wrapText="1"/>
    </xf>
    <xf numFmtId="0" fontId="0" fillId="73" borderId="0" applyAlignment="1" pivotButton="0" quotePrefix="0" xfId="0">
      <alignment wrapText="1"/>
    </xf>
    <xf numFmtId="0" fontId="3" fillId="71" borderId="13" applyAlignment="1" pivotButton="0" quotePrefix="0" xfId="0">
      <alignment horizontal="center" vertical="center" wrapText="1"/>
    </xf>
    <xf numFmtId="0" fontId="4" fillId="72" borderId="13" applyAlignment="1" pivotButton="0" quotePrefix="0" xfId="0">
      <alignment vertical="center" wrapText="1"/>
    </xf>
    <xf numFmtId="164" fontId="1" fillId="69" borderId="0" applyAlignment="1" pivotButton="0" quotePrefix="0" xfId="0">
      <alignment vertical="center"/>
    </xf>
    <xf numFmtId="0" fontId="4" fillId="72" borderId="13" applyAlignment="1" pivotButton="0" quotePrefix="0" xfId="0">
      <alignment vertical="top" wrapText="1"/>
    </xf>
    <xf numFmtId="164" fontId="4" fillId="72" borderId="13" applyAlignment="1" pivotButton="0" quotePrefix="0" xfId="0">
      <alignment vertical="top" wrapText="1"/>
    </xf>
    <xf numFmtId="0" fontId="8" fillId="72" borderId="13" applyAlignment="1" pivotButton="0" quotePrefix="0" xfId="0">
      <alignment vertical="top" wrapText="1"/>
    </xf>
    <xf numFmtId="0" fontId="8" fillId="72" borderId="0" applyAlignment="1" pivotButton="0" quotePrefix="0" xfId="0">
      <alignment vertical="top" wrapText="1"/>
    </xf>
    <xf numFmtId="0" fontId="34" fillId="69" borderId="13" applyAlignment="1" pivotButton="0" quotePrefix="0" xfId="0">
      <alignment vertical="center" wrapText="1"/>
    </xf>
    <xf numFmtId="164" fontId="4" fillId="72" borderId="13" applyAlignment="1" pivotButton="0" quotePrefix="0" xfId="0">
      <alignment vertical="center" wrapText="1"/>
    </xf>
    <xf numFmtId="164" fontId="34" fillId="69" borderId="13" applyAlignment="1" pivotButton="0" quotePrefix="0" xfId="0">
      <alignment vertical="center" wrapText="1"/>
    </xf>
    <xf numFmtId="164" fontId="3" fillId="71" borderId="13" applyAlignment="1" pivotButton="0" quotePrefix="0" xfId="0">
      <alignment horizontal="center" vertical="center" wrapText="1"/>
    </xf>
    <xf numFmtId="164" fontId="4" fillId="74" borderId="13" applyAlignment="1" pivotButton="0" quotePrefix="0" xfId="0">
      <alignment vertical="center" wrapText="1"/>
    </xf>
    <xf numFmtId="0" fontId="3" fillId="71" borderId="1" applyAlignment="1" pivotButton="0" quotePrefix="0" xfId="0">
      <alignment horizontal="center" vertical="center" wrapText="1"/>
    </xf>
    <xf numFmtId="0" fontId="4" fillId="72" borderId="1" applyAlignment="1" pivotButton="0" quotePrefix="0" xfId="0">
      <alignment vertical="top" wrapText="1"/>
    </xf>
    <xf numFmtId="164" fontId="4" fillId="72" borderId="1" applyAlignment="1" pivotButton="0" quotePrefix="0" xfId="0">
      <alignment vertical="top" wrapText="1"/>
    </xf>
    <xf numFmtId="0" fontId="35" fillId="70" borderId="1" applyAlignment="1" pivotButton="0" quotePrefix="0" xfId="0">
      <alignment vertical="center" wrapText="1"/>
    </xf>
    <xf numFmtId="0" fontId="10" fillId="70" borderId="3" applyAlignment="1" pivotButton="0" quotePrefix="0" xfId="0">
      <alignment wrapText="1"/>
    </xf>
    <xf numFmtId="0" fontId="10" fillId="70" borderId="4" applyAlignment="1" pivotButton="0" quotePrefix="0" xfId="0">
      <alignment wrapText="1"/>
    </xf>
    <xf numFmtId="0" fontId="1" fillId="75" borderId="0" applyAlignment="1" pivotButton="0" quotePrefix="0" xfId="0">
      <alignment vertical="center"/>
    </xf>
    <xf numFmtId="0" fontId="33" fillId="76" borderId="0" applyAlignment="1" pivotButton="0" quotePrefix="0" xfId="0">
      <alignment vertical="center" wrapText="1"/>
    </xf>
    <xf numFmtId="0" fontId="6" fillId="77" borderId="13" applyAlignment="1" pivotButton="0" quotePrefix="0" xfId="0">
      <alignment horizontal="center" vertical="center" wrapText="1"/>
    </xf>
    <xf numFmtId="0" fontId="8" fillId="78" borderId="13" applyAlignment="1" pivotButton="0" quotePrefix="0" xfId="0">
      <alignment vertical="center" wrapText="1"/>
    </xf>
    <xf numFmtId="0" fontId="8" fillId="79" borderId="13" applyAlignment="1" pivotButton="0" quotePrefix="0" xfId="0">
      <alignment vertical="center" wrapText="1"/>
    </xf>
    <xf numFmtId="164" fontId="8" fillId="79" borderId="13" applyAlignment="1" pivotButton="0" quotePrefix="0" xfId="0">
      <alignment vertical="center" wrapText="1"/>
    </xf>
    <xf numFmtId="0" fontId="6" fillId="77" borderId="0" applyAlignment="1" pivotButton="0" quotePrefix="0" xfId="0">
      <alignment horizontal="center" vertical="center" wrapText="1"/>
    </xf>
    <xf numFmtId="164" fontId="8" fillId="78" borderId="13" applyAlignment="1" pivotButton="0" quotePrefix="0" xfId="0">
      <alignment vertical="center" wrapText="1"/>
    </xf>
    <xf numFmtId="0" fontId="0" fillId="79" borderId="0" applyAlignment="1" pivotButton="0" quotePrefix="0" xfId="0">
      <alignment wrapText="1"/>
    </xf>
    <xf numFmtId="0" fontId="3" fillId="77" borderId="13" applyAlignment="1" pivotButton="0" quotePrefix="0" xfId="0">
      <alignment horizontal="center" vertical="center" wrapText="1"/>
    </xf>
    <xf numFmtId="0" fontId="4" fillId="78" borderId="13" applyAlignment="1" pivotButton="0" quotePrefix="0" xfId="0">
      <alignment vertical="center" wrapText="1"/>
    </xf>
    <xf numFmtId="164" fontId="1" fillId="75" borderId="0" applyAlignment="1" pivotButton="0" quotePrefix="0" xfId="0">
      <alignment vertical="center"/>
    </xf>
    <xf numFmtId="0" fontId="4" fillId="78" borderId="13" applyAlignment="1" pivotButton="0" quotePrefix="0" xfId="0">
      <alignment vertical="top" wrapText="1"/>
    </xf>
    <xf numFmtId="164" fontId="4" fillId="78" borderId="13" applyAlignment="1" pivotButton="0" quotePrefix="0" xfId="0">
      <alignment vertical="top" wrapText="1"/>
    </xf>
    <xf numFmtId="0" fontId="8" fillId="78" borderId="13" applyAlignment="1" pivotButton="0" quotePrefix="0" xfId="0">
      <alignment vertical="top" wrapText="1"/>
    </xf>
    <xf numFmtId="0" fontId="8" fillId="78" borderId="0" applyAlignment="1" pivotButton="0" quotePrefix="0" xfId="0">
      <alignment vertical="top" wrapText="1"/>
    </xf>
    <xf numFmtId="0" fontId="34" fillId="75" borderId="13" applyAlignment="1" pivotButton="0" quotePrefix="0" xfId="0">
      <alignment vertical="center" wrapText="1"/>
    </xf>
    <xf numFmtId="164" fontId="4" fillId="78" borderId="13" applyAlignment="1" pivotButton="0" quotePrefix="0" xfId="0">
      <alignment vertical="center" wrapText="1"/>
    </xf>
    <xf numFmtId="164" fontId="34" fillId="75" borderId="13" applyAlignment="1" pivotButton="0" quotePrefix="0" xfId="0">
      <alignment vertical="center" wrapText="1"/>
    </xf>
    <xf numFmtId="164" fontId="3" fillId="77" borderId="13" applyAlignment="1" pivotButton="0" quotePrefix="0" xfId="0">
      <alignment horizontal="center" vertical="center" wrapText="1"/>
    </xf>
    <xf numFmtId="164" fontId="4" fillId="80" borderId="13" applyAlignment="1" pivotButton="0" quotePrefix="0" xfId="0">
      <alignment vertical="center" wrapText="1"/>
    </xf>
    <xf numFmtId="0" fontId="3" fillId="77" borderId="1" applyAlignment="1" pivotButton="0" quotePrefix="0" xfId="0">
      <alignment horizontal="center" vertical="center" wrapText="1"/>
    </xf>
    <xf numFmtId="0" fontId="4" fillId="78" borderId="1" applyAlignment="1" pivotButton="0" quotePrefix="0" xfId="0">
      <alignment vertical="top" wrapText="1"/>
    </xf>
    <xf numFmtId="164" fontId="4" fillId="78" borderId="1" applyAlignment="1" pivotButton="0" quotePrefix="0" xfId="0">
      <alignment vertical="top" wrapText="1"/>
    </xf>
    <xf numFmtId="0" fontId="35" fillId="76" borderId="1" applyAlignment="1" pivotButton="0" quotePrefix="0" xfId="0">
      <alignment vertical="center" wrapText="1"/>
    </xf>
    <xf numFmtId="0" fontId="10" fillId="76" borderId="3" applyAlignment="1" pivotButton="0" quotePrefix="0" xfId="0">
      <alignment wrapText="1"/>
    </xf>
    <xf numFmtId="0" fontId="10" fillId="76" borderId="4" applyAlignment="1" pivotButton="0" quotePrefix="0" xfId="0">
      <alignment wrapText="1"/>
    </xf>
    <xf numFmtId="0" fontId="0" fillId="81" borderId="0" pivotButton="0" quotePrefix="0" xfId="0"/>
    <xf numFmtId="0" fontId="1" fillId="81" borderId="0" pivotButton="0" quotePrefix="0" xfId="0"/>
    <xf numFmtId="0" fontId="1" fillId="81" borderId="0" applyAlignment="1" pivotButton="0" quotePrefix="0" xfId="0">
      <alignment vertical="center"/>
    </xf>
    <xf numFmtId="0" fontId="0" fillId="82" borderId="0" pivotButton="0" quotePrefix="0" xfId="0"/>
    <xf numFmtId="0" fontId="33" fillId="82" borderId="0" pivotButton="0" quotePrefix="0" xfId="0"/>
    <xf numFmtId="0" fontId="33" fillId="82" borderId="0" applyAlignment="1" pivotButton="0" quotePrefix="0" xfId="0">
      <alignment wrapText="1"/>
    </xf>
    <xf numFmtId="0" fontId="33" fillId="82" borderId="0" applyAlignment="1" pivotButton="0" quotePrefix="0" xfId="0">
      <alignment vertical="center" wrapText="1"/>
    </xf>
    <xf numFmtId="0" fontId="6" fillId="81" borderId="0" pivotButton="0" quotePrefix="0" xfId="0"/>
    <xf numFmtId="0" fontId="6" fillId="81" borderId="0" applyAlignment="1" pivotButton="0" quotePrefix="0" xfId="0">
      <alignment horizontal="center"/>
    </xf>
    <xf numFmtId="0" fontId="6" fillId="81" borderId="0" applyAlignment="1" pivotButton="0" quotePrefix="0" xfId="0">
      <alignment horizontal="center" vertical="center"/>
    </xf>
    <xf numFmtId="0" fontId="0" fillId="83" borderId="0" pivotButton="0" quotePrefix="0" xfId="0"/>
    <xf numFmtId="0" fontId="6" fillId="83" borderId="0" pivotButton="0" quotePrefix="0" xfId="0"/>
    <xf numFmtId="0" fontId="6" fillId="83" borderId="0" applyAlignment="1" pivotButton="0" quotePrefix="0" xfId="0">
      <alignment horizontal="center"/>
    </xf>
    <xf numFmtId="0" fontId="6" fillId="83" borderId="0" applyAlignment="1" pivotButton="0" quotePrefix="0" xfId="0">
      <alignment horizontal="center" vertical="center"/>
    </xf>
    <xf numFmtId="0" fontId="0" fillId="84" borderId="0" pivotButton="0" quotePrefix="0" xfId="0"/>
    <xf numFmtId="0" fontId="6" fillId="84" borderId="0" pivotButton="0" quotePrefix="0" xfId="0"/>
    <xf numFmtId="0" fontId="6" fillId="84" borderId="0" applyAlignment="1" pivotButton="0" quotePrefix="0" xfId="0">
      <alignment horizontal="center"/>
    </xf>
    <xf numFmtId="0" fontId="6" fillId="84" borderId="0" applyAlignment="1" pivotButton="0" quotePrefix="0" xfId="0">
      <alignment horizontal="center" vertical="center"/>
    </xf>
    <xf numFmtId="0" fontId="0" fillId="85" borderId="0" pivotButton="0" quotePrefix="0" xfId="0"/>
    <xf numFmtId="0" fontId="6" fillId="85" borderId="0" pivotButton="0" quotePrefix="0" xfId="0"/>
    <xf numFmtId="0" fontId="6" fillId="85" borderId="0" applyAlignment="1" pivotButton="0" quotePrefix="0" xfId="0">
      <alignment horizontal="center"/>
    </xf>
    <xf numFmtId="0" fontId="6" fillId="85" borderId="0" applyAlignment="1" pivotButton="0" quotePrefix="0" xfId="0">
      <alignment horizontal="center" vertical="center"/>
    </xf>
    <xf numFmtId="0" fontId="0" fillId="86" borderId="0" pivotButton="0" quotePrefix="0" xfId="0"/>
    <xf numFmtId="0" fontId="6" fillId="86" borderId="0" pivotButton="0" quotePrefix="0" xfId="0"/>
    <xf numFmtId="0" fontId="6" fillId="86" borderId="0" applyAlignment="1" pivotButton="0" quotePrefix="0" xfId="0">
      <alignment wrapText="1"/>
    </xf>
    <xf numFmtId="0" fontId="6" fillId="86" borderId="0" applyAlignment="1" pivotButton="0" quotePrefix="0" xfId="0">
      <alignment horizontal="center" wrapText="1"/>
    </xf>
    <xf numFmtId="0" fontId="6" fillId="86" borderId="0" applyAlignment="1" pivotButton="0" quotePrefix="0" xfId="0">
      <alignment horizontal="center" vertical="center" wrapText="1"/>
    </xf>
    <xf numFmtId="0" fontId="0" fillId="87" borderId="0" pivotButton="0" quotePrefix="0" xfId="0"/>
    <xf numFmtId="0" fontId="8" fillId="87" borderId="0" pivotButton="0" quotePrefix="0" xfId="0"/>
    <xf numFmtId="0" fontId="8" fillId="87" borderId="0" applyAlignment="1" pivotButton="0" quotePrefix="0" xfId="0">
      <alignment wrapText="1"/>
    </xf>
    <xf numFmtId="0" fontId="8" fillId="87" borderId="0" applyAlignment="1" pivotButton="0" quotePrefix="0" xfId="0">
      <alignment vertical="top" wrapText="1"/>
    </xf>
    <xf numFmtId="0" fontId="0" fillId="88" borderId="0" pivotButton="0" quotePrefix="0" xfId="0"/>
    <xf numFmtId="0" fontId="8" fillId="88" borderId="0" pivotButton="0" quotePrefix="0" xfId="0"/>
    <xf numFmtId="0" fontId="8" fillId="88" borderId="0" applyAlignment="1" pivotButton="0" quotePrefix="0" xfId="0">
      <alignment wrapText="1"/>
    </xf>
    <xf numFmtId="0" fontId="8" fillId="88" borderId="0" applyAlignment="1" pivotButton="0" quotePrefix="0" xfId="0">
      <alignment vertical="top" wrapText="1"/>
    </xf>
    <xf numFmtId="0" fontId="0" fillId="89" borderId="0" pivotButton="0" quotePrefix="0" xfId="0"/>
    <xf numFmtId="0" fontId="36" fillId="89" borderId="0" pivotButton="0" quotePrefix="0" xfId="0"/>
    <xf numFmtId="0" fontId="36" fillId="89" borderId="0" applyAlignment="1" pivotButton="0" quotePrefix="0" xfId="0">
      <alignment horizontal="center"/>
    </xf>
    <xf numFmtId="0" fontId="36" fillId="89" borderId="0" applyAlignment="1" pivotButton="0" quotePrefix="0" xfId="0">
      <alignment horizontal="center" vertical="center"/>
    </xf>
    <xf numFmtId="0" fontId="0" fillId="90" borderId="0" pivotButton="0" quotePrefix="0" xfId="0"/>
    <xf numFmtId="0" fontId="8" fillId="90" borderId="0" pivotButton="0" quotePrefix="0" xfId="0"/>
    <xf numFmtId="0" fontId="8" fillId="90" borderId="0" applyAlignment="1" pivotButton="0" quotePrefix="0" xfId="0">
      <alignment wrapText="1"/>
    </xf>
    <xf numFmtId="0" fontId="8" fillId="90" borderId="0" applyAlignment="1" pivotButton="0" quotePrefix="0" xfId="0">
      <alignment vertical="top" wrapText="1"/>
    </xf>
    <xf numFmtId="164" fontId="36" fillId="89" borderId="0" applyAlignment="1" pivotButton="0" quotePrefix="0" xfId="0">
      <alignment horizontal="center" vertical="center"/>
    </xf>
    <xf numFmtId="0" fontId="0" fillId="90" borderId="0" applyAlignment="1" pivotButton="0" quotePrefix="0" xfId="0">
      <alignment wrapText="1"/>
    </xf>
    <xf numFmtId="0" fontId="0" fillId="89" borderId="0" applyAlignment="1" pivotButton="0" quotePrefix="0" xfId="0">
      <alignment wrapText="1"/>
    </xf>
    <xf numFmtId="2" fontId="0" fillId="90" borderId="0" applyAlignment="1" pivotButton="0" quotePrefix="0" xfId="0">
      <alignment wrapText="1"/>
    </xf>
    <xf numFmtId="2" fontId="0" fillId="89" borderId="0" applyAlignment="1" pivotButton="0" quotePrefix="0" xfId="0">
      <alignment wrapText="1"/>
    </xf>
    <xf numFmtId="0" fontId="0" fillId="0" borderId="17" applyAlignment="1" pivotButton="0" quotePrefix="0" xfId="0">
      <alignment wrapText="1"/>
    </xf>
    <xf numFmtId="0" fontId="8" fillId="5" borderId="13"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31" fillId="91" borderId="0" applyAlignment="1" pivotButton="0" quotePrefix="0" xfId="0">
      <alignment vertical="center" wrapText="1"/>
    </xf>
    <xf numFmtId="0" fontId="0" fillId="91" borderId="0" applyAlignment="1" pivotButton="0" quotePrefix="0" xfId="0">
      <alignment wrapText="1"/>
    </xf>
    <xf numFmtId="0" fontId="0" fillId="91" borderId="0" pivotButton="0" quotePrefix="0" xfId="0"/>
    <xf numFmtId="0" fontId="37" fillId="91" borderId="0" applyAlignment="1" pivotButton="0" quotePrefix="0" xfId="0">
      <alignment vertical="center" wrapText="1"/>
    </xf>
    <xf numFmtId="0" fontId="37" fillId="91" borderId="0" applyAlignment="1" pivotButton="0" quotePrefix="0" xfId="0">
      <alignment wrapText="1"/>
    </xf>
    <xf numFmtId="0" fontId="37" fillId="91" borderId="0" pivotButton="0" quotePrefix="0" xfId="0"/>
    <xf numFmtId="0" fontId="37" fillId="91" borderId="21" applyAlignment="1" pivotButton="0" quotePrefix="0" xfId="0">
      <alignment vertical="center" wrapText="1"/>
    </xf>
    <xf numFmtId="0" fontId="37" fillId="91" borderId="21" applyAlignment="1" pivotButton="0" quotePrefix="0" xfId="0">
      <alignment wrapText="1"/>
    </xf>
    <xf numFmtId="0" fontId="37" fillId="91" borderId="21" pivotButton="0" quotePrefix="0" xfId="0"/>
    <xf numFmtId="0" fontId="37" fillId="91" borderId="21" applyAlignment="1" pivotButton="0" quotePrefix="0" xfId="0">
      <alignment horizontal="left" vertical="center" wrapText="1"/>
    </xf>
    <xf numFmtId="0" fontId="37" fillId="91" borderId="21" applyAlignment="1" pivotButton="0" quotePrefix="0" xfId="0">
      <alignment horizontal="left" wrapText="1"/>
    </xf>
    <xf numFmtId="0" fontId="37" fillId="91" borderId="21" applyAlignment="1" pivotButton="0" quotePrefix="0" xfId="0">
      <alignment horizontal="left"/>
    </xf>
    <xf numFmtId="0" fontId="37" fillId="91" borderId="21" applyAlignment="1" pivotButton="0" quotePrefix="0" xfId="0">
      <alignment horizontal="left" vertical="center"/>
    </xf>
    <xf numFmtId="0" fontId="2" fillId="92" borderId="0" applyAlignment="1" pivotButton="0" quotePrefix="0" xfId="0">
      <alignment vertical="center" wrapText="1"/>
    </xf>
    <xf numFmtId="0" fontId="0" fillId="92" borderId="0" applyAlignment="1" pivotButton="0" quotePrefix="0" xfId="0">
      <alignment wrapText="1"/>
    </xf>
    <xf numFmtId="0" fontId="0" fillId="92" borderId="0" pivotButton="0" quotePrefix="0" xfId="0"/>
    <xf numFmtId="0" fontId="38" fillId="92" borderId="0" applyAlignment="1" pivotButton="0" quotePrefix="0" xfId="0">
      <alignment vertical="center" wrapText="1"/>
    </xf>
    <xf numFmtId="0" fontId="38" fillId="92" borderId="0" applyAlignment="1" pivotButton="0" quotePrefix="0" xfId="0">
      <alignment wrapText="1"/>
    </xf>
    <xf numFmtId="0" fontId="38" fillId="92" borderId="0" pivotButton="0" quotePrefix="0" xfId="0"/>
    <xf numFmtId="0" fontId="38" fillId="92" borderId="22" applyAlignment="1" pivotButton="0" quotePrefix="0" xfId="0">
      <alignment vertical="center" wrapText="1"/>
    </xf>
    <xf numFmtId="0" fontId="38" fillId="92" borderId="22" applyAlignment="1" pivotButton="0" quotePrefix="0" xfId="0">
      <alignment wrapText="1"/>
    </xf>
    <xf numFmtId="0" fontId="38" fillId="92" borderId="22" pivotButton="0" quotePrefix="0" xfId="0"/>
    <xf numFmtId="0" fontId="38" fillId="92" borderId="22" applyAlignment="1" pivotButton="0" quotePrefix="0" xfId="0">
      <alignment horizontal="left" vertical="center" wrapText="1"/>
    </xf>
    <xf numFmtId="0" fontId="38" fillId="92" borderId="22" applyAlignment="1" pivotButton="0" quotePrefix="0" xfId="0">
      <alignment horizontal="left" wrapText="1"/>
    </xf>
    <xf numFmtId="0" fontId="39" fillId="91" borderId="21" applyAlignment="1" pivotButton="0" quotePrefix="0" xfId="0">
      <alignment horizontal="left" vertical="center" wrapText="1"/>
    </xf>
    <xf numFmtId="0" fontId="39" fillId="91" borderId="21" applyAlignment="1" pivotButton="0" quotePrefix="0" xfId="0">
      <alignment horizontal="left" vertical="center"/>
    </xf>
    <xf numFmtId="0" fontId="40" fillId="0" borderId="0" applyAlignment="1" pivotButton="0" quotePrefix="0" xfId="0">
      <alignment wrapText="1"/>
    </xf>
    <xf numFmtId="0" fontId="40" fillId="0" borderId="0" pivotButton="0" quotePrefix="0" xfId="0"/>
    <xf numFmtId="0" fontId="41" fillId="4" borderId="13" applyAlignment="1" pivotButton="0" quotePrefix="0" xfId="0">
      <alignment horizontal="left" vertical="center" wrapText="1"/>
    </xf>
    <xf numFmtId="0" fontId="40" fillId="0" borderId="16" applyAlignment="1" pivotButton="0" quotePrefix="0" xfId="0">
      <alignment wrapText="1"/>
    </xf>
    <xf numFmtId="0" fontId="40" fillId="0" borderId="17" pivotButton="0" quotePrefix="0" xfId="0"/>
    <xf numFmtId="0" fontId="41" fillId="8" borderId="13" applyAlignment="1" pivotButton="0" quotePrefix="0" xfId="0">
      <alignment horizontal="center" vertical="center" wrapText="1"/>
    </xf>
    <xf numFmtId="0" fontId="42" fillId="5" borderId="13" applyAlignment="1" pivotButton="0" quotePrefix="0" xfId="0">
      <alignment vertical="center" wrapText="1"/>
    </xf>
    <xf numFmtId="0" fontId="42" fillId="7" borderId="13" applyAlignment="1" pivotButton="0" quotePrefix="0" xfId="0">
      <alignment vertical="center" wrapText="1"/>
    </xf>
    <xf numFmtId="0" fontId="41" fillId="4" borderId="13" applyAlignment="1" pivotButton="0" quotePrefix="0" xfId="0">
      <alignment horizontal="center" vertical="center" wrapText="1"/>
    </xf>
    <xf numFmtId="0" fontId="42" fillId="5" borderId="13" applyAlignment="1" pivotButton="0" quotePrefix="0" xfId="0">
      <alignment vertical="top" wrapText="1"/>
    </xf>
    <xf numFmtId="0" fontId="40" fillId="0" borderId="16" applyAlignment="1" pivotButton="0" quotePrefix="0" xfId="0">
      <alignment vertical="top" wrapText="1"/>
    </xf>
    <xf numFmtId="0" fontId="40" fillId="0" borderId="17" applyAlignment="1" pivotButton="0" quotePrefix="0" xfId="0">
      <alignment vertical="top" wrapText="1"/>
    </xf>
    <xf numFmtId="0" fontId="41" fillId="93" borderId="13" applyAlignment="1" pivotButton="0" quotePrefix="0" xfId="0">
      <alignment horizontal="left" vertical="center" wrapText="1"/>
    </xf>
    <xf numFmtId="0" fontId="40" fillId="93" borderId="16" applyAlignment="1" pivotButton="0" quotePrefix="0" xfId="0">
      <alignment wrapText="1"/>
    </xf>
    <xf numFmtId="0" fontId="40" fillId="93" borderId="17" pivotButton="0" quotePrefix="0" xfId="0"/>
    <xf numFmtId="0" fontId="41" fillId="93" borderId="16" applyAlignment="1" pivotButton="0" quotePrefix="0" xfId="0">
      <alignment wrapText="1"/>
    </xf>
    <xf numFmtId="0" fontId="41" fillId="93" borderId="17" pivotButton="0" quotePrefix="0" xfId="0"/>
    <xf numFmtId="0" fontId="41" fillId="93" borderId="23" applyAlignment="1" pivotButton="0" quotePrefix="0" xfId="0">
      <alignment horizontal="left" vertical="center" wrapText="1"/>
    </xf>
    <xf numFmtId="0" fontId="41" fillId="93" borderId="24" applyAlignment="1" pivotButton="0" quotePrefix="0" xfId="0">
      <alignment wrapText="1"/>
    </xf>
    <xf numFmtId="0" fontId="41" fillId="93" borderId="25" pivotButton="0" quotePrefix="0" xfId="0"/>
    <xf numFmtId="0" fontId="41" fillId="93" borderId="24" applyAlignment="1" pivotButton="0" quotePrefix="0" xfId="0">
      <alignment horizontal="left" wrapText="1"/>
    </xf>
    <xf numFmtId="0" fontId="41" fillId="93" borderId="25" applyAlignment="1" pivotButton="0" quotePrefix="0" xfId="0">
      <alignment horizontal="left"/>
    </xf>
    <xf numFmtId="0" fontId="41" fillId="93" borderId="24" applyAlignment="1" pivotButton="0" quotePrefix="0" xfId="0">
      <alignment horizontal="left" vertical="center" wrapText="1"/>
    </xf>
    <xf numFmtId="0" fontId="41" fillId="93" borderId="25" applyAlignment="1" pivotButton="0" quotePrefix="0" xfId="0">
      <alignment horizontal="left" vertical="center"/>
    </xf>
    <xf numFmtId="0" fontId="41" fillId="94" borderId="13" applyAlignment="1" pivotButton="0" quotePrefix="0" xfId="0">
      <alignment horizontal="center" vertical="center" wrapText="1"/>
    </xf>
    <xf numFmtId="0" fontId="42" fillId="94" borderId="13" applyAlignment="1" pivotButton="0" quotePrefix="0" xfId="0">
      <alignment vertical="center" wrapText="1"/>
    </xf>
    <xf numFmtId="0" fontId="40" fillId="94" borderId="16" applyAlignment="1" pivotButton="0" quotePrefix="0" xfId="0">
      <alignment wrapText="1"/>
    </xf>
    <xf numFmtId="0" fontId="40" fillId="94" borderId="17" pivotButton="0" quotePrefix="0" xfId="0"/>
    <xf numFmtId="0" fontId="43" fillId="94" borderId="13" applyAlignment="1" pivotButton="0" quotePrefix="0" xfId="0">
      <alignment horizontal="center" vertical="center" wrapText="1"/>
    </xf>
    <xf numFmtId="0" fontId="44" fillId="94" borderId="13" applyAlignment="1" pivotButton="0" quotePrefix="0" xfId="0">
      <alignment vertical="center" wrapText="1"/>
    </xf>
    <xf numFmtId="0" fontId="44" fillId="94" borderId="16" applyAlignment="1" pivotButton="0" quotePrefix="0" xfId="0">
      <alignment wrapText="1"/>
    </xf>
    <xf numFmtId="0" fontId="44" fillId="94" borderId="17" pivotButton="0" quotePrefix="0" xfId="0"/>
    <xf numFmtId="0" fontId="43" fillId="94" borderId="26" applyAlignment="1" pivotButton="0" quotePrefix="0" xfId="0">
      <alignment horizontal="center" vertical="center" wrapText="1"/>
    </xf>
    <xf numFmtId="0" fontId="44" fillId="94" borderId="26" applyAlignment="1" pivotButton="0" quotePrefix="0" xfId="0">
      <alignment vertical="center" wrapText="1"/>
    </xf>
    <xf numFmtId="0" fontId="44" fillId="94" borderId="26" applyAlignment="1" pivotButton="0" quotePrefix="0" xfId="0">
      <alignment wrapText="1"/>
    </xf>
    <xf numFmtId="0" fontId="44" fillId="94" borderId="26" pivotButton="0" quotePrefix="0" xfId="0"/>
    <xf numFmtId="0" fontId="43" fillId="94" borderId="26" applyAlignment="1" pivotButton="0" quotePrefix="0" xfId="0">
      <alignment horizontal="left" vertical="center" wrapText="1"/>
    </xf>
    <xf numFmtId="0" fontId="44" fillId="94" borderId="26" applyAlignment="1" pivotButton="0" quotePrefix="0" xfId="0">
      <alignment horizontal="left" vertical="center" wrapText="1"/>
    </xf>
    <xf numFmtId="0" fontId="44" fillId="94" borderId="26" applyAlignment="1" pivotButton="0" quotePrefix="0" xfId="0">
      <alignment horizontal="left" wrapText="1"/>
    </xf>
    <xf numFmtId="0" fontId="43" fillId="94" borderId="26" applyAlignment="1" pivotButton="0" quotePrefix="0" xfId="0">
      <alignment horizontal="left" vertical="top" wrapText="1"/>
    </xf>
    <xf numFmtId="0" fontId="44" fillId="94" borderId="26" applyAlignment="1" pivotButton="0" quotePrefix="0" xfId="0">
      <alignment horizontal="left" vertical="top" wrapText="1"/>
    </xf>
    <xf numFmtId="0" fontId="43" fillId="95" borderId="26" applyAlignment="1" pivotButton="0" quotePrefix="0" xfId="0">
      <alignment horizontal="left" vertical="top" wrapText="1"/>
    </xf>
    <xf numFmtId="0" fontId="45" fillId="95" borderId="26" applyAlignment="1" pivotButton="0" quotePrefix="0" xfId="0">
      <alignment horizontal="left" vertical="top" wrapText="1"/>
    </xf>
    <xf numFmtId="0" fontId="45" fillId="95" borderId="26" applyAlignment="1" pivotButton="0" quotePrefix="0" xfId="0">
      <alignment horizontal="center" vertical="top" wrapText="1"/>
    </xf>
    <xf numFmtId="0" fontId="45" fillId="95" borderId="26" applyAlignment="1" pivotButton="0" quotePrefix="0" xfId="0">
      <alignment horizontal="center" vertical="center" wrapText="1"/>
    </xf>
    <xf numFmtId="0" fontId="44" fillId="95" borderId="26" applyAlignment="1" pivotButton="0" quotePrefix="0" xfId="0">
      <alignment horizontal="left" vertical="top" wrapText="1"/>
    </xf>
    <xf numFmtId="0" fontId="45" fillId="95" borderId="26" applyAlignment="1" pivotButton="0" quotePrefix="0" xfId="0">
      <alignment horizontal="left" vertical="center" wrapText="1"/>
    </xf>
    <xf numFmtId="0" fontId="41" fillId="96" borderId="13" applyAlignment="1" pivotButton="0" quotePrefix="0" xfId="0">
      <alignment horizontal="center" vertical="center" wrapText="1"/>
    </xf>
    <xf numFmtId="0" fontId="46" fillId="96" borderId="13" applyAlignment="1" pivotButton="0" quotePrefix="0" xfId="0">
      <alignment horizontal="center" vertical="center" wrapText="1"/>
    </xf>
    <xf numFmtId="0" fontId="46" fillId="96" borderId="27" applyAlignment="1" pivotButton="0" quotePrefix="0" xfId="0">
      <alignment horizontal="center" vertical="center" wrapText="1"/>
    </xf>
    <xf numFmtId="0" fontId="42" fillId="94" borderId="13" applyAlignment="1" pivotButton="0" quotePrefix="0" xfId="0">
      <alignment vertical="top" wrapText="1"/>
    </xf>
    <xf numFmtId="0" fontId="40" fillId="94" borderId="16" applyAlignment="1" pivotButton="0" quotePrefix="0" xfId="0">
      <alignment vertical="top" wrapText="1"/>
    </xf>
    <xf numFmtId="0" fontId="40" fillId="94" borderId="17" applyAlignment="1" pivotButton="0" quotePrefix="0" xfId="0">
      <alignment vertical="top" wrapText="1"/>
    </xf>
    <xf numFmtId="0" fontId="44" fillId="94" borderId="13" applyAlignment="1" pivotButton="0" quotePrefix="0" xfId="0">
      <alignment vertical="top" wrapText="1"/>
    </xf>
    <xf numFmtId="0" fontId="44" fillId="94" borderId="16" applyAlignment="1" pivotButton="0" quotePrefix="0" xfId="0">
      <alignment vertical="top" wrapText="1"/>
    </xf>
    <xf numFmtId="0" fontId="44" fillId="94" borderId="17" applyAlignment="1" pivotButton="0" quotePrefix="0" xfId="0">
      <alignment vertical="top" wrapText="1"/>
    </xf>
    <xf numFmtId="0" fontId="44" fillId="94" borderId="26" applyAlignment="1" pivotButton="0" quotePrefix="0" xfId="0">
      <alignment vertical="top" wrapText="1"/>
    </xf>
    <xf numFmtId="0" fontId="44" fillId="97" borderId="26" applyAlignment="1" pivotButton="0" quotePrefix="0" xfId="0">
      <alignment horizontal="left" vertical="top" wrapText="1"/>
    </xf>
    <xf numFmtId="0" fontId="6" fillId="91" borderId="0" applyAlignment="1" pivotButton="0" quotePrefix="0" xfId="0">
      <alignment vertical="center"/>
    </xf>
    <xf numFmtId="0" fontId="37" fillId="91" borderId="0" applyAlignment="1" pivotButton="0" quotePrefix="0" xfId="0">
      <alignment vertical="center"/>
    </xf>
    <xf numFmtId="0" fontId="37" fillId="91" borderId="21" applyAlignment="1" pivotButton="0" quotePrefix="0" xfId="0">
      <alignment vertical="center"/>
    </xf>
    <xf numFmtId="0" fontId="7" fillId="92" borderId="0" applyAlignment="1" pivotButton="0" quotePrefix="0" xfId="0">
      <alignment vertical="center" wrapText="1"/>
    </xf>
    <xf numFmtId="0" fontId="6" fillId="96" borderId="13" applyAlignment="1" pivotButton="0" quotePrefix="0" xfId="0">
      <alignment horizontal="center" vertical="center" wrapText="1"/>
    </xf>
    <xf numFmtId="0" fontId="8" fillId="94" borderId="13" applyAlignment="1" pivotButton="0" quotePrefix="0" xfId="0">
      <alignment vertical="center" wrapText="1"/>
    </xf>
    <xf numFmtId="0" fontId="8" fillId="94" borderId="1" applyAlignment="1" pivotButton="0" quotePrefix="0" xfId="0">
      <alignment vertical="center" wrapText="1"/>
    </xf>
    <xf numFmtId="0" fontId="0" fillId="94" borderId="0" pivotButton="0" quotePrefix="0" xfId="0"/>
    <xf numFmtId="0" fontId="44" fillId="94" borderId="1" applyAlignment="1" pivotButton="0" quotePrefix="0" xfId="0">
      <alignment vertical="center" wrapText="1"/>
    </xf>
    <xf numFmtId="0" fontId="44" fillId="94" borderId="0" pivotButton="0" quotePrefix="0" xfId="0"/>
    <xf numFmtId="0" fontId="44" fillId="97" borderId="26" applyAlignment="1" pivotButton="0" quotePrefix="0" xfId="0">
      <alignment horizontal="center" vertical="top" wrapText="1"/>
    </xf>
    <xf numFmtId="0" fontId="44" fillId="97" borderId="26" applyAlignment="1" pivotButton="0" quotePrefix="0" xfId="0">
      <alignment horizontal="center" vertical="center" wrapText="1"/>
    </xf>
    <xf numFmtId="0" fontId="1" fillId="91" borderId="0" applyAlignment="1" pivotButton="0" quotePrefix="0" xfId="0">
      <alignment vertical="center"/>
    </xf>
    <xf numFmtId="0" fontId="33" fillId="92" borderId="0" applyAlignment="1" pivotButton="0" quotePrefix="0" xfId="0">
      <alignment vertical="center" wrapText="1"/>
    </xf>
    <xf numFmtId="164" fontId="8" fillId="94" borderId="13" applyAlignment="1" pivotButton="0" quotePrefix="0" xfId="0">
      <alignment vertical="center" wrapText="1"/>
    </xf>
    <xf numFmtId="0" fontId="8" fillId="94" borderId="1" applyAlignment="1" pivotButton="0" quotePrefix="0" xfId="0">
      <alignment vertical="top" wrapText="1"/>
    </xf>
    <xf numFmtId="164" fontId="8" fillId="94" borderId="1" applyAlignment="1" pivotButton="0" quotePrefix="0" xfId="0">
      <alignment vertical="center" wrapText="1"/>
    </xf>
    <xf numFmtId="164" fontId="0" fillId="94" borderId="0" pivotButton="0" quotePrefix="0" xfId="0"/>
    <xf numFmtId="164" fontId="44" fillId="94" borderId="13" applyAlignment="1" pivotButton="0" quotePrefix="0" xfId="0">
      <alignment vertical="center" wrapText="1"/>
    </xf>
    <xf numFmtId="0" fontId="44" fillId="94" borderId="1" applyAlignment="1" pivotButton="0" quotePrefix="0" xfId="0">
      <alignment vertical="top" wrapText="1"/>
    </xf>
    <xf numFmtId="164" fontId="44" fillId="94" borderId="1" applyAlignment="1" pivotButton="0" quotePrefix="0" xfId="0">
      <alignment vertical="center" wrapText="1"/>
    </xf>
    <xf numFmtId="164" fontId="44" fillId="94" borderId="0" pivotButton="0" quotePrefix="0" xfId="0"/>
    <xf numFmtId="164" fontId="44" fillId="94" borderId="26" applyAlignment="1" pivotButton="0" quotePrefix="0" xfId="0">
      <alignment vertical="center" wrapText="1"/>
    </xf>
    <xf numFmtId="164" fontId="44" fillId="94" borderId="26" pivotButton="0" quotePrefix="0" xfId="0"/>
    <xf numFmtId="164" fontId="44" fillId="94" borderId="26" applyAlignment="1" pivotButton="0" quotePrefix="0" xfId="0">
      <alignment wrapText="1"/>
    </xf>
    <xf numFmtId="164" fontId="44" fillId="94" borderId="26" applyAlignment="1" pivotButton="0" quotePrefix="0" xfId="0">
      <alignment horizontal="left" vertical="center" wrapText="1"/>
    </xf>
    <xf numFmtId="164" fontId="44" fillId="94" borderId="26" applyAlignment="1" pivotButton="0" quotePrefix="0" xfId="0">
      <alignment horizontal="left" wrapText="1"/>
    </xf>
    <xf numFmtId="164" fontId="44" fillId="94" borderId="26" applyAlignment="1" pivotButton="0" quotePrefix="0" xfId="0">
      <alignment horizontal="left" vertical="top" wrapText="1"/>
    </xf>
    <xf numFmtId="0" fontId="44" fillId="98" borderId="26" applyAlignment="1" pivotButton="0" quotePrefix="0" xfId="0">
      <alignment horizontal="left" vertical="top" wrapText="1"/>
    </xf>
    <xf numFmtId="164" fontId="44" fillId="98" borderId="26" applyAlignment="1" pivotButton="0" quotePrefix="0" xfId="0">
      <alignment horizontal="left" vertical="top" wrapText="1"/>
    </xf>
    <xf numFmtId="0" fontId="47" fillId="98" borderId="26" applyAlignment="1" pivotButton="0" quotePrefix="0" xfId="0">
      <alignment horizontal="left" vertical="top" wrapText="1"/>
    </xf>
    <xf numFmtId="164" fontId="47" fillId="98" borderId="26" applyAlignment="1" pivotButton="0" quotePrefix="0" xfId="0">
      <alignment horizontal="left" vertical="top" wrapText="1"/>
    </xf>
    <xf numFmtId="0" fontId="47" fillId="98" borderId="26" applyAlignment="1" pivotButton="0" quotePrefix="0" xfId="0">
      <alignment horizontal="center" vertical="top" wrapText="1"/>
    </xf>
    <xf numFmtId="0" fontId="47" fillId="98" borderId="26" applyAlignment="1" pivotButton="0" quotePrefix="0" xfId="0">
      <alignment horizontal="center" vertical="center" wrapText="1"/>
    </xf>
    <xf numFmtId="164" fontId="47" fillId="98" borderId="26" applyAlignment="1" pivotButton="0" quotePrefix="0" xfId="0">
      <alignment horizontal="center" vertical="center" wrapText="1"/>
    </xf>
    <xf numFmtId="0" fontId="10" fillId="92" borderId="0" applyAlignment="1" pivotButton="0" quotePrefix="0" xfId="0">
      <alignment vertical="center"/>
    </xf>
    <xf numFmtId="0" fontId="38" fillId="92" borderId="0" applyAlignment="1" pivotButton="0" quotePrefix="0" xfId="0">
      <alignment vertical="center"/>
    </xf>
    <xf numFmtId="0" fontId="38" fillId="92" borderId="22" applyAlignment="1" pivotButton="0" quotePrefix="0" xfId="0">
      <alignment vertical="center"/>
    </xf>
    <xf numFmtId="0" fontId="8" fillId="94" borderId="13" applyAlignment="1" pivotButton="0" quotePrefix="0" xfId="0">
      <alignment horizontal="center" vertical="center" wrapText="1"/>
    </xf>
    <xf numFmtId="0" fontId="0" fillId="94" borderId="1" applyAlignment="1" pivotButton="0" quotePrefix="0" xfId="0">
      <alignment vertical="top" wrapText="1"/>
    </xf>
    <xf numFmtId="0" fontId="0" fillId="94" borderId="1" applyAlignment="1" pivotButton="0" quotePrefix="0" xfId="0">
      <alignment horizontal="center" vertical="top" wrapText="1"/>
    </xf>
    <xf numFmtId="0" fontId="44" fillId="94" borderId="13" applyAlignment="1" pivotButton="0" quotePrefix="0" xfId="0">
      <alignment horizontal="center" vertical="center" wrapText="1"/>
    </xf>
    <xf numFmtId="0" fontId="44" fillId="94" borderId="1" applyAlignment="1" pivotButton="0" quotePrefix="0" xfId="0">
      <alignment horizontal="center" vertical="top" wrapText="1"/>
    </xf>
    <xf numFmtId="0" fontId="44" fillId="94" borderId="26" applyAlignment="1" pivotButton="0" quotePrefix="0" xfId="0">
      <alignment horizontal="center" vertical="center" wrapText="1"/>
    </xf>
    <xf numFmtId="0" fontId="44" fillId="94" borderId="26" applyAlignment="1" pivotButton="0" quotePrefix="0" xfId="0">
      <alignment horizontal="center" vertical="top" wrapText="1"/>
    </xf>
    <xf numFmtId="0" fontId="6" fillId="96" borderId="0" applyAlignment="1" pivotButton="0" quotePrefix="0" xfId="0">
      <alignment horizontal="center" vertical="center" wrapText="1"/>
    </xf>
    <xf numFmtId="0" fontId="46" fillId="96" borderId="0" applyAlignment="1" pivotButton="0" quotePrefix="0" xfId="0">
      <alignment horizontal="center" vertical="center" wrapText="1"/>
    </xf>
    <xf numFmtId="0" fontId="0" fillId="94" borderId="0" applyAlignment="1" pivotButton="0" quotePrefix="0" xfId="0">
      <alignment wrapText="1"/>
    </xf>
    <xf numFmtId="0" fontId="44" fillId="94" borderId="0" applyAlignment="1" pivotButton="0" quotePrefix="0" xfId="0">
      <alignment wrapText="1"/>
    </xf>
    <xf numFmtId="164" fontId="44" fillId="97" borderId="26" applyAlignment="1" pivotButton="0" quotePrefix="0" xfId="0">
      <alignment horizontal="left" vertical="top" wrapText="1"/>
    </xf>
    <xf numFmtId="164" fontId="44" fillId="97" borderId="26" applyAlignment="1" pivotButton="0" quotePrefix="0" xfId="0">
      <alignment horizontal="center" vertical="top" wrapText="1"/>
    </xf>
    <xf numFmtId="164" fontId="44" fillId="97" borderId="26" applyAlignment="1" pivotButton="0" quotePrefix="0" xfId="0">
      <alignment horizontal="center" vertical="center" wrapText="1"/>
    </xf>
    <xf numFmtId="0" fontId="3" fillId="96" borderId="13" applyAlignment="1" pivotButton="0" quotePrefix="0" xfId="0">
      <alignment horizontal="center" vertical="center" wrapText="1"/>
    </xf>
    <xf numFmtId="0" fontId="4" fillId="94" borderId="13" applyAlignment="1" pivotButton="0" quotePrefix="0" xfId="0">
      <alignment vertical="center" wrapText="1"/>
    </xf>
    <xf numFmtId="0" fontId="4" fillId="94" borderId="1" applyAlignment="1" pivotButton="0" quotePrefix="0" xfId="0">
      <alignment vertical="top" wrapText="1"/>
    </xf>
    <xf numFmtId="164" fontId="47" fillId="98" borderId="26" applyAlignment="1" pivotButton="0" quotePrefix="0" xfId="0">
      <alignment horizontal="center" vertical="top" wrapText="1"/>
    </xf>
    <xf numFmtId="0" fontId="31" fillId="91" borderId="0" applyAlignment="1" pivotButton="0" quotePrefix="0" xfId="0">
      <alignment vertical="center"/>
    </xf>
    <xf numFmtId="164" fontId="4" fillId="94" borderId="13" applyAlignment="1" pivotButton="0" quotePrefix="0" xfId="0">
      <alignment vertical="center" wrapText="1"/>
    </xf>
    <xf numFmtId="164" fontId="48" fillId="98" borderId="26" applyAlignment="1" pivotButton="0" quotePrefix="0" xfId="0">
      <alignment horizontal="left" vertical="top" wrapText="1"/>
    </xf>
    <xf numFmtId="164" fontId="48" fillId="98" borderId="26" applyAlignment="1" pivotButton="0" quotePrefix="0" xfId="0">
      <alignment horizontal="right" vertical="top" wrapText="1"/>
    </xf>
    <xf numFmtId="164" fontId="48" fillId="98" borderId="26" applyAlignment="1" pivotButton="0" quotePrefix="0" xfId="0">
      <alignment horizontal="right" vertical="center" wrapText="1"/>
    </xf>
    <xf numFmtId="0" fontId="44" fillId="99" borderId="26" applyAlignment="1" pivotButton="0" quotePrefix="0" xfId="0">
      <alignment horizontal="left" vertical="top" wrapText="1"/>
    </xf>
    <xf numFmtId="0" fontId="45" fillId="99" borderId="26" applyAlignment="1" pivotButton="0" quotePrefix="0" xfId="0">
      <alignment horizontal="left" vertical="top" wrapText="1"/>
    </xf>
    <xf numFmtId="0" fontId="45" fillId="99" borderId="26" applyAlignment="1" pivotButton="0" quotePrefix="0" xfId="0">
      <alignment horizontal="center" vertical="top" wrapText="1"/>
    </xf>
    <xf numFmtId="0" fontId="45" fillId="99" borderId="26" applyAlignment="1" pivotButton="0" quotePrefix="0" xfId="0">
      <alignment horizontal="center" vertical="center" wrapText="1"/>
    </xf>
    <xf numFmtId="0" fontId="4" fillId="91" borderId="13" applyAlignment="1" pivotButton="0" quotePrefix="0" xfId="0">
      <alignment vertical="center" wrapText="1"/>
    </xf>
    <xf numFmtId="164" fontId="4" fillId="91" borderId="13" applyAlignment="1" pivotButton="0" quotePrefix="0" xfId="0">
      <alignment vertical="center" wrapText="1"/>
    </xf>
    <xf numFmtId="0" fontId="41" fillId="91" borderId="13" applyAlignment="1" pivotButton="0" quotePrefix="0" xfId="0">
      <alignment vertical="center" wrapText="1"/>
    </xf>
    <xf numFmtId="164" fontId="41" fillId="91" borderId="13" applyAlignment="1" pivotButton="0" quotePrefix="0" xfId="0">
      <alignment vertical="center" wrapText="1"/>
    </xf>
    <xf numFmtId="0" fontId="41" fillId="91" borderId="28" applyAlignment="1" pivotButton="0" quotePrefix="0" xfId="0">
      <alignment vertical="center" wrapText="1"/>
    </xf>
    <xf numFmtId="164" fontId="41" fillId="91" borderId="28" applyAlignment="1" pivotButton="0" quotePrefix="0" xfId="0">
      <alignment vertical="center" wrapText="1"/>
    </xf>
    <xf numFmtId="164" fontId="41" fillId="91" borderId="28" applyAlignment="1" pivotButton="0" quotePrefix="0" xfId="0">
      <alignment horizontal="right" vertical="center" wrapText="1"/>
    </xf>
    <xf numFmtId="0" fontId="9" fillId="97" borderId="1" applyAlignment="1" pivotButton="0" quotePrefix="0" xfId="0">
      <alignment vertical="top" wrapText="1"/>
    </xf>
    <xf numFmtId="164" fontId="9" fillId="97" borderId="1" applyAlignment="1" pivotButton="0" quotePrefix="0" xfId="0">
      <alignment vertical="top" wrapText="1"/>
    </xf>
    <xf numFmtId="0" fontId="43" fillId="97" borderId="1" applyAlignment="1" pivotButton="0" quotePrefix="0" xfId="0">
      <alignment vertical="top" wrapText="1"/>
    </xf>
    <xf numFmtId="164" fontId="43" fillId="97" borderId="1" applyAlignment="1" pivotButton="0" quotePrefix="0" xfId="0">
      <alignment vertical="top" wrapText="1"/>
    </xf>
    <xf numFmtId="0" fontId="43" fillId="97" borderId="26" applyAlignment="1" pivotButton="0" quotePrefix="0" xfId="0">
      <alignment vertical="top" wrapText="1"/>
    </xf>
    <xf numFmtId="164" fontId="43" fillId="97" borderId="26" applyAlignment="1" pivotButton="0" quotePrefix="0" xfId="0">
      <alignment vertical="top" wrapText="1"/>
    </xf>
    <xf numFmtId="0" fontId="43" fillId="97" borderId="26" applyAlignment="1" pivotButton="0" quotePrefix="0" xfId="0">
      <alignment horizontal="left" vertical="top" wrapText="1"/>
    </xf>
    <xf numFmtId="164" fontId="43" fillId="97" borderId="26" applyAlignment="1" pivotButton="0" quotePrefix="0" xfId="0">
      <alignment horizontal="left" vertical="top" wrapText="1"/>
    </xf>
    <xf numFmtId="0" fontId="49" fillId="97" borderId="26" applyAlignment="1" pivotButton="0" quotePrefix="0" xfId="0">
      <alignment horizontal="left" vertical="top" wrapText="1"/>
    </xf>
    <xf numFmtId="0" fontId="43" fillId="99" borderId="26" applyAlignment="1" pivotButton="0" quotePrefix="0" xfId="0">
      <alignment horizontal="left" vertical="top" wrapText="1"/>
    </xf>
    <xf numFmtId="0" fontId="32" fillId="92" borderId="0" applyAlignment="1" pivotButton="0" quotePrefix="0" xfId="0">
      <alignment vertical="center" wrapText="1"/>
    </xf>
    <xf numFmtId="0" fontId="8" fillId="94" borderId="20" applyAlignment="1" pivotButton="0" quotePrefix="0" xfId="0">
      <alignment vertical="center" wrapText="1"/>
    </xf>
    <xf numFmtId="0" fontId="44" fillId="94" borderId="20" applyAlignment="1" pivotButton="0" quotePrefix="0" xfId="0">
      <alignment vertical="center" wrapText="1"/>
    </xf>
    <xf numFmtId="0" fontId="6" fillId="100" borderId="13" applyAlignment="1" pivotButton="0" quotePrefix="0" xfId="0">
      <alignment horizontal="center" vertical="center" wrapText="1"/>
    </xf>
    <xf numFmtId="0" fontId="46" fillId="100" borderId="13" applyAlignment="1" pivotButton="0" quotePrefix="0" xfId="0">
      <alignment horizontal="center" vertical="center" wrapText="1"/>
    </xf>
    <xf numFmtId="0" fontId="46" fillId="100" borderId="26" applyAlignment="1" pivotButton="0" quotePrefix="0" xfId="0">
      <alignment horizontal="center" vertical="center" wrapText="1"/>
    </xf>
    <xf numFmtId="0" fontId="8" fillId="98" borderId="20" applyAlignment="1" pivotButton="0" quotePrefix="0" xfId="0">
      <alignment vertical="center" wrapText="1"/>
    </xf>
    <xf numFmtId="0" fontId="0" fillId="98" borderId="0" pivotButton="0" quotePrefix="0" xfId="0"/>
    <xf numFmtId="0" fontId="44" fillId="98" borderId="20" applyAlignment="1" pivotButton="0" quotePrefix="0" xfId="0">
      <alignment vertical="center" wrapText="1"/>
    </xf>
    <xf numFmtId="0" fontId="44" fillId="98" borderId="0" pivotButton="0" quotePrefix="0" xfId="0"/>
    <xf numFmtId="0" fontId="44" fillId="98" borderId="26" applyAlignment="1" pivotButton="0" quotePrefix="0" xfId="0">
      <alignment vertical="center" wrapText="1"/>
    </xf>
    <xf numFmtId="0" fontId="44" fillId="98" borderId="26" pivotButton="0" quotePrefix="0" xfId="0"/>
    <xf numFmtId="0" fontId="44" fillId="98" borderId="26" applyAlignment="1" pivotButton="0" quotePrefix="0" xfId="0">
      <alignment wrapText="1"/>
    </xf>
    <xf numFmtId="0" fontId="44" fillId="98" borderId="26" applyAlignment="1" pivotButton="0" quotePrefix="0" xfId="0">
      <alignment horizontal="left" vertical="center" wrapText="1"/>
    </xf>
    <xf numFmtId="0" fontId="44" fillId="98" borderId="26" applyAlignment="1" pivotButton="0" quotePrefix="0" xfId="0">
      <alignment horizontal="left" wrapText="1"/>
    </xf>
    <xf numFmtId="2" fontId="0" fillId="94" borderId="0" applyAlignment="1" pivotButton="0" quotePrefix="0" xfId="0">
      <alignment wrapText="1"/>
    </xf>
    <xf numFmtId="2" fontId="44" fillId="94" borderId="0" applyAlignment="1" pivotButton="0" quotePrefix="0" xfId="0">
      <alignment wrapText="1"/>
    </xf>
    <xf numFmtId="2" fontId="44" fillId="94" borderId="26" applyAlignment="1" pivotButton="0" quotePrefix="0" xfId="0">
      <alignment wrapText="1"/>
    </xf>
    <xf numFmtId="2" fontId="44" fillId="94" borderId="26" applyAlignment="1" pivotButton="0" quotePrefix="0" xfId="0">
      <alignment horizontal="left" wrapText="1"/>
    </xf>
    <xf numFmtId="2" fontId="44" fillId="94" borderId="26" applyAlignment="1" pivotButton="0" quotePrefix="0" xfId="0">
      <alignment horizontal="left" vertical="top" wrapText="1"/>
    </xf>
    <xf numFmtId="2" fontId="44" fillId="97" borderId="26" applyAlignment="1" pivotButton="0" quotePrefix="0" xfId="0">
      <alignment horizontal="left" vertical="top" wrapText="1"/>
    </xf>
    <xf numFmtId="2" fontId="50" fillId="97" borderId="26" applyAlignment="1" pivotButton="0" quotePrefix="0" xfId="0">
      <alignment horizontal="left" vertical="top" wrapText="1"/>
    </xf>
    <xf numFmtId="2" fontId="50" fillId="97" borderId="26" applyAlignment="1" pivotButton="0" quotePrefix="0" xfId="0">
      <alignment horizontal="center" vertical="top" wrapText="1"/>
    </xf>
    <xf numFmtId="2" fontId="50" fillId="97" borderId="26" applyAlignment="1" pivotButton="0" quotePrefix="0" xfId="0">
      <alignment horizontal="center" vertical="center" wrapText="1"/>
    </xf>
    <xf numFmtId="0" fontId="6" fillId="93" borderId="0" applyAlignment="1" pivotButton="0" quotePrefix="0" xfId="0">
      <alignment horizontal="center" vertical="center"/>
    </xf>
    <xf numFmtId="0" fontId="41" fillId="93" borderId="0" applyAlignment="1" pivotButton="0" quotePrefix="0" xfId="0">
      <alignment horizontal="center" vertical="center"/>
    </xf>
    <xf numFmtId="0" fontId="41" fillId="93" borderId="29" applyAlignment="1" pivotButton="0" quotePrefix="0" xfId="0">
      <alignment horizontal="center" vertical="center"/>
    </xf>
    <xf numFmtId="0" fontId="6" fillId="101" borderId="0" applyAlignment="1" pivotButton="0" quotePrefix="0" xfId="0">
      <alignment horizontal="center" vertical="center"/>
    </xf>
    <xf numFmtId="0" fontId="41" fillId="101" borderId="0" applyAlignment="1" pivotButton="0" quotePrefix="0" xfId="0">
      <alignment horizontal="center" vertical="center"/>
    </xf>
    <xf numFmtId="0" fontId="41" fillId="101" borderId="29" applyAlignment="1" pivotButton="0" quotePrefix="0" xfId="0">
      <alignment horizontal="center" vertical="center"/>
    </xf>
    <xf numFmtId="0" fontId="6" fillId="102" borderId="0" applyAlignment="1" pivotButton="0" quotePrefix="0" xfId="0">
      <alignment horizontal="center" vertical="center"/>
    </xf>
    <xf numFmtId="0" fontId="41" fillId="102" borderId="0" applyAlignment="1" pivotButton="0" quotePrefix="0" xfId="0">
      <alignment horizontal="center" vertical="center"/>
    </xf>
    <xf numFmtId="0" fontId="41" fillId="102" borderId="29" applyAlignment="1" pivotButton="0" quotePrefix="0" xfId="0">
      <alignment horizontal="center" vertical="center"/>
    </xf>
    <xf numFmtId="0" fontId="6" fillId="100" borderId="0" applyAlignment="1" pivotButton="0" quotePrefix="0" xfId="0">
      <alignment horizontal="center" vertical="center"/>
    </xf>
    <xf numFmtId="0" fontId="41" fillId="100" borderId="0" applyAlignment="1" pivotButton="0" quotePrefix="0" xfId="0">
      <alignment horizontal="center" vertical="center"/>
    </xf>
    <xf numFmtId="0" fontId="41" fillId="100" borderId="29" applyAlignment="1" pivotButton="0" quotePrefix="0" xfId="0">
      <alignment horizontal="center" vertical="center"/>
    </xf>
    <xf numFmtId="0" fontId="8" fillId="94" borderId="0" applyAlignment="1" pivotButton="0" quotePrefix="0" xfId="0">
      <alignment vertical="top" wrapText="1"/>
    </xf>
    <xf numFmtId="164" fontId="36" fillId="94" borderId="0" applyAlignment="1" pivotButton="0" quotePrefix="0" xfId="0">
      <alignment horizontal="center" vertical="center"/>
    </xf>
    <xf numFmtId="0" fontId="44" fillId="94" borderId="0" applyAlignment="1" pivotButton="0" quotePrefix="0" xfId="0">
      <alignment vertical="top" wrapText="1"/>
    </xf>
    <xf numFmtId="164" fontId="43" fillId="94" borderId="0" applyAlignment="1" pivotButton="0" quotePrefix="0" xfId="0">
      <alignment horizontal="center" vertical="center"/>
    </xf>
    <xf numFmtId="164" fontId="43" fillId="94" borderId="26" applyAlignment="1" pivotButton="0" quotePrefix="0" xfId="0">
      <alignment horizontal="center" vertical="center"/>
    </xf>
    <xf numFmtId="164" fontId="43" fillId="94" borderId="26" applyAlignment="1" pivotButton="0" quotePrefix="0" xfId="0">
      <alignment horizontal="center" vertical="center" wrapText="1"/>
    </xf>
    <xf numFmtId="164" fontId="43" fillId="94" borderId="26" applyAlignment="1" pivotButton="0" quotePrefix="0" xfId="0">
      <alignment horizontal="left" vertical="center" wrapText="1"/>
    </xf>
    <xf numFmtId="164" fontId="43" fillId="94" borderId="26" applyAlignment="1" pivotButton="0" quotePrefix="0" xfId="0">
      <alignment horizontal="left" vertical="top" wrapText="1"/>
    </xf>
    <xf numFmtId="164" fontId="50" fillId="97" borderId="26" applyAlignment="1" pivotButton="0" quotePrefix="0" xfId="0">
      <alignment horizontal="left" vertical="top" wrapText="1"/>
    </xf>
    <xf numFmtId="164" fontId="50" fillId="97" borderId="26" applyAlignment="1" pivotButton="0" quotePrefix="0" xfId="0">
      <alignment horizontal="center" vertical="top" wrapText="1"/>
    </xf>
    <xf numFmtId="164" fontId="50" fillId="97" borderId="26" applyAlignment="1" pivotButton="0" quotePrefix="0" xfId="0">
      <alignment horizontal="center" vertical="center" wrapText="1"/>
    </xf>
    <xf numFmtId="0" fontId="51" fillId="98" borderId="26" applyAlignment="1" pivotButton="0" quotePrefix="0" xfId="0">
      <alignment horizontal="left" vertical="top" wrapText="1"/>
    </xf>
    <xf numFmtId="0" fontId="44" fillId="97" borderId="26" applyAlignment="1" pivotButton="0" quotePrefix="0" xfId="0">
      <alignment horizontal="left" vertical="center" wrapText="1"/>
    </xf>
    <xf numFmtId="164" fontId="47" fillId="98" borderId="26" applyAlignment="1" pivotButton="0" quotePrefix="0" xfId="0">
      <alignment horizontal="right" vertical="center" wrapText="1"/>
    </xf>
    <xf numFmtId="0" fontId="47" fillId="98" borderId="26" applyAlignment="1" pivotButton="0" quotePrefix="0" xfId="0">
      <alignment horizontal="left" vertical="center" wrapText="1"/>
    </xf>
    <xf numFmtId="0" fontId="44" fillId="97" borderId="26" applyAlignment="1" pivotButton="0" quotePrefix="0" xfId="0">
      <alignment horizontal="right" vertical="center" wrapText="1"/>
    </xf>
    <xf numFmtId="164" fontId="44" fillId="97" borderId="26" applyAlignment="1" pivotButton="0" quotePrefix="0" xfId="0">
      <alignment horizontal="left" vertical="center" wrapText="1"/>
    </xf>
    <xf numFmtId="164" fontId="47" fillId="98" borderId="26" applyAlignment="1" pivotButton="0" quotePrefix="0" xfId="0">
      <alignment horizontal="left" vertical="center" wrapText="1"/>
    </xf>
    <xf numFmtId="0" fontId="44" fillId="55" borderId="26" applyAlignment="1" pivotButton="0" quotePrefix="0" xfId="0">
      <alignment horizontal="left" vertical="top" wrapText="1"/>
    </xf>
    <xf numFmtId="0" fontId="41" fillId="91" borderId="28" applyAlignment="1" pivotButton="0" quotePrefix="0" xfId="0">
      <alignment horizontal="left" vertical="center" wrapText="1"/>
    </xf>
    <xf numFmtId="0" fontId="4" fillId="0" borderId="1" applyAlignment="1" pivotButton="0" quotePrefix="0" xfId="0">
      <alignment horizontal="left" vertical="top" wrapText="1"/>
    </xf>
    <xf numFmtId="0" fontId="41" fillId="91" borderId="28" applyAlignment="1" pivotButton="0" quotePrefix="0" xfId="0">
      <alignment horizontal="left" vertical="top" wrapText="1"/>
    </xf>
    <xf numFmtId="164" fontId="4" fillId="7" borderId="1" applyAlignment="1" pivotButton="0" quotePrefix="0" xfId="0">
      <alignment horizontal="right" vertical="top" wrapText="1"/>
    </xf>
    <xf numFmtId="164" fontId="43" fillId="97" borderId="26" applyAlignment="1" pivotButton="0" quotePrefix="0" xfId="0">
      <alignment horizontal="right" vertical="top" wrapText="1"/>
    </xf>
    <xf numFmtId="164" fontId="4" fillId="7" borderId="1" applyAlignment="1" pivotButton="0" quotePrefix="0" xfId="0">
      <alignment horizontal="right" vertical="center" wrapText="1"/>
    </xf>
    <xf numFmtId="164" fontId="43" fillId="97" borderId="26" applyAlignment="1" pivotButton="0" quotePrefix="0" xfId="0">
      <alignment horizontal="right" vertical="center" wrapText="1"/>
    </xf>
    <xf numFmtId="0" fontId="41" fillId="91" borderId="28" applyAlignment="1" pivotButton="0" quotePrefix="0" xfId="0">
      <alignment horizontal="center" vertical="center"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4" fillId="55" borderId="26" applyAlignment="1" pivotButton="0" quotePrefix="0" xfId="0">
      <alignment horizontal="right" vertical="top" wrapText="1"/>
    </xf>
    <xf numFmtId="0" fontId="44" fillId="55" borderId="26" applyAlignment="1" pivotButton="0" quotePrefix="0" xfId="0">
      <alignment horizontal="right" vertical="center" wrapText="1"/>
    </xf>
    <xf numFmtId="2" fontId="50" fillId="97" borderId="26" applyAlignment="1" pivotButton="0" quotePrefix="0" xfId="0">
      <alignment horizontal="right" vertical="center" wrapText="1"/>
    </xf>
    <xf numFmtId="164" fontId="50" fillId="97" borderId="26" applyAlignment="1" pivotButton="0" quotePrefix="0" xfId="0">
      <alignment horizontal="right" vertical="center" wrapText="1"/>
    </xf>
    <xf numFmtId="0" fontId="0" fillId="0" borderId="26" pivotButton="0" quotePrefix="0" xfId="0"/>
    <xf numFmtId="0" fontId="44" fillId="0" borderId="26" pivotButton="0" quotePrefix="0" xfId="0"/>
    <xf numFmtId="0" fontId="44" fillId="0" borderId="26" applyAlignment="1" pivotButton="0" quotePrefix="0" xfId="0">
      <alignment horizontal="left"/>
    </xf>
    <xf numFmtId="0" fontId="44" fillId="0" borderId="26" applyAlignment="1" pivotButton="0" quotePrefix="0" xfId="0">
      <alignment horizontal="left" vertical="top"/>
    </xf>
    <xf numFmtId="0" fontId="44" fillId="0" borderId="26" applyAlignment="1" pivotButton="0" quotePrefix="0" xfId="0">
      <alignment horizontal="left" vertical="top" wrapText="1"/>
    </xf>
    <xf numFmtId="0" fontId="44" fillId="103" borderId="26" applyAlignment="1" pivotButton="0" quotePrefix="0" xfId="0">
      <alignment horizontal="left" vertical="top" wrapText="1"/>
    </xf>
    <xf numFmtId="0" fontId="44" fillId="104" borderId="26" applyAlignment="1" pivotButton="0" quotePrefix="0" xfId="0">
      <alignment horizontal="left" vertical="top" wrapText="1"/>
    </xf>
    <xf numFmtId="0" fontId="44" fillId="105" borderId="26" applyAlignment="1" pivotButton="0" quotePrefix="0" xfId="0">
      <alignment horizontal="left" vertical="top" wrapText="1"/>
    </xf>
    <xf numFmtId="0" fontId="51" fillId="103" borderId="26" applyAlignment="1" pivotButton="0" quotePrefix="0" xfId="0">
      <alignment horizontal="left" vertical="top" wrapText="1"/>
    </xf>
    <xf numFmtId="0" fontId="0" fillId="106" borderId="26" pivotButton="0" quotePrefix="0" xfId="0"/>
    <xf numFmtId="0" fontId="50" fillId="106" borderId="26" pivotButton="0" quotePrefix="0" xfId="0"/>
    <xf numFmtId="0" fontId="50" fillId="106" borderId="26" applyAlignment="1" pivotButton="0" quotePrefix="0" xfId="0">
      <alignment horizontal="right"/>
    </xf>
    <xf numFmtId="0" fontId="50" fillId="106" borderId="26" applyAlignment="1" pivotButton="0" quotePrefix="0" xfId="0">
      <alignment horizontal="right" vertical="center"/>
    </xf>
    <xf numFmtId="0" fontId="50" fillId="106" borderId="26" applyAlignment="1" pivotButton="0" quotePrefix="0" xfId="0">
      <alignment horizontal="right" vertical="center" wrapText="1"/>
    </xf>
    <xf numFmtId="164" fontId="50" fillId="106" borderId="26" applyAlignment="1" pivotButton="0" quotePrefix="0" xfId="0">
      <alignment horizontal="right" vertical="center" wrapText="1"/>
    </xf>
    <xf numFmtId="0" fontId="44" fillId="0" borderId="0" pivotButton="0" quotePrefix="0" xfId="0"/>
    <xf numFmtId="0" fontId="44" fillId="0" borderId="0" applyAlignment="1" pivotButton="0" quotePrefix="0" xfId="0">
      <alignment horizontal="center"/>
    </xf>
    <xf numFmtId="0" fontId="44" fillId="0" borderId="0" applyAlignment="1" pivotButton="0" quotePrefix="0" xfId="0">
      <alignment horizontal="center" vertical="center"/>
    </xf>
    <xf numFmtId="0" fontId="44" fillId="0" borderId="0" applyAlignment="1" pivotButton="0" quotePrefix="0" xfId="0">
      <alignment horizontal="center" vertical="center" wrapText="1"/>
    </xf>
    <xf numFmtId="0" fontId="44" fillId="0" borderId="0" applyAlignment="1" pivotButton="0" quotePrefix="0" xfId="0">
      <alignment horizontal="left"/>
    </xf>
    <xf numFmtId="0" fontId="44" fillId="0" borderId="0" applyAlignment="1" pivotButton="0" quotePrefix="0" xfId="0">
      <alignment horizontal="left" vertical="top"/>
    </xf>
    <xf numFmtId="0" fontId="44" fillId="0" borderId="0" applyAlignment="1" pivotButton="0" quotePrefix="0" xfId="0">
      <alignment horizontal="left" vertical="top" wrapText="1"/>
    </xf>
    <xf numFmtId="0" fontId="0" fillId="0" borderId="21" pivotButton="0" quotePrefix="0" xfId="0"/>
    <xf numFmtId="0" fontId="0" fillId="0" borderId="22" pivotButton="0" quotePrefix="0" xfId="0"/>
    <xf numFmtId="0" fontId="0" fillId="0" borderId="24" pivotButton="0" quotePrefix="0" xfId="0"/>
    <xf numFmtId="0" fontId="0" fillId="0" borderId="25" pivotButton="0" quotePrefix="0" xfId="0"/>
    <xf numFmtId="0" fontId="0" fillId="0" borderId="32" pivotButton="0" quotePrefix="0" xfId="0"/>
    <xf numFmtId="0" fontId="0" fillId="0" borderId="33" pivotButton="0" quotePrefix="0" xfId="0"/>
    <xf numFmtId="2" fontId="50" fillId="97" borderId="26" applyAlignment="1" pivotButton="0" quotePrefix="0" xfId="0">
      <alignment horizontal="right" vertical="center" wrapText="1"/>
    </xf>
    <xf numFmtId="0" fontId="0" fillId="0" borderId="36" pivotButton="0" quotePrefix="0" xfId="0"/>
    <xf numFmtId="0" fontId="0" fillId="0" borderId="37" pivotButton="0" quotePrefix="0" xfId="0"/>
    <xf numFmtId="0" fontId="0" fillId="0" borderId="0" applyAlignment="1" pivotButton="0" quotePrefix="0" xfId="0">
      <alignment horizontal="center" vertical="center" wrapText="1"/>
    </xf>
    <xf numFmtId="0" fontId="44" fillId="106" borderId="26" applyAlignment="1" pivotButton="0" quotePrefix="0" xfId="0">
      <alignment horizontal="left" vertical="top" wrapText="1"/>
    </xf>
    <xf numFmtId="0" fontId="44" fillId="106" borderId="26" applyAlignment="1" pivotButton="0" quotePrefix="0" xfId="0">
      <alignment horizontal="center" vertical="center"/>
    </xf>
    <xf numFmtId="0" fontId="0" fillId="0" borderId="0" applyAlignment="1" pivotButton="0" quotePrefix="0" xfId="0">
      <alignment horizontal="left" vertical="top" wrapText="1"/>
    </xf>
    <xf numFmtId="0" fontId="0" fillId="0" borderId="0" applyAlignment="1" pivotButton="0" quotePrefix="0" xfId="0">
      <alignment horizontal="center" vertical="center"/>
    </xf>
    <xf numFmtId="0" fontId="47" fillId="103" borderId="26" applyAlignment="1" pivotButton="0" quotePrefix="0" xfId="0">
      <alignment horizontal="left" vertical="top" wrapText="1"/>
    </xf>
    <xf numFmtId="164" fontId="47" fillId="103" borderId="26" applyAlignment="1" pivotButton="0" quotePrefix="0" xfId="0">
      <alignment horizontal="left" vertical="top" wrapText="1"/>
    </xf>
    <xf numFmtId="164" fontId="47" fillId="103" borderId="26" applyAlignment="1" pivotButton="0" quotePrefix="0" xfId="0">
      <alignment horizontal="right" vertical="center"/>
    </xf>
    <xf numFmtId="0" fontId="46" fillId="96" borderId="27" pivotButton="0" quotePrefix="0" xfId="0"/>
    <xf numFmtId="0" fontId="44" fillId="106"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right" vertical="center"/>
    </xf>
    <xf numFmtId="164" fontId="47" fillId="103" borderId="26" applyAlignment="1" pivotButton="0" quotePrefix="0" xfId="0">
      <alignment horizontal="center" vertical="center"/>
    </xf>
    <xf numFmtId="0" fontId="44" fillId="105" borderId="26" applyAlignment="1" pivotButton="0" quotePrefix="0" xfId="0">
      <alignment horizontal="center" vertical="center"/>
    </xf>
    <xf numFmtId="0" fontId="44" fillId="104"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6" fillId="107" borderId="27" applyAlignment="1" pivotButton="0" quotePrefix="0" xfId="0">
      <alignment horizontal="center" vertical="center" wrapText="1"/>
    </xf>
    <xf numFmtId="0" fontId="0" fillId="107" borderId="0" applyAlignment="1" pivotButton="0" quotePrefix="0" xfId="0">
      <alignment horizontal="center" vertical="center" wrapText="1"/>
    </xf>
    <xf numFmtId="0" fontId="6" fillId="107" borderId="0" applyAlignment="1" pivotButton="0" quotePrefix="0" xfId="0">
      <alignment horizontal="center" vertical="center" wrapText="1"/>
    </xf>
    <xf numFmtId="0" fontId="6" fillId="107" borderId="27" applyAlignment="1" pivotButton="0" quotePrefix="0" xfId="0">
      <alignment horizontal="center" vertical="center" wrapText="1"/>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0" fontId="0" fillId="108" borderId="0" applyAlignment="1" pivotButton="0" quotePrefix="0" xfId="0">
      <alignment horizontal="left" vertical="top" wrapText="1"/>
    </xf>
    <xf numFmtId="0" fontId="52" fillId="108" borderId="0" applyAlignment="1" pivotButton="0" quotePrefix="0" xfId="0">
      <alignment horizontal="left" vertical="top" wrapText="1"/>
    </xf>
    <xf numFmtId="0" fontId="52" fillId="108" borderId="26" applyAlignment="1" pivotButton="0" quotePrefix="0" xfId="0">
      <alignment horizontal="left" vertical="top" wrapText="1"/>
    </xf>
    <xf numFmtId="0" fontId="0" fillId="108" borderId="0" applyAlignment="1" pivotButton="0" quotePrefix="0" xfId="0">
      <alignment horizontal="center" vertical="center"/>
    </xf>
    <xf numFmtId="0" fontId="52" fillId="108" borderId="0" applyAlignment="1" pivotButton="0" quotePrefix="0" xfId="0">
      <alignment horizontal="center" vertical="center"/>
    </xf>
    <xf numFmtId="0" fontId="52" fillId="108" borderId="26" applyAlignment="1" pivotButton="0" quotePrefix="0" xfId="0">
      <alignment horizontal="center" vertical="center"/>
    </xf>
    <xf numFmtId="0" fontId="47" fillId="109" borderId="26" applyAlignment="1" pivotButton="0" quotePrefix="0" xfId="0">
      <alignment horizontal="left" vertical="top" wrapText="1"/>
    </xf>
    <xf numFmtId="164" fontId="47" fillId="109" borderId="26" applyAlignment="1" pivotButton="0" quotePrefix="0" xfId="0">
      <alignment horizontal="left" vertical="top" wrapText="1"/>
    </xf>
    <xf numFmtId="164" fontId="47" fillId="109" borderId="26" applyAlignment="1" pivotButton="0" quotePrefix="0" xfId="0">
      <alignment horizontal="right" vertical="center"/>
    </xf>
    <xf numFmtId="0" fontId="0" fillId="109" borderId="0" applyAlignment="1" pivotButton="0" quotePrefix="0" xfId="0">
      <alignment horizontal="left" vertical="top" wrapText="1"/>
    </xf>
    <xf numFmtId="0" fontId="0" fillId="109" borderId="0" applyAlignment="1" pivotButton="0" quotePrefix="0" xfId="0">
      <alignment horizontal="center" vertical="center"/>
    </xf>
    <xf numFmtId="0" fontId="53" fillId="109" borderId="0" applyAlignment="1" pivotButton="0" quotePrefix="0" xfId="0">
      <alignment horizontal="left" vertical="top" wrapText="1"/>
    </xf>
    <xf numFmtId="0" fontId="53" fillId="109" borderId="0" applyAlignment="1" pivotButton="0" quotePrefix="0" xfId="0">
      <alignment horizontal="center" vertical="center"/>
    </xf>
    <xf numFmtId="0" fontId="53" fillId="109" borderId="26" applyAlignment="1" pivotButton="0" quotePrefix="0" xfId="0">
      <alignment horizontal="left" vertical="top" wrapText="1"/>
    </xf>
    <xf numFmtId="0" fontId="53" fillId="109" borderId="26" applyAlignment="1" pivotButton="0" quotePrefix="0" xfId="0">
      <alignment horizontal="center" vertical="center"/>
    </xf>
    <xf numFmtId="0" fontId="46" fillId="107" borderId="27" pivotButton="0" quotePrefix="0" xfId="0"/>
    <xf numFmtId="0" fontId="46" fillId="107" borderId="27" applyAlignment="1" pivotButton="0" quotePrefix="0" xfId="0">
      <alignment wrapText="1"/>
    </xf>
    <xf numFmtId="0" fontId="46" fillId="107" borderId="27" applyAlignment="1" pivotButton="0" quotePrefix="0" xfId="0">
      <alignment horizontal="center" wrapText="1"/>
    </xf>
    <xf numFmtId="0" fontId="44" fillId="109" borderId="26" applyAlignment="1" pivotButton="0" quotePrefix="0" xfId="0">
      <alignment horizontal="left" vertical="top" wrapText="1"/>
    </xf>
    <xf numFmtId="0" fontId="47" fillId="108" borderId="26" applyAlignment="1" pivotButton="0" quotePrefix="0" xfId="0">
      <alignment horizontal="left" vertical="top" wrapText="1"/>
    </xf>
    <xf numFmtId="0" fontId="47" fillId="108" borderId="26" applyAlignment="1" pivotButton="0" quotePrefix="0" xfId="0">
      <alignment horizontal="center" vertical="center"/>
    </xf>
    <xf numFmtId="0" fontId="47" fillId="109" borderId="26" applyAlignment="1" pivotButton="0" quotePrefix="0" xfId="0">
      <alignment horizontal="center" vertical="center"/>
    </xf>
    <xf numFmtId="0" fontId="47" fillId="109" borderId="26" applyAlignment="1" pivotButton="0" quotePrefix="0" xfId="0">
      <alignment horizontal="right" vertical="center"/>
    </xf>
    <xf numFmtId="164" fontId="47" fillId="108" borderId="26" applyAlignment="1" pivotButton="0" quotePrefix="0" xfId="0">
      <alignment horizontal="left" vertical="top" wrapText="1"/>
    </xf>
    <xf numFmtId="164" fontId="47"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164" fontId="47" fillId="109" borderId="26" applyAlignment="1" pivotButton="0" quotePrefix="0" xfId="0">
      <alignment horizontal="center" vertical="center"/>
    </xf>
    <xf numFmtId="0" fontId="44" fillId="109" borderId="26" applyAlignment="1" pivotButton="0" quotePrefix="0" xfId="0">
      <alignment horizontal="right" vertical="center"/>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0" fontId="46" fillId="110" borderId="27" applyAlignment="1" pivotButton="0" quotePrefix="0" xfId="0">
      <alignment horizontal="center" vertical="center" wrapText="1"/>
    </xf>
    <xf numFmtId="0" fontId="44" fillId="111" borderId="26" applyAlignment="1" pivotButton="0" quotePrefix="0" xfId="0">
      <alignment horizontal="left" vertical="top" wrapText="1"/>
    </xf>
    <xf numFmtId="0" fontId="44" fillId="111" borderId="26" applyAlignment="1" pivotButton="0" quotePrefix="0" xfId="0">
      <alignment horizontal="center" vertical="center"/>
    </xf>
    <xf numFmtId="0" fontId="44" fillId="111" borderId="26" applyAlignment="1" pivotButton="0" quotePrefix="0" xfId="0">
      <alignment horizontal="center" vertical="center" wrapText="1"/>
    </xf>
    <xf numFmtId="0" fontId="54" fillId="111" borderId="26" applyAlignment="1" pivotButton="0" quotePrefix="0" xfId="0">
      <alignment horizontal="left" vertical="top" wrapText="1"/>
    </xf>
    <xf numFmtId="0" fontId="54" fillId="111" borderId="26" applyAlignment="1" pivotButton="0" quotePrefix="0" xfId="0">
      <alignment horizontal="center" vertical="center"/>
    </xf>
    <xf numFmtId="0" fontId="54" fillId="111" borderId="26" applyAlignment="1" pivotButton="0" quotePrefix="0" xfId="0">
      <alignment horizontal="center" vertical="center" wrapText="1"/>
    </xf>
    <xf numFmtId="0" fontId="54" fillId="111" borderId="27" applyAlignment="1" pivotButton="0" quotePrefix="0" xfId="0">
      <alignment horizontal="left" vertical="top" wrapText="1"/>
    </xf>
    <xf numFmtId="0" fontId="54" fillId="111" borderId="27" applyAlignment="1" pivotButton="0" quotePrefix="0" xfId="0">
      <alignment horizontal="center" vertical="center"/>
    </xf>
    <xf numFmtId="0" fontId="54" fillId="111" borderId="27" applyAlignment="1" pivotButton="0" quotePrefix="0" xfId="0">
      <alignment horizontal="center" vertical="center" wrapText="1"/>
    </xf>
    <xf numFmtId="0" fontId="54" fillId="111" borderId="27" applyAlignment="1" pivotButton="0" quotePrefix="0" xfId="0">
      <alignment horizontal="left"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1" borderId="26" applyAlignment="1" pivotButton="0" quotePrefix="0" xfId="0">
      <alignment horizontal="left" vertical="top" wrapText="1"/>
    </xf>
    <xf numFmtId="164" fontId="47" fillId="111" borderId="26" applyAlignment="1" pivotButton="0" quotePrefix="0" xfId="0">
      <alignment horizontal="left" vertical="top" wrapText="1"/>
    </xf>
    <xf numFmtId="164" fontId="47" fillId="111" borderId="26" applyAlignment="1" pivotButton="0" quotePrefix="0" xfId="0">
      <alignment horizontal="right" vertical="center"/>
    </xf>
    <xf numFmtId="0" fontId="47" fillId="111" borderId="26" applyAlignment="1" pivotButton="0" quotePrefix="0" xfId="0">
      <alignment horizontal="center" vertical="center"/>
    </xf>
    <xf numFmtId="164" fontId="47" fillId="111" borderId="26" applyAlignment="1" pivotButton="0" quotePrefix="0" xfId="0">
      <alignment horizontal="right" vertical="center" wrapText="1"/>
    </xf>
    <xf numFmtId="164" fontId="54" fillId="111" borderId="26" applyAlignment="1" pivotButton="0" quotePrefix="0" xfId="0">
      <alignment horizontal="left" vertical="top" wrapText="1"/>
    </xf>
    <xf numFmtId="164" fontId="54" fillId="111" borderId="26" applyAlignment="1" pivotButton="0" quotePrefix="0" xfId="0">
      <alignment horizontal="right" vertical="center"/>
    </xf>
    <xf numFmtId="164" fontId="54" fillId="111" borderId="26" applyAlignment="1" pivotButton="0" quotePrefix="0" xfId="0">
      <alignment horizontal="right" vertical="center" wrapText="1"/>
    </xf>
    <xf numFmtId="164" fontId="54" fillId="111" borderId="27" applyAlignment="1" pivotButton="0" quotePrefix="0" xfId="0">
      <alignment horizontal="left" vertical="top" wrapText="1"/>
    </xf>
    <xf numFmtId="164" fontId="54" fillId="111" borderId="27" applyAlignment="1" pivotButton="0" quotePrefix="0" xfId="0">
      <alignment horizontal="right" vertical="center"/>
    </xf>
    <xf numFmtId="164" fontId="54" fillId="111" borderId="27" applyAlignment="1" pivotButton="0" quotePrefix="0" xfId="0">
      <alignment horizontal="right" vertical="center" wrapText="1"/>
    </xf>
    <xf numFmtId="164" fontId="54" fillId="111" borderId="27" applyAlignment="1" pivotButton="0" quotePrefix="0" xfId="0">
      <alignment horizontal="left" vertical="center" wrapText="1"/>
    </xf>
    <xf numFmtId="0" fontId="54" fillId="112" borderId="27" applyAlignment="1" pivotButton="0" quotePrefix="0" xfId="0">
      <alignment horizontal="left" vertical="center" wrapText="1"/>
    </xf>
    <xf numFmtId="0" fontId="47" fillId="112" borderId="27" applyAlignment="1" pivotButton="0" quotePrefix="0" xfId="0">
      <alignment horizontal="left" vertical="center" wrapText="1"/>
    </xf>
    <xf numFmtId="164" fontId="54" fillId="112" borderId="27" applyAlignment="1" pivotButton="0" quotePrefix="0" xfId="0">
      <alignment horizontal="left" vertical="center" wrapText="1"/>
    </xf>
    <xf numFmtId="164" fontId="47" fillId="112" borderId="27" applyAlignment="1" pivotButton="0" quotePrefix="0" xfId="0">
      <alignment horizontal="left" vertical="center" wrapText="1"/>
    </xf>
    <xf numFmtId="164" fontId="54" fillId="112" borderId="27" applyAlignment="1" pivotButton="0" quotePrefix="0" xfId="0">
      <alignment horizontal="right" vertical="center" wrapText="1"/>
    </xf>
    <xf numFmtId="164" fontId="47" fillId="112" borderId="27" applyAlignment="1" pivotButton="0" quotePrefix="0" xfId="0">
      <alignment horizontal="right" vertical="center" wrapText="1"/>
    </xf>
    <xf numFmtId="0" fontId="54" fillId="112" borderId="27" applyAlignment="1" pivotButton="0" quotePrefix="0" xfId="0">
      <alignment horizontal="center" vertical="center" wrapText="1"/>
    </xf>
    <xf numFmtId="0" fontId="47" fillId="112" borderId="27" applyAlignment="1" pivotButton="0" quotePrefix="0" xfId="0">
      <alignment horizontal="center" vertical="center" wrapText="1"/>
    </xf>
    <xf numFmtId="164" fontId="47" fillId="112" borderId="27" applyAlignment="1" pivotButton="0" quotePrefix="0" xfId="0">
      <alignment horizontal="center" vertical="center" wrapText="1"/>
    </xf>
    <xf numFmtId="0" fontId="44" fillId="111" borderId="26" applyAlignment="1" pivotButton="0" quotePrefix="0" xfId="0">
      <alignment horizontal="right" vertical="center" wrapText="1"/>
    </xf>
    <xf numFmtId="0" fontId="54" fillId="111" borderId="26" applyAlignment="1" pivotButton="0" quotePrefix="0" xfId="0">
      <alignment horizontal="right" vertical="center" wrapText="1"/>
    </xf>
    <xf numFmtId="0" fontId="54" fillId="111" borderId="27" applyAlignment="1" pivotButton="0" quotePrefix="0" xfId="0">
      <alignment horizontal="right" vertical="center" wrapText="1"/>
    </xf>
    <xf numFmtId="0" fontId="0" fillId="110" borderId="0" pivotButton="0" quotePrefix="0" xfId="0"/>
    <xf numFmtId="0" fontId="6" fillId="110" borderId="0" pivotButton="0" quotePrefix="0" xfId="0"/>
    <xf numFmtId="0" fontId="6" fillId="110" borderId="27" pivotButton="0" quotePrefix="0" xfId="0"/>
    <xf numFmtId="0" fontId="6" fillId="110" borderId="27" applyAlignment="1" pivotButton="0" quotePrefix="0" xfId="0">
      <alignment wrapText="1"/>
    </xf>
    <xf numFmtId="0" fontId="6" fillId="110" borderId="27" applyAlignment="1" pivotButton="0" quotePrefix="0" xfId="0">
      <alignment horizontal="center" wrapText="1"/>
    </xf>
    <xf numFmtId="0" fontId="6" fillId="110" borderId="27" applyAlignment="1" pivotButton="0" quotePrefix="0" xfId="0">
      <alignment horizontal="center" vertical="center" wrapText="1"/>
    </xf>
    <xf numFmtId="0" fontId="0" fillId="111" borderId="0" pivotButton="0" quotePrefix="0" xfId="0"/>
    <xf numFmtId="0" fontId="47" fillId="111" borderId="26" applyAlignment="1" pivotButton="0" quotePrefix="0" xfId="0">
      <alignment horizontal="center" vertical="center" wrapText="1"/>
    </xf>
    <xf numFmtId="164" fontId="44" fillId="111" borderId="26" applyAlignment="1" pivotButton="0" quotePrefix="0" xfId="0">
      <alignment horizontal="left" vertical="top" wrapText="1"/>
    </xf>
    <xf numFmtId="164" fontId="44" fillId="111" borderId="26" applyAlignment="1" pivotButton="0" quotePrefix="0" xfId="0">
      <alignment horizontal="center" vertical="center" wrapText="1"/>
    </xf>
    <xf numFmtId="0" fontId="55" fillId="111" borderId="0" pivotButton="0" quotePrefix="0" xfId="0"/>
    <xf numFmtId="164" fontId="54" fillId="111" borderId="26" applyAlignment="1" pivotButton="0" quotePrefix="0" xfId="0">
      <alignment horizontal="center" vertical="center" wrapText="1"/>
    </xf>
    <xf numFmtId="0" fontId="55" fillId="111" borderId="27" pivotButton="0" quotePrefix="0" xfId="0"/>
    <xf numFmtId="164" fontId="54" fillId="111" borderId="27" applyAlignment="1" pivotButton="0" quotePrefix="0" xfId="0">
      <alignment horizontal="center" vertical="center" wrapText="1"/>
    </xf>
    <xf numFmtId="0" fontId="55" fillId="111" borderId="27" applyAlignment="1" pivotButton="0" quotePrefix="0" xfId="0">
      <alignment wrapText="1"/>
    </xf>
    <xf numFmtId="0" fontId="55" fillId="111" borderId="27" applyAlignment="1" pivotButton="0" quotePrefix="0" xfId="0">
      <alignment vertical="center" wrapText="1"/>
    </xf>
    <xf numFmtId="0" fontId="55" fillId="112" borderId="27" applyAlignment="1" pivotButton="0" quotePrefix="0" xfId="0">
      <alignment vertical="center" wrapText="1"/>
    </xf>
    <xf numFmtId="0" fontId="53" fillId="112" borderId="27" applyAlignment="1" pivotButton="0" quotePrefix="0" xfId="0">
      <alignment vertical="center" wrapText="1"/>
    </xf>
    <xf numFmtId="0" fontId="53" fillId="112" borderId="27" applyAlignment="1" pivotButton="0" quotePrefix="0" xfId="0">
      <alignment horizontal="center" vertical="center" wrapText="1"/>
    </xf>
    <xf numFmtId="0" fontId="55" fillId="111" borderId="27" applyAlignment="1" pivotButton="0" quotePrefix="0" xfId="0">
      <alignment horizontal="center" vertical="center" wrapText="1"/>
    </xf>
    <xf numFmtId="164" fontId="47" fillId="111" borderId="26" applyAlignment="1" pivotButton="0" quotePrefix="0" xfId="0">
      <alignment horizontal="center" vertical="center" wrapText="1"/>
    </xf>
    <xf numFmtId="164" fontId="54" fillId="112" borderId="27" applyAlignment="1" pivotButton="0" quotePrefix="0" xfId="0">
      <alignment horizontal="center" vertical="center" wrapText="1"/>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right"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right"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right"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right"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0" fillId="0" borderId="0" applyAlignment="1" pivotButton="0" quotePrefix="0" xfId="0">
      <alignment horizontal="center" vertical="center"/>
    </xf>
    <xf numFmtId="164" fontId="48" fillId="98" borderId="26" applyAlignment="1" pivotButton="0" quotePrefix="0" xfId="0">
      <alignment horizontal="center" vertical="center" wrapText="1"/>
    </xf>
    <xf numFmtId="164" fontId="41" fillId="91" borderId="28" applyAlignment="1" pivotButton="0" quotePrefix="0" xfId="0">
      <alignment horizontal="center" vertical="center" wrapText="1"/>
    </xf>
    <xf numFmtId="164" fontId="4" fillId="7" borderId="1" applyAlignment="1" pivotButton="0" quotePrefix="0" xfId="0">
      <alignment horizontal="center" vertical="center" wrapText="1"/>
    </xf>
    <xf numFmtId="164" fontId="43" fillId="97" borderId="26" applyAlignment="1" pivotButton="0" quotePrefix="0" xfId="0">
      <alignment horizontal="center" vertical="center" wrapText="1"/>
    </xf>
    <xf numFmtId="0" fontId="0" fillId="0" borderId="0" applyAlignment="1" pivotButton="0" quotePrefix="0" xfId="0">
      <alignment horizontal="center"/>
    </xf>
    <xf numFmtId="0" fontId="44" fillId="55" borderId="26" applyAlignment="1" pivotButton="0" quotePrefix="0" xfId="0">
      <alignment horizontal="center" vertical="center" wrapText="1"/>
    </xf>
    <xf numFmtId="0" fontId="4" fillId="0" borderId="1" applyAlignment="1" pivotButton="0" quotePrefix="0" xfId="0">
      <alignment horizontal="center" vertical="center" wrapText="1"/>
    </xf>
    <xf numFmtId="0" fontId="43"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4" fillId="95" borderId="26" applyAlignment="1" pivotButton="0" quotePrefix="0" xfId="0">
      <alignment horizontal="center" vertical="center"/>
    </xf>
    <xf numFmtId="0" fontId="44" fillId="55" borderId="26" applyAlignment="1" pivotButton="0" quotePrefix="0" xfId="0">
      <alignment horizontal="right" vertical="center"/>
    </xf>
    <xf numFmtId="0" fontId="44" fillId="98" borderId="26" applyAlignment="1" pivotButton="0" quotePrefix="0" xfId="0">
      <alignment horizontal="left" vertical="center" wrapText="1"/>
    </xf>
    <xf numFmtId="0" fontId="44" fillId="98" borderId="26" applyAlignment="1" pivotButton="0" quotePrefix="0" xfId="0">
      <alignment horizontal="center" vertical="center" wrapText="1"/>
    </xf>
    <xf numFmtId="0" fontId="44" fillId="55" borderId="26" applyAlignment="1" pivotButton="0" quotePrefix="0" xfId="0">
      <alignment horizontal="center" vertical="center"/>
    </xf>
    <xf numFmtId="2" fontId="50" fillId="97" borderId="26" applyAlignment="1" pivotButton="0" quotePrefix="0" xfId="0">
      <alignment horizontal="right" vertical="center" wrapText="1"/>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2" fontId="50" fillId="97" borderId="26" applyAlignment="1" pivotButton="0" quotePrefix="0" xfId="0">
      <alignment horizontal="center"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left" vertical="center" wrapText="1"/>
    </xf>
    <xf numFmtId="164" fontId="50" fillId="97" borderId="26" applyAlignment="1" pivotButton="0" quotePrefix="0" xfId="0">
      <alignment horizontal="right" vertical="center" wrapText="1"/>
    </xf>
    <xf numFmtId="0" fontId="51" fillId="98" borderId="26" applyAlignment="1" pivotButton="0" quotePrefix="0" xfId="0">
      <alignment horizontal="center" vertical="center" wrapText="1"/>
    </xf>
    <xf numFmtId="0" fontId="0" fillId="0" borderId="36" applyAlignment="1" pivotButton="0" quotePrefix="0" xfId="0">
      <alignment horizontal="center" vertical="center"/>
    </xf>
    <xf numFmtId="164" fontId="50" fillId="97" borderId="26" applyAlignment="1" pivotButton="0" quotePrefix="0" xfId="0">
      <alignment horizontal="center" vertical="center" wrapText="1"/>
    </xf>
    <xf numFmtId="0" fontId="0" fillId="0" borderId="37" applyAlignment="1" pivotButton="0" quotePrefix="0" xfId="0">
      <alignment horizontal="center" vertical="center"/>
    </xf>
    <xf numFmtId="0" fontId="54" fillId="111" borderId="27" applyAlignment="1" pivotButton="0" quotePrefix="0" xfId="0">
      <alignment horizontal="left" vertical="center" wrapText="1"/>
    </xf>
    <xf numFmtId="0" fontId="54" fillId="111" borderId="27" applyAlignment="1" pivotButton="0" quotePrefix="0" xfId="0">
      <alignment horizontal="center" vertical="center" wrapText="1"/>
    </xf>
    <xf numFmtId="0" fontId="54" fillId="111" borderId="27" applyAlignment="1" pivotButton="0" quotePrefix="0" xfId="0">
      <alignment horizontal="right" vertical="center" wrapText="1"/>
    </xf>
    <xf numFmtId="0" fontId="55" fillId="111" borderId="27" applyAlignment="1" pivotButton="0" quotePrefix="0" xfId="0">
      <alignment vertical="center" wrapText="1"/>
    </xf>
    <xf numFmtId="0" fontId="55" fillId="111" borderId="27" applyAlignment="1" pivotButton="0" quotePrefix="0" xfId="0">
      <alignment horizontal="center" vertical="center" wrapText="1"/>
    </xf>
    <xf numFmtId="164" fontId="54" fillId="111" borderId="27" applyAlignment="1" pivotButton="0" quotePrefix="0" xfId="0">
      <alignment horizontal="center" vertical="center" wrapText="1"/>
    </xf>
    <xf numFmtId="164" fontId="54" fillId="111" borderId="27" applyAlignment="1" pivotButton="0" quotePrefix="0" xfId="0">
      <alignment horizontal="left" vertical="center" wrapText="1"/>
    </xf>
    <xf numFmtId="164" fontId="54" fillId="111" borderId="27" applyAlignment="1" pivotButton="0" quotePrefix="0" xfId="0">
      <alignment horizontal="right" vertical="center" wrapText="1"/>
    </xf>
    <xf numFmtId="0" fontId="0" fillId="0" borderId="0" applyAlignment="1" pivotButton="0" quotePrefix="0" xfId="0">
      <alignment horizontal="left" vertical="center"/>
    </xf>
    <xf numFmtId="0" fontId="46" fillId="113" borderId="27" applyAlignment="1" pivotButton="0" quotePrefix="0" xfId="0">
      <alignment horizontal="center" vertical="center" wrapText="1"/>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4" borderId="27" applyAlignment="1" pivotButton="0" quotePrefix="0" xfId="0">
      <alignment horizontal="left" vertical="center" wrapText="1"/>
    </xf>
    <xf numFmtId="164" fontId="47" fillId="114" borderId="27" applyAlignment="1" pivotButton="0" quotePrefix="0" xfId="0">
      <alignment horizontal="left" vertical="center" wrapText="1"/>
    </xf>
    <xf numFmtId="164" fontId="47" fillId="114" borderId="27" applyAlignment="1" pivotButton="0" quotePrefix="0" xfId="0">
      <alignment horizontal="right" vertical="center" wrapText="1"/>
    </xf>
    <xf numFmtId="0" fontId="47" fillId="114" borderId="27" applyAlignment="1" pivotButton="0" quotePrefix="0" xfId="0">
      <alignment horizontal="center" vertical="center" wrapText="1"/>
    </xf>
    <xf numFmtId="164" fontId="47"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164" fontId="54" fillId="114" borderId="27" applyAlignment="1" pivotButton="0" quotePrefix="0" xfId="0">
      <alignment horizontal="right" vertical="center" wrapText="1"/>
    </xf>
    <xf numFmtId="164" fontId="54" fillId="114" borderId="27" applyAlignment="1" pivotButton="0" quotePrefix="0" xfId="0">
      <alignment horizontal="center" vertical="center" wrapText="1"/>
    </xf>
    <xf numFmtId="0" fontId="54" fillId="115" borderId="27" applyAlignment="1" pivotButton="0" quotePrefix="0" xfId="0">
      <alignment horizontal="left" vertical="center" wrapText="1"/>
    </xf>
    <xf numFmtId="0" fontId="47" fillId="115" borderId="27" applyAlignment="1" pivotButton="0" quotePrefix="0" xfId="0">
      <alignment horizontal="left" vertical="center" wrapText="1"/>
    </xf>
    <xf numFmtId="164" fontId="54" fillId="115" borderId="27" applyAlignment="1" pivotButton="0" quotePrefix="0" xfId="0">
      <alignment horizontal="left" vertical="center" wrapText="1"/>
    </xf>
    <xf numFmtId="164" fontId="47" fillId="115" borderId="27" applyAlignment="1" pivotButton="0" quotePrefix="0" xfId="0">
      <alignment horizontal="left" vertical="center" wrapText="1"/>
    </xf>
    <xf numFmtId="164" fontId="47" fillId="115" borderId="27" applyAlignment="1" pivotButton="0" quotePrefix="0" xfId="0">
      <alignment horizontal="center" vertical="center" wrapText="1"/>
    </xf>
    <xf numFmtId="0" fontId="47" fillId="115" borderId="27" applyAlignment="1" pivotButton="0" quotePrefix="0" xfId="0">
      <alignment horizontal="center" vertical="center" wrapText="1"/>
    </xf>
    <xf numFmtId="0" fontId="54" fillId="114" borderId="27" applyAlignment="1" pivotButton="0" quotePrefix="0" xfId="0">
      <alignment horizontal="right" vertical="center" wrapText="1"/>
    </xf>
    <xf numFmtId="0" fontId="0" fillId="113" borderId="0" pivotButton="0" quotePrefix="0" xfId="0"/>
    <xf numFmtId="0" fontId="6" fillId="113" borderId="0" pivotButton="0" quotePrefix="0" xfId="0"/>
    <xf numFmtId="0" fontId="6" fillId="113" borderId="27" pivotButton="0" quotePrefix="0" xfId="0"/>
    <xf numFmtId="0" fontId="6" fillId="113" borderId="27" applyAlignment="1" pivotButton="0" quotePrefix="0" xfId="0">
      <alignment wrapText="1"/>
    </xf>
    <xf numFmtId="0" fontId="6" fillId="113" borderId="27" applyAlignment="1" pivotButton="0" quotePrefix="0" xfId="0">
      <alignment horizontal="center" wrapText="1"/>
    </xf>
    <xf numFmtId="0" fontId="6" fillId="113" borderId="27" applyAlignment="1" pivotButton="0" quotePrefix="0" xfId="0">
      <alignment horizontal="center" vertical="center" wrapText="1"/>
    </xf>
    <xf numFmtId="0" fontId="0" fillId="114" borderId="0" pivotButton="0" quotePrefix="0" xfId="0"/>
    <xf numFmtId="0" fontId="55" fillId="114" borderId="0" pivotButton="0" quotePrefix="0" xfId="0"/>
    <xf numFmtId="0" fontId="55" fillId="114" borderId="27" pivotButton="0" quotePrefix="0" xfId="0"/>
    <xf numFmtId="0" fontId="55" fillId="114" borderId="27" applyAlignment="1" pivotButton="0" quotePrefix="0" xfId="0">
      <alignment wrapText="1"/>
    </xf>
    <xf numFmtId="0" fontId="55" fillId="114" borderId="27" applyAlignment="1" pivotButton="0" quotePrefix="0" xfId="0">
      <alignment horizontal="left" wrapText="1"/>
    </xf>
    <xf numFmtId="0" fontId="55" fillId="114" borderId="27" applyAlignment="1" pivotButton="0" quotePrefix="0" xfId="0">
      <alignment horizontal="left" vertical="center" wrapText="1"/>
    </xf>
    <xf numFmtId="0" fontId="55" fillId="115" borderId="27" applyAlignment="1" pivotButton="0" quotePrefix="0" xfId="0">
      <alignment horizontal="left" vertical="center" wrapText="1"/>
    </xf>
    <xf numFmtId="0" fontId="53" fillId="115" borderId="27" applyAlignment="1" pivotButton="0" quotePrefix="0" xfId="0">
      <alignment horizontal="left" vertical="center" wrapText="1"/>
    </xf>
    <xf numFmtId="0" fontId="53" fillId="115" borderId="27" applyAlignment="1" pivotButton="0" quotePrefix="0" xfId="0">
      <alignment horizontal="center" vertical="center" wrapText="1"/>
    </xf>
    <xf numFmtId="0" fontId="55" fillId="114" borderId="27" applyAlignment="1" pivotButton="0" quotePrefix="0" xfId="0">
      <alignment horizontal="center" vertical="center" wrapText="1"/>
    </xf>
    <xf numFmtId="0" fontId="53" fillId="114"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5" borderId="0" pivotButton="0" quotePrefix="0" xfId="0"/>
    <xf numFmtId="0" fontId="53" fillId="115" borderId="0" pivotButton="0" quotePrefix="0" xfId="0"/>
    <xf numFmtId="0" fontId="53" fillId="115" borderId="27" pivotButton="0" quotePrefix="0" xfId="0"/>
    <xf numFmtId="0" fontId="53" fillId="115" borderId="27" applyAlignment="1" pivotButton="0" quotePrefix="0" xfId="0">
      <alignment wrapText="1"/>
    </xf>
    <xf numFmtId="0" fontId="53" fillId="115"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0" fillId="0" borderId="0" applyAlignment="1" pivotButton="0" quotePrefix="0" xfId="0">
      <alignment horizontal="center"/>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55" fillId="114" borderId="27" applyAlignment="1" pivotButton="0" quotePrefix="0" xfId="0">
      <alignment horizontal="left" vertical="center" wrapText="1"/>
    </xf>
    <xf numFmtId="0" fontId="55" fillId="114" borderId="27" applyAlignment="1" pivotButton="0" quotePrefix="0" xfId="0">
      <alignment horizontal="center" vertical="center" wrapText="1"/>
    </xf>
    <xf numFmtId="164" fontId="54"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0" fontId="46" fillId="116" borderId="27" applyAlignment="1" pivotButton="0" quotePrefix="0" xfId="0">
      <alignment horizontal="center"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7" borderId="27" applyAlignment="1" pivotButton="0" quotePrefix="0" xfId="0">
      <alignment horizontal="left" vertical="center" wrapText="1"/>
    </xf>
    <xf numFmtId="164" fontId="47" fillId="117" borderId="27" applyAlignment="1" pivotButton="0" quotePrefix="0" xfId="0">
      <alignment horizontal="left" vertical="center" wrapText="1"/>
    </xf>
    <xf numFmtId="164" fontId="47" fillId="117" borderId="27" applyAlignment="1" pivotButton="0" quotePrefix="0" xfId="0">
      <alignment horizontal="center" vertical="center" wrapText="1"/>
    </xf>
    <xf numFmtId="0" fontId="47"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164" fontId="54" fillId="117" borderId="27" applyAlignment="1" pivotButton="0" quotePrefix="0" xfId="0">
      <alignment horizontal="center" vertical="center" wrapText="1"/>
    </xf>
    <xf numFmtId="0" fontId="54" fillId="118" borderId="27" applyAlignment="1" pivotButton="0" quotePrefix="0" xfId="0">
      <alignment horizontal="left" vertical="center" wrapText="1"/>
    </xf>
    <xf numFmtId="0" fontId="47" fillId="118" borderId="27" applyAlignment="1" pivotButton="0" quotePrefix="0" xfId="0">
      <alignment horizontal="left" vertical="center" wrapText="1"/>
    </xf>
    <xf numFmtId="164" fontId="54" fillId="118" borderId="27" applyAlignment="1" pivotButton="0" quotePrefix="0" xfId="0">
      <alignment horizontal="left" vertical="center" wrapText="1"/>
    </xf>
    <xf numFmtId="164" fontId="47" fillId="118" borderId="27" applyAlignment="1" pivotButton="0" quotePrefix="0" xfId="0">
      <alignment horizontal="left" vertical="center" wrapText="1"/>
    </xf>
    <xf numFmtId="164" fontId="47" fillId="118" borderId="27" applyAlignment="1" pivotButton="0" quotePrefix="0" xfId="0">
      <alignment horizontal="center" vertical="center" wrapText="1"/>
    </xf>
    <xf numFmtId="0" fontId="47" fillId="118" borderId="27" applyAlignment="1" pivotButton="0" quotePrefix="0" xfId="0">
      <alignment horizontal="center" vertical="center" wrapText="1"/>
    </xf>
    <xf numFmtId="0" fontId="0" fillId="116" borderId="0" pivotButton="0" quotePrefix="0" xfId="0"/>
    <xf numFmtId="0" fontId="6" fillId="116" borderId="0" pivotButton="0" quotePrefix="0" xfId="0"/>
    <xf numFmtId="0" fontId="6" fillId="116" borderId="27" pivotButton="0" quotePrefix="0" xfId="0"/>
    <xf numFmtId="0" fontId="6" fillId="116" borderId="27" applyAlignment="1" pivotButton="0" quotePrefix="0" xfId="0">
      <alignment wrapText="1"/>
    </xf>
    <xf numFmtId="0" fontId="6" fillId="116" borderId="27" applyAlignment="1" pivotButton="0" quotePrefix="0" xfId="0">
      <alignment horizontal="center" wrapText="1"/>
    </xf>
    <xf numFmtId="0" fontId="6" fillId="116" borderId="27" applyAlignment="1" pivotButton="0" quotePrefix="0" xfId="0">
      <alignment horizontal="center" vertical="center" wrapText="1"/>
    </xf>
    <xf numFmtId="0" fontId="0" fillId="117" borderId="0" pivotButton="0" quotePrefix="0" xfId="0"/>
    <xf numFmtId="0" fontId="55" fillId="117" borderId="0" pivotButton="0" quotePrefix="0" xfId="0"/>
    <xf numFmtId="0" fontId="55" fillId="117" borderId="27" pivotButton="0" quotePrefix="0" xfId="0"/>
    <xf numFmtId="0" fontId="55" fillId="117" borderId="27" applyAlignment="1" pivotButton="0" quotePrefix="0" xfId="0">
      <alignment wrapText="1"/>
    </xf>
    <xf numFmtId="0" fontId="55" fillId="117" borderId="27" applyAlignment="1" pivotButton="0" quotePrefix="0" xfId="0">
      <alignment horizontal="left" wrapText="1"/>
    </xf>
    <xf numFmtId="0" fontId="55" fillId="117" borderId="27" applyAlignment="1" pivotButton="0" quotePrefix="0" xfId="0">
      <alignment horizontal="left" vertical="center" wrapText="1"/>
    </xf>
    <xf numFmtId="0" fontId="55" fillId="118" borderId="27" applyAlignment="1" pivotButton="0" quotePrefix="0" xfId="0">
      <alignment horizontal="left" vertical="center" wrapText="1"/>
    </xf>
    <xf numFmtId="0" fontId="53" fillId="118" borderId="27" applyAlignment="1" pivotButton="0" quotePrefix="0" xfId="0">
      <alignment horizontal="left" vertical="center" wrapText="1"/>
    </xf>
    <xf numFmtId="0" fontId="53" fillId="118" borderId="27" applyAlignment="1" pivotButton="0" quotePrefix="0" xfId="0">
      <alignment horizontal="center" vertical="center" wrapText="1"/>
    </xf>
    <xf numFmtId="0" fontId="55" fillId="117" borderId="27" applyAlignment="1" pivotButton="0" quotePrefix="0" xfId="0">
      <alignment horizontal="center" vertical="center" wrapText="1"/>
    </xf>
    <xf numFmtId="0" fontId="53" fillId="117"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8" borderId="0" pivotButton="0" quotePrefix="0" xfId="0"/>
    <xf numFmtId="0" fontId="53" fillId="118" borderId="0" pivotButton="0" quotePrefix="0" xfId="0"/>
    <xf numFmtId="0" fontId="53" fillId="118" borderId="27" pivotButton="0" quotePrefix="0" xfId="0"/>
    <xf numFmtId="0" fontId="53" fillId="118" borderId="27" applyAlignment="1" pivotButton="0" quotePrefix="0" xfId="0">
      <alignment wrapText="1"/>
    </xf>
    <xf numFmtId="0" fontId="53" fillId="118"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39" fillId="91" borderId="21" applyAlignment="1" pivotButton="0" quotePrefix="0" xfId="0">
      <alignment horizontal="left" vertical="center" wrapText="1"/>
    </xf>
    <xf numFmtId="0" fontId="40" fillId="0" borderId="0" applyAlignment="1" pivotButton="0" quotePrefix="0" xfId="0">
      <alignment vertical="center" wrapText="1"/>
    </xf>
    <xf numFmtId="0" fontId="40" fillId="0" borderId="0" applyAlignment="1" pivotButton="0" quotePrefix="0" xfId="0">
      <alignment vertical="center"/>
    </xf>
    <xf numFmtId="0" fontId="41" fillId="93" borderId="23" applyAlignment="1" pivotButton="0" quotePrefix="0" xfId="0">
      <alignment horizontal="left" vertical="center" wrapText="1"/>
    </xf>
    <xf numFmtId="0" fontId="0" fillId="0" borderId="24" applyAlignment="1" pivotButton="0" quotePrefix="0" xfId="0">
      <alignment vertical="center"/>
    </xf>
    <xf numFmtId="0" fontId="0" fillId="0" borderId="25" applyAlignment="1" pivotButton="0" quotePrefix="0" xfId="0">
      <alignment vertical="center"/>
    </xf>
    <xf numFmtId="0" fontId="45" fillId="95" borderId="26" applyAlignment="1" pivotButton="0" quotePrefix="0" xfId="0">
      <alignment horizontal="center" vertical="center" wrapText="1"/>
    </xf>
    <xf numFmtId="0" fontId="0" fillId="0" borderId="32" applyAlignment="1" pivotButton="0" quotePrefix="0" xfId="0">
      <alignment vertical="center"/>
    </xf>
    <xf numFmtId="0" fontId="0" fillId="0" borderId="33" applyAlignment="1" pivotButton="0" quotePrefix="0" xfId="0">
      <alignment vertical="center"/>
    </xf>
    <xf numFmtId="0" fontId="45" fillId="95" borderId="26" applyAlignment="1" pivotButton="0" quotePrefix="0" xfId="0">
      <alignment horizontal="left" vertical="center" wrapText="1"/>
    </xf>
    <xf numFmtId="0" fontId="44" fillId="97" borderId="26"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0" fillId="0" borderId="0" pivotButton="0" quotePrefix="0" xfId="0"/>
    <xf numFmtId="0" fontId="0" fillId="119" borderId="0" pivotButton="0" quotePrefix="0" xfId="0"/>
    <xf numFmtId="0" fontId="6" fillId="119" borderId="0" pivotButton="0" quotePrefix="0" xfId="0"/>
    <xf numFmtId="0" fontId="6" fillId="119" borderId="0" applyAlignment="1" pivotButton="0" quotePrefix="0" xfId="0">
      <alignment horizontal="left"/>
    </xf>
    <xf numFmtId="0" fontId="6" fillId="119" borderId="0" applyAlignment="1" pivotButton="0" quotePrefix="0" xfId="0">
      <alignment horizontal="left" vertical="center"/>
    </xf>
    <xf numFmtId="0" fontId="0" fillId="120" borderId="0" pivotButton="0" quotePrefix="0" xfId="0"/>
    <xf numFmtId="0" fontId="8" fillId="120" borderId="0" pivotButton="0" quotePrefix="0" xfId="0"/>
    <xf numFmtId="0" fontId="8" fillId="120" borderId="0" applyAlignment="1" pivotButton="0" quotePrefix="0" xfId="0">
      <alignment horizontal="left"/>
    </xf>
    <xf numFmtId="0" fontId="8" fillId="120" borderId="0" applyAlignment="1" pivotButton="0" quotePrefix="0" xfId="0">
      <alignment horizontal="left" vertical="center"/>
    </xf>
    <xf numFmtId="0" fontId="0" fillId="121" borderId="0" pivotButton="0" quotePrefix="0" xfId="0"/>
    <xf numFmtId="0" fontId="8" fillId="121" borderId="0" pivotButton="0" quotePrefix="0" xfId="0"/>
    <xf numFmtId="0" fontId="8" fillId="121" borderId="0" applyAlignment="1" pivotButton="0" quotePrefix="0" xfId="0">
      <alignment horizontal="left"/>
    </xf>
    <xf numFmtId="0" fontId="8" fillId="121" borderId="0" applyAlignment="1" pivotButton="0" quotePrefix="0" xfId="0">
      <alignment horizontal="left" vertical="center"/>
    </xf>
    <xf numFmtId="0" fontId="6" fillId="119" borderId="38" applyAlignment="1" pivotButton="0" quotePrefix="0" xfId="0">
      <alignment horizontal="left" vertical="center"/>
    </xf>
    <xf numFmtId="0" fontId="8" fillId="120" borderId="38" applyAlignment="1" pivotButton="0" quotePrefix="0" xfId="0">
      <alignment horizontal="left" vertical="center"/>
    </xf>
    <xf numFmtId="0" fontId="8" fillId="121" borderId="38" applyAlignment="1" pivotButton="0" quotePrefix="0" xfId="0">
      <alignment horizontal="left" vertical="center"/>
    </xf>
    <xf numFmtId="0" fontId="0" fillId="0" borderId="41" pivotButton="0" quotePrefix="0" xfId="0"/>
    <xf numFmtId="0" fontId="0" fillId="0" borderId="42" pivotButton="0" quotePrefix="0" xfId="0"/>
    <xf numFmtId="0" fontId="54" fillId="117" borderId="27" applyAlignment="1" applyProtection="1" pivotButton="0" quotePrefix="0" xfId="0">
      <alignment horizontal="left" vertical="center" wrapText="1"/>
      <protection locked="0" hidden="0"/>
    </xf>
    <xf numFmtId="0" fontId="54" fillId="117" borderId="27" applyAlignment="1" applyProtection="1" pivotButton="0" quotePrefix="0" xfId="0">
      <alignment horizontal="center" vertical="center" wrapText="1"/>
      <protection locked="0" hidden="0"/>
    </xf>
    <xf numFmtId="0" fontId="55" fillId="117" borderId="27" applyAlignment="1" applyProtection="1" pivotButton="0" quotePrefix="0" xfId="0">
      <alignment horizontal="left" vertical="center" wrapText="1"/>
      <protection locked="0" hidden="0"/>
    </xf>
    <xf numFmtId="0" fontId="55"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92" borderId="22" applyAlignment="1" applyProtection="1" pivotButton="0" quotePrefix="0" xfId="0">
      <alignment horizontal="left" vertical="center" wrapText="1"/>
      <protection locked="0" hidden="0"/>
    </xf>
    <xf numFmtId="0" fontId="44" fillId="122" borderId="26" applyAlignment="1" applyProtection="1" pivotButton="0" quotePrefix="0" xfId="0">
      <alignment horizontal="left" vertical="center" wrapText="1"/>
      <protection locked="0" hidden="0"/>
    </xf>
    <xf numFmtId="0" fontId="44" fillId="122" borderId="26" applyAlignment="1" applyProtection="1" pivotButton="0" quotePrefix="0" xfId="0">
      <alignment horizontal="center" vertical="center"/>
      <protection locked="0" hidden="0"/>
    </xf>
    <xf numFmtId="0" fontId="53" fillId="122" borderId="27" applyAlignment="1" applyProtection="1" pivotButton="0" quotePrefix="0" xfId="0">
      <alignment horizontal="left" vertical="center" wrapText="1"/>
      <protection locked="0" hidden="0"/>
    </xf>
    <xf numFmtId="0" fontId="53" fillId="122" borderId="27" applyAlignment="1" applyProtection="1" pivotButton="0" quotePrefix="0" xfId="0">
      <alignment horizontal="center" vertical="center" wrapText="1"/>
      <protection locked="0" hidden="0"/>
    </xf>
    <xf numFmtId="0" fontId="38" fillId="122" borderId="22" applyAlignment="1" applyProtection="1" pivotButton="0" quotePrefix="0" xfId="0">
      <alignment horizontal="left" vertical="center" wrapText="1"/>
      <protection locked="0" hidden="0"/>
    </xf>
    <xf numFmtId="0" fontId="0" fillId="0" borderId="22" applyProtection="1" pivotButton="0" quotePrefix="0" xfId="0">
      <protection locked="0" hidden="0"/>
    </xf>
    <xf numFmtId="0" fontId="53" fillId="123" borderId="27" applyAlignment="1" applyProtection="1" pivotButton="0" quotePrefix="0" xfId="0">
      <alignment horizontal="center" vertical="center" wrapText="1"/>
      <protection locked="0" hidden="0"/>
    </xf>
    <xf numFmtId="0" fontId="54" fillId="121" borderId="27" applyAlignment="1" applyProtection="1" pivotButton="0" quotePrefix="0" xfId="0">
      <alignment horizontal="left" vertical="center" wrapText="1"/>
      <protection locked="0" hidden="0"/>
    </xf>
    <xf numFmtId="0" fontId="54" fillId="121" borderId="27" applyAlignment="1" applyProtection="1" pivotButton="0" quotePrefix="0" xfId="0">
      <alignment horizontal="center" vertical="center" wrapText="1"/>
      <protection locked="0" hidden="0"/>
    </xf>
    <xf numFmtId="0" fontId="55" fillId="121" borderId="27" applyAlignment="1" applyProtection="1" pivotButton="0" quotePrefix="0" xfId="0">
      <alignment horizontal="left" vertical="center" wrapText="1"/>
      <protection locked="0" hidden="0"/>
    </xf>
    <xf numFmtId="0" fontId="55" fillId="121" borderId="27" applyAlignment="1" applyProtection="1" pivotButton="0" quotePrefix="0" xfId="0">
      <alignment horizontal="center" vertical="center" wrapText="1"/>
      <protection locked="0" hidden="0"/>
    </xf>
  </cellXfs>
  <cellStyles count="49">
    <cellStyle name="Normal" xfId="0"/>
    <cellStyle name="Comma" xfId="1"/>
    <cellStyle name="Currency" xfId="2"/>
    <cellStyle name="Percent" xfId="3"/>
    <cellStyle name="Comma [0]" xfId="4"/>
    <cellStyle name="Currency [0]" xfId="5"/>
    <cellStyle name="Link" xfId="6"/>
    <cellStyle name="Followed Hyperlink" xfId="7"/>
    <cellStyle name="Note" xfId="8"/>
    <cellStyle name="Warning Text" xfId="9"/>
    <cellStyle name="Title" xfId="10"/>
    <cellStyle name="Explanatory Text" xfId="11"/>
    <cellStyle name="Heading 1" xfId="12"/>
    <cellStyle name="Heading 2" xfId="13"/>
    <cellStyle name="Heading 3" xfId="14"/>
    <cellStyle name="Heading 4" xfId="15"/>
    <cellStyle name="Input" xfId="16"/>
    <cellStyle name="Output" xfId="17"/>
    <cellStyle name="Calculation" xfId="18"/>
    <cellStyle name="Check Cell" xfId="19"/>
    <cellStyle name="Linked Cell" xfId="20"/>
    <cellStyle name="Total" xfId="21"/>
    <cellStyle name="Good" xfId="22"/>
    <cellStyle name="Bad" xfId="23"/>
    <cellStyle name="Neutral" xfId="24"/>
    <cellStyle name="Accent1" xfId="25"/>
    <cellStyle name="20% - Accent1" xfId="26"/>
    <cellStyle name="40% - Accent1" xfId="27"/>
    <cellStyle name="60% - Accent1" xfId="28"/>
    <cellStyle name="Accent2" xfId="29"/>
    <cellStyle name="20% - Accent2" xfId="30"/>
    <cellStyle name="40% - Accent2" xfId="31"/>
    <cellStyle name="60% - Accent2" xfId="32"/>
    <cellStyle name="Accent3" xfId="33"/>
    <cellStyle name="20% - Accent3" xfId="34"/>
    <cellStyle name="40% - Accent3" xfId="35"/>
    <cellStyle name="60% - Accent3" xfId="36"/>
    <cellStyle name="Accent4" xfId="37"/>
    <cellStyle name="20% - Accent4" xfId="38"/>
    <cellStyle name="40% - Accent4" xfId="39"/>
    <cellStyle name="60% - Accent4" xfId="40"/>
    <cellStyle name="Accent5" xfId="41"/>
    <cellStyle name="20% - Accent5" xfId="42"/>
    <cellStyle name="40% - Accent5" xfId="43"/>
    <cellStyle name="60% - Accent5" xfId="44"/>
    <cellStyle name="Accent6" xfId="45"/>
    <cellStyle name="20% - Accent6" xfId="46"/>
    <cellStyle name="40% - Accent6" xfId="47"/>
    <cellStyle name="60% - Accent6" xfId="48"/>
  </cellStyles>
  <dxfs count="40">
    <dxf>
      <font>
        <b val="1"/>
        <color rgb="FF006100"/>
      </font>
      <fill>
        <patternFill>
          <bgColor rgb="FFE2F0D9"/>
        </patternFill>
      </fill>
    </dxf>
    <dxf>
      <font>
        <b val="1"/>
        <color rgb="FF9C0006"/>
      </font>
      <fill>
        <patternFill>
          <bgColor rgb="FFFCE4D6"/>
        </patternFill>
      </fill>
    </dxf>
    <dxf>
      <fill>
        <patternFill>
          <bgColor theme="4" tint="0.79998"/>
        </patternFill>
      </fill>
    </dxf>
    <dxf>
      <fill>
        <patternFill>
          <bgColor theme="4" tint="0.79998"/>
        </patternFill>
      </fill>
    </dxf>
    <dxf>
      <font>
        <b val="1"/>
        <color theme="1"/>
      </font>
    </dxf>
    <dxf>
      <font>
        <b val="1"/>
        <color theme="1"/>
      </font>
    </dxf>
    <dxf>
      <font>
        <b val="1"/>
        <color theme="1"/>
      </font>
      <border>
        <top style="double">
          <color theme="4"/>
        </top>
      </border>
    </dxf>
    <dxf>
      <font>
        <b val="1"/>
        <color theme="0"/>
      </font>
      <fill>
        <patternFill>
          <bgColor theme="4"/>
        </patternFill>
      </fill>
    </dxf>
    <dxf>
      <font>
        <color theme="1"/>
      </font>
      <border>
        <left style="thin">
          <color theme="4"/>
        </left>
        <right style="thin">
          <color theme="4"/>
        </right>
        <top style="thin">
          <color theme="4"/>
        </top>
        <bottom style="thin">
          <color theme="4"/>
        </bottom>
      </border>
    </dxf>
    <dxf>
      <fill>
        <patternFill>
          <bgColor theme="4" tint="0.79998"/>
        </patternFill>
      </fill>
      <border>
        <bottom style="thin">
          <color theme="4" tint="0.39998"/>
        </bottom>
      </border>
    </dxf>
    <dxf>
      <font>
        <b val="1"/>
      </font>
      <fill>
        <patternFill>
          <bgColor theme="4" tint="0.79998"/>
        </patternFill>
      </fill>
      <border>
        <bottom style="thin">
          <color theme="4" tint="0.39998"/>
        </bottom>
      </border>
    </dxf>
    <dxf>
      <font>
        <color theme="1"/>
      </font>
    </dxf>
    <dxf>
      <font>
        <color theme="1"/>
      </font>
      <border>
        <bottom style="thin">
          <color theme="4" tint="0.39998"/>
        </bottom>
      </border>
    </dxf>
    <dxf>
      <font>
        <b val="1"/>
        <color theme="1"/>
      </font>
    </dxf>
    <dxf>
      <font>
        <b val="1"/>
        <color theme="1"/>
      </font>
      <border>
        <top style="thin">
          <color theme="4"/>
        </top>
        <bottom style="thin">
          <color theme="4"/>
        </bottom>
      </border>
    </dxf>
    <dxf>
      <fill>
        <patternFill>
          <bgColor theme="4" tint="0.79998"/>
        </patternFill>
      </fill>
    </dxf>
    <dxf>
      <fill>
        <patternFill>
          <bgColor theme="4" tint="0.79998"/>
        </patternFill>
      </fill>
    </dxf>
    <dxf>
      <font>
        <b val="1"/>
        <color theme="1"/>
      </font>
      <fill>
        <patternFill>
          <bgColor theme="4" tint="0.79998"/>
        </patternFill>
      </fill>
      <border>
        <top style="thin">
          <color theme="4" tint="0.39998"/>
        </top>
        <bottom style="thin">
          <color theme="4" tint="0.39998"/>
        </bottom>
      </border>
    </dxf>
    <dxf>
      <font>
        <b val="1"/>
        <color theme="1"/>
      </font>
      <fill>
        <patternFill>
          <bgColor theme="4" tint="0.79998"/>
        </patternFill>
      </fill>
      <border>
        <bottom style="thin">
          <color theme="4" tint="0.39998"/>
        </bottom>
      </border>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ill>
        <patternFill>
          <bgColor rgb="00E2F0D9"/>
        </patternFill>
      </fill>
    </dxf>
    <dxf>
      <fill>
        <patternFill>
          <bgColor rgb="00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00315F61"/>
      </font>
      <fill>
        <patternFill>
          <bgColor rgb="00E2F0D9"/>
        </patternFill>
      </fill>
    </dxf>
    <dxf>
      <font>
        <b val="1"/>
        <color rgb="009C0006"/>
      </font>
      <fill>
        <patternFill>
          <bgColor rgb="00FCE4D6"/>
        </patternFill>
      </fill>
    </dxf>
    <dxf>
      <font>
        <b val="1"/>
        <color rgb="00315F61"/>
      </font>
      <fill>
        <patternFill>
          <bgColor rgb="00E2F0D9"/>
        </patternFill>
      </fill>
    </dxf>
    <dxf>
      <font>
        <b val="1"/>
        <color rgb="009C0006"/>
      </font>
      <fill>
        <patternFill>
          <bgColor rgb="00FCE4D6"/>
        </patternFill>
      </fill>
    </dxf>
    <dxf>
      <font>
        <color rgb="009C0006"/>
      </font>
      <fill>
        <patternFill patternType="solid">
          <fgColor rgb="00FCE8E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EpicTable" displayName="EpicTable" ref="A4:F10" headerRowCount="1" totalsRowCount="0" totalsRowShown="0">
  <autoFilter ref="A4:F10"/>
  <tableColumns count="6">
    <tableColumn id="1" name="需求名称"/>
    <tableColumn id="2" name="需求类型"/>
    <tableColumn id="3" name="需求描述"/>
    <tableColumn id="4" name="涉及系统/数据"/>
    <tableColumn id="5" name="目标结果"/>
    <tableColumn id="6" name="公共约束/范围外"/>
  </tableColumns>
  <tableStyleInfo name="TableStyleMedium2" showFirstColumn="0" showLastColumn="0" showRowStripes="1" showColumnStripes="0"/>
</table>
</file>

<file path=xl/tables/table2.xml><?xml version="1.0" encoding="utf-8"?>
<table xmlns="http://schemas.openxmlformats.org/spreadsheetml/2006/main" id="2" name="FeatureTable" displayName="FeatureTable" ref="A4:G22" headerRowCount="1" totalsRowCount="0" totalsRowShown="0">
  <autoFilter ref="A4:G22"/>
  <tableColumns count="7">
    <tableColumn id="1" name="需求名称"/>
    <tableColumn id="2" name="子需求名称"/>
    <tableColumn id="3" name="场景/范围描述"/>
    <tableColumn id="4" name="涉及系统/数据"/>
    <tableColumn id="5" name="约束/NFR"/>
    <tableColumn id="6" name="来源类型"/>
    <tableColumn id="7" name="推断理由"/>
  </tableColumns>
  <tableStyleInfo name="TableStyleMedium2" showFirstColumn="0" showLastColumn="0" showRowStripes="1" showColumnStripes="0"/>
</table>
</file>

<file path=xl/tables/table3.xml><?xml version="1.0" encoding="utf-8"?>
<table xmlns="http://schemas.openxmlformats.org/spreadsheetml/2006/main" id="3" name="SOWStoryTable" displayName="SOWStoryTable" ref="A4:I27" headerRowCount="1" totalsRowCount="0" totalsRowShown="0">
  <autoFilter ref="A4:I27"/>
  <tableColumns count="9">
    <tableColumn id="1" name="需求名称">
      <calculatedColumnFormula>IF(B5="","",IFERROR(INDEX(FeatureTable[需求名称],MATCH(B5,FeatureTable[子需求名称],0)),"来源未匹配"))</calculatedColumnFormula>
    </tableColumn>
    <tableColumn id="2" name="子需求名称"/>
    <tableColumn id="3" name="故事名称"/>
    <tableColumn id="4" name="UAT适用"/>
    <tableColumn id="5" name="验收条件">
      <calculatedColumnFormula>IF(C5="","",IFERROR(_xlfn.TEXTJOIN(CHAR(10),TRUE,_xlfn._xlws.FILTER(AcceptanceCriterionTable[验收条件名称],AcceptanceCriterionTable[故事名称]=C5,"")),""))</calculatedColumnFormula>
    </tableColumn>
    <tableColumn id="6" name="任务明细">
      <calculatedColumnFormula>IF(C5="","",IFERROR(_xlfn.TEXTJOIN(CHAR(10),TRUE,_xlfn._xlws.FILTER("• "&amp;TaskTable[任务名称],TaskTable[故事名称]=C5,"")),""))</calculatedColumnFormula>
    </tableColumn>
    <tableColumn id="7" name="人天">
      <calculatedColumnFormula>IF(C5="","",CEILING(SUMIF(TaskTable[故事名称],C5,TaskTable[人天小计]),INDEX(ProjectParameterTable[值],MATCH("ROUND_STORY",ProjectParameterTable[参数代码],0))))</calculatedColumnFormula>
    </tableColumn>
    <tableColumn id="8" name="关联假设/风险名称"/>
    <tableColumn id="9" name="假设/风险状态">
      <calculatedColumnFormula>IF(H5="","",IFERROR(INDEX(AssumptionRiskTable[状态],MATCH(H5,AssumptionRiskTable[假设/风险名称],0)),"名称未匹配"))</calculatedColumnFormula>
    </tableColumn>
  </tableColumns>
  <tableStyleInfo name="TableStyleMedium2" showFirstColumn="0" showLastColumn="0" showRowStripes="1" showColumnStripes="0"/>
</table>
</file>

<file path=xl/tables/table4.xml><?xml version="1.0" encoding="utf-8"?>
<table xmlns="http://schemas.openxmlformats.org/spreadsheetml/2006/main" id="4" name="AcceptanceCriterionTable" displayName="AcceptanceCriterionTable" ref="A4:D35" headerRowCount="1" totalsRowCount="0" totalsRowShown="0">
  <autoFilter ref="A4:D35"/>
  <tableColumns count="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验收条件名称"/>
  </tableColumns>
  <tableStyleInfo name="TableStyleMedium2" showFirstColumn="0" showLastColumn="0" showRowStripes="1" showColumnStripes="0"/>
</table>
</file>

<file path=xl/tables/table5.xml><?xml version="1.0" encoding="utf-8"?>
<table xmlns="http://schemas.openxmlformats.org/spreadsheetml/2006/main" id="5" name="TaskTable" displayName="TaskTable" ref="A4:O50" headerRowCount="1" totalsRowCount="0" totalsRowShown="0">
  <tableColumns count="15">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任务名称"/>
    <tableColumn id="5" name="基础单元名称"/>
    <tableColumn id="6" name="任务族">
      <calculatedColumnFormula>IF(E5="","",IFERROR(INDEX(BaseUnitCatalogTable[任务族名称],MATCH(E5,BaseUnitCatalogTable[基础单元名称],0)),""))</calculatedColumnFormula>
    </tableColumn>
    <tableColumn id="7" name="工作模式"/>
    <tableColumn id="8" name="工作模式理由"/>
    <tableColumn id="9" name="复杂度"/>
    <tableColumn id="10" name="复杂度理由"/>
    <tableColumn id="11" name="关联现状条目"/>
    <tableColumn id="12" name="判断依据与备注"/>
    <tableColumn id="13" name="基础人天">
      <calculatedColumnFormula>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calculatedColumnFormula>
    </tableColumn>
    <tableColumn id="14" name="复杂度倍率">
      <calculatedColumnFormula>IF(OR(D5="",I5=""),"",IFERROR(INDEX(ProjectParameterTable[值],MATCH("K_COMPLEXITY_"&amp;I5,ProjectParameterTable[参数代码],0)),""))</calculatedColumnFormula>
    </tableColumn>
    <tableColumn id="15" name="人天小计">
      <calculatedColumnFormula>IF(OR(D5="",NOT(ISNUMBER(M5)),NOT(ISNUMBER(N5))),"",ROUND(M5*N5,1))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id="6" name="IntegrationTable" displayName="IntegrationTable" ref="A4:N8" headerRowCount="1" totalsRowCount="0" totalsRowShown="0">
  <tableColumns count="1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集成任务名称"/>
    <tableColumn id="5" name="来源"/>
    <tableColumn id="6" name="目标"/>
    <tableColumn id="7" name="触发条件"/>
    <tableColumn id="8" name="方向"/>
    <tableColumn id="9" name="业务目的"/>
    <tableColumn id="10" name="责任边界"/>
    <tableColumn id="11" name="工作模式">
      <calculatedColumnFormula>IF(D5="","",IFERROR(INDEX(TaskTable[工作模式],MATCH(D5,TaskTable[任务名称],0)),""))</calculatedColumnFormula>
    </tableColumn>
    <tableColumn id="12" name="复杂度">
      <calculatedColumnFormula>IF(D5="","",IFERROR(INDEX(TaskTable[复杂度],MATCH(D5,TaskTable[任务名称],0)),""))</calculatedColumnFormula>
    </tableColumn>
    <tableColumn id="13" name="支持单价">
      <calculatedColumnFormula>IF(D5="","",IF(J5="内部",INDEX(ProjectParameterTable[值],MATCH("SIT_INT_SUPPORT",ProjectParameterTable[参数代码],0)),IF(J5="外部",INDEX(ProjectParameterTable[值],MATCH("SIT_EXT_SUPPORT",ProjectParameterTable[参数代码],0)),"")))</calculatedColumnFormula>
    </tableColumn>
    <tableColumn id="14" name="SIT人天">
      <calculatedColumnFormula>IF(OR(D5="",M5=""),"",ROUND(M5*IFERROR(INDEX(TaskTable[复杂度倍率],MATCH(D5,TaskTable[任务名称],0)),0),1))</calculatedColumnFormula>
    </tableColumn>
  </tableColumns>
  <tableStyleInfo name="TableStyleMedium2" showFirstColumn="0" showLastColumn="0" showRowStripes="1" showColumnStripes="0"/>
</table>
</file>

<file path=xl/tables/table7.xml><?xml version="1.0" encoding="utf-8"?>
<table xmlns="http://schemas.openxmlformats.org/spreadsheetml/2006/main" id="7" name="AssumptionRiskTable" displayName="AssumptionRiskTable" ref="A4:F10" headerRowCount="1" totalsRowCount="0" totalsRowShown="0">
  <tableColumns count="6">
    <tableColumn id="1" name="假设/风险名称"/>
    <tableColumn id="2" name="类型"/>
    <tableColumn id="3" name="触发条件"/>
    <tableColumn id="4" name="责任边界"/>
    <tableColumn id="5" name="状态"/>
    <tableColumn id="6" name="处理方式"/>
  </tableColumns>
  <tableStyleInfo name="TableStyleMedium2" showFirstColumn="0" showLastColumn="0" showRowStripes="1" showColumnStripes="0"/>
</table>
</file>

<file path=xl/tables/table8.xml><?xml version="1.0" encoding="utf-8"?>
<table xmlns="http://schemas.openxmlformats.org/spreadsheetml/2006/main" id="8" name="ProjectSummaryTable" displayName="ProjectSummaryTable" ref="A4:F12" headerRowCount="1" totalsRowCount="0" totalsRowShown="0">
  <autoFilter ref="A4:F12"/>
  <tableColumns count="6">
    <tableColumn id="1" name="项目行"/>
    <tableColumn id="2" name="计算/分母"/>
    <tableColumn id="3" name="取整前"/>
    <tableColumn id="4" name="开发交付估算人天"/>
    <tableColumn id="5" name="口径"/>
    <tableColumn id="6" name="校验"/>
  </tableColumns>
  <tableStyleInfo name="TableStyleMedium2" showFirstColumn="0" showLastColumn="0" showRowStripes="1" showColumnStripes="0"/>
</table>
</file>

<file path=xl/tables/table9.xml><?xml version="1.0" encoding="utf-8"?>
<table xmlns="http://schemas.openxmlformats.org/spreadsheetml/2006/main" id="9" name="AsIsDetailTable" displayName="AsIsDetailTable" ref="A4:D15" headerRowCount="1">
  <autoFilter ref="A4:D15"/>
  <tableColumns count="4">
    <tableColumn id="1" name="主题名称"/>
    <tableColumn id="2" name="现状条目名称"/>
    <tableColumn id="3" name="现状描述"/>
    <tableColumn id="4" name="起点可用性"/>
  </tableColumns>
  <tableStyleInfo name="TableStyleMedium2" showFirstColumn="0" showLastColumn="0" showRowStripes="1" showColumnStripes="0"/>
</table>
</file>

<file path=xl/tables/table10.xml><?xml version="1.0" encoding="utf-8"?>
<table xmlns="http://schemas.openxmlformats.org/spreadsheetml/2006/main" id="10" name="ProjectParameterTable" displayName="ProjectParameterTable" ref="A4:F12" headerRowCount="1" totalsRowCount="0" totalsRowShown="0">
  <tableColumns count="6">
    <tableColumn id="1" name="参数代码"/>
    <tableColumn id="2" name="名称"/>
    <tableColumn id="3" name="值"/>
    <tableColumn id="4" name="单位"/>
    <tableColumn id="5" name="适用范围"/>
    <tableColumn id="6" name="验证状态/说明"/>
  </tableColumns>
  <tableStyleInfo name="TableStyleMedium2" showFirstColumn="0" showLastColumn="0" showRowStripes="1" showColumnStripes="0"/>
</table>
</file>

<file path=xl/tables/table11.xml><?xml version="1.0" encoding="utf-8"?>
<table xmlns="http://schemas.openxmlformats.org/spreadsheetml/2006/main" id="11" name="BaseUnitCatalogTable" displayName="BaseUnitCatalogTable" ref="A4:N41" headerRowCount="1" totalsRowCount="0" totalsRowShown="0">
  <tableColumns count="14">
    <tableColumn id="1" name="任务族ID"/>
    <tableColumn id="2" name="任务族名称"/>
    <tableColumn id="3" name="基础单元ID"/>
    <tableColumn id="4" name="基础单元名称"/>
    <tableColumn id="5" name="计数口径"/>
    <tableColumn id="6" name="包含内容"/>
    <tableColumn id="7" name="不包含内容"/>
    <tableColumn id="8" name="新建M档人天"/>
    <tableColumn id="9" name="调整M档人天"/>
    <tableColumn id="10" name="接入复用M档人天"/>
    <tableColumn id="11" name="S标准"/>
    <tableColumn id="12" name="M标准"/>
    <tableColumn id="13" name="L标准"/>
    <tableColumn id="14" name="X/拆分条件"/>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H51"/>
  <sheetViews>
    <sheetView showGridLines="0" workbookViewId="0">
      <selection activeCell="A1" sqref="A1"/>
    </sheetView>
  </sheetViews>
  <sheetFormatPr baseColWidth="8" defaultColWidth="9" defaultRowHeight="16.79999923706055"/>
  <cols>
    <col width="16" customWidth="1" style="1025" min="1" max="1"/>
    <col width="49" customWidth="1" style="1025" min="2" max="2"/>
    <col width="27" customWidth="1" style="1025" min="3" max="3"/>
    <col width="30" customWidth="1" style="1025" min="4" max="4"/>
    <col width="31" customWidth="1" style="1025" min="5" max="5"/>
    <col width="24" customWidth="1" style="1025" min="6" max="6"/>
    <col width="24" customWidth="1" style="1025" min="7" max="7"/>
    <col width="16" customWidth="1" style="1025" min="8" max="8"/>
  </cols>
  <sheetData>
    <row r="1" ht="31" customHeight="1" s="1025">
      <c r="A1" s="990" t="inlineStr">
        <is>
          <t>SOW估算与生成模板 v1.3</t>
        </is>
      </c>
      <c r="B1" s="635" t="n"/>
      <c r="C1" s="635" t="n"/>
      <c r="D1" s="635" t="n"/>
      <c r="E1" s="635" t="n"/>
      <c r="F1" s="635" t="n"/>
      <c r="G1" s="635" t="n"/>
      <c r="H1" s="635" t="n"/>
    </row>
    <row r="2" ht="32" customHeight="1" s="1025">
      <c r="A2" s="916" t="inlineStr">
        <is>
          <t>稳定 JSON 是业务事实源；XLSX 是参数、公式、取整和最终人天的唯一计算权威；本文件为只填充生产模板</t>
        </is>
      </c>
      <c r="B2" s="636" t="n"/>
      <c r="C2" s="636" t="n"/>
      <c r="D2" s="636" t="n"/>
      <c r="E2" s="636" t="n"/>
      <c r="F2" s="636" t="n"/>
      <c r="G2" s="636" t="n"/>
      <c r="H2" s="636" t="n"/>
    </row>
    <row r="3" ht="9" customHeight="1" s="1025">
      <c r="A3" s="991" t="n"/>
      <c r="B3" s="991" t="n"/>
      <c r="C3" s="991" t="n"/>
      <c r="D3" s="991" t="n"/>
      <c r="E3" s="991" t="n"/>
      <c r="F3" s="991" t="n"/>
      <c r="G3" s="991" t="n"/>
      <c r="H3" s="992" t="n"/>
    </row>
    <row r="4" ht="24" customHeight="1" s="1025">
      <c r="A4" s="993" t="inlineStr">
        <is>
          <t>使用顺序</t>
        </is>
      </c>
      <c r="B4" s="637" t="n"/>
      <c r="C4" s="637" t="n"/>
      <c r="D4" s="637" t="n"/>
      <c r="E4" s="637" t="n"/>
      <c r="F4" s="637" t="n"/>
      <c r="G4" s="637" t="n"/>
      <c r="H4" s="638" t="n"/>
    </row>
    <row r="5" ht="24" customHeight="1" s="1025">
      <c r="A5" s="996" t="n">
        <v>1</v>
      </c>
      <c r="B5" s="950" t="inlineStr">
        <is>
          <t>确认需求与子需求；稳定 ID 保留在 JSON，Excel 只使用唯一、非空的中文名称。</t>
        </is>
      </c>
      <c r="C5" s="639" t="n"/>
      <c r="D5" s="639" t="n"/>
      <c r="E5" s="639" t="n"/>
      <c r="F5" s="639" t="n"/>
      <c r="G5" s="639" t="n"/>
      <c r="H5" s="640" t="n"/>
    </row>
    <row r="6" ht="24" customHeight="1" s="1025">
      <c r="A6" s="996" t="n">
        <v>2</v>
      </c>
      <c r="B6" s="950" t="inlineStr">
        <is>
          <t>确认系统现状、有效起点、目标设计与范围裁决。</t>
        </is>
      </c>
      <c r="C6" s="639" t="n"/>
      <c r="D6" s="639" t="n"/>
      <c r="E6" s="639" t="n"/>
      <c r="F6" s="639" t="n"/>
      <c r="G6" s="639" t="n"/>
      <c r="H6" s="640" t="n"/>
    </row>
    <row r="7" ht="24" customHeight="1" s="1025">
      <c r="A7" s="996" t="n">
        <v>3</v>
      </c>
      <c r="B7" s="950" t="inlineStr">
        <is>
          <t>形成交付差距、故事、独立验收条件，并登记有证据支持的集成点。</t>
        </is>
      </c>
      <c r="C7" s="639" t="n"/>
      <c r="D7" s="639" t="n"/>
      <c r="E7" s="639" t="n"/>
      <c r="F7" s="639" t="n"/>
      <c r="G7" s="639" t="n"/>
      <c r="H7" s="640" t="n"/>
    </row>
    <row r="8" ht="24" customHeight="1" s="1025">
      <c r="A8" s="996" t="n">
        <v>4</v>
      </c>
      <c r="B8" s="950" t="inlineStr">
        <is>
          <t>登记假设/风险；每个故事最多选择一个足以说明其不确定性的条目。</t>
        </is>
      </c>
      <c r="C8" s="639" t="n"/>
      <c r="D8" s="639" t="n"/>
      <c r="E8" s="639" t="n"/>
      <c r="F8" s="639" t="n"/>
      <c r="G8" s="639" t="n"/>
      <c r="H8" s="640" t="n"/>
    </row>
    <row r="9" ht="24" customHeight="1" s="1025">
      <c r="A9" s="996" t="n">
        <v>5</v>
      </c>
      <c r="B9" s="950" t="inlineStr">
        <is>
          <t>按一个基础单元实例拆分一条任务；所有下拉和跨表引用均显示名称。</t>
        </is>
      </c>
      <c r="C9" s="639" t="n"/>
      <c r="D9" s="639" t="n"/>
      <c r="E9" s="639" t="n"/>
      <c r="F9" s="639" t="n"/>
      <c r="G9" s="639" t="n"/>
      <c r="H9" s="640" t="n"/>
    </row>
    <row r="10" ht="24" customHeight="1" s="1025">
      <c r="A10" s="996" t="n">
        <v>6</v>
      </c>
      <c r="B10" s="950" t="inlineStr">
        <is>
          <t>在 92-基础人天 中按基础单元名称选择；技术 ID 列仅供生成器读取并默认隐藏。</t>
        </is>
      </c>
      <c r="C10" s="639" t="n"/>
      <c r="D10" s="639" t="n"/>
      <c r="E10" s="639" t="n"/>
      <c r="F10" s="639" t="n"/>
      <c r="G10" s="639" t="n"/>
      <c r="H10" s="640" t="n"/>
    </row>
    <row r="11" ht="24" customHeight="1" s="1025">
      <c r="A11" s="996" t="n">
        <v>7</v>
      </c>
      <c r="B11" s="950" t="inlineStr">
        <is>
          <t>generate-sow 只填充表格、复制公式原型、对账并打包，不执行公式。</t>
        </is>
      </c>
      <c r="C11" s="639" t="n"/>
      <c r="D11" s="639" t="n"/>
      <c r="E11" s="639" t="n"/>
      <c r="F11" s="639" t="n"/>
      <c r="G11" s="639" t="n"/>
      <c r="H11" s="640" t="n"/>
    </row>
    <row r="12" ht="24" customHeight="1" s="1025">
      <c r="A12" s="996" t="n">
        <v>8</v>
      </c>
      <c r="B12" s="950" t="inlineStr">
        <is>
          <t>在电子表格应用中打开工作簿，由模板计算并核对项目汇总。</t>
        </is>
      </c>
      <c r="C12" s="639" t="n"/>
      <c r="D12" s="639" t="n"/>
      <c r="E12" s="639" t="n"/>
      <c r="F12" s="639" t="n"/>
      <c r="G12" s="639" t="n"/>
      <c r="H12" s="640" t="n"/>
    </row>
    <row r="13">
      <c r="A13" s="991" t="n"/>
      <c r="B13" s="991" t="n"/>
      <c r="C13" s="991" t="n"/>
      <c r="D13" s="991" t="n"/>
      <c r="E13" s="991" t="n"/>
      <c r="F13" s="991" t="n"/>
      <c r="G13" s="991" t="n"/>
      <c r="H13" s="992" t="n"/>
    </row>
    <row r="14" ht="24" customHeight="1" s="1025">
      <c r="A14" s="993" t="inlineStr">
        <is>
          <t>v1.3 计算合同</t>
        </is>
      </c>
      <c r="B14" s="637" t="n"/>
      <c r="C14" s="637" t="n"/>
      <c r="D14" s="637" t="n"/>
      <c r="E14" s="637" t="n"/>
      <c r="F14" s="637" t="n"/>
      <c r="G14" s="637" t="n"/>
      <c r="H14" s="638" t="n"/>
    </row>
    <row r="15" ht="26" customHeight="1" s="1025">
      <c r="A15" s="999" t="inlineStr">
        <is>
          <t>任务枚举</t>
        </is>
      </c>
      <c r="B15" s="950" t="inlineStr">
        <is>
          <t>基础单元：37 项；工作模式：新建/调整/接入复用；复杂度：S/M/L（X 只用于拆分或澄清）。</t>
        </is>
      </c>
      <c r="C15" s="639" t="n"/>
      <c r="D15" s="639" t="n"/>
      <c r="E15" s="639" t="n"/>
      <c r="F15" s="639" t="n"/>
      <c r="G15" s="639" t="n"/>
      <c r="H15" s="640" t="n"/>
    </row>
    <row r="16" ht="26" customHeight="1" s="1025">
      <c r="A16" s="999" t="inlineStr">
        <is>
          <t>基础人天</t>
        </is>
      </c>
      <c r="B16" s="950" t="inlineStr">
        <is>
          <t>基础单元目录直接提供新建/调整/接入复用三列 M 档人天；❌ 组合不得进入正式估算。</t>
        </is>
      </c>
      <c r="C16" s="639" t="n"/>
      <c r="D16" s="639" t="n"/>
      <c r="E16" s="639" t="n"/>
      <c r="F16" s="639" t="n"/>
      <c r="G16" s="639" t="n"/>
      <c r="H16" s="640" t="n"/>
    </row>
    <row r="17" ht="26" customHeight="1" s="1025">
      <c r="A17" s="999" t="inlineStr">
        <is>
          <t>故事人天</t>
        </is>
      </c>
      <c r="B17" s="950" t="inlineStr">
        <is>
          <t>同一故事的任务小计求和后，向上取整至 ROUND_STORY。</t>
        </is>
      </c>
      <c r="C17" s="639" t="n"/>
      <c r="D17" s="639" t="n"/>
      <c r="E17" s="639" t="n"/>
      <c r="F17" s="639" t="n"/>
      <c r="G17" s="639" t="n"/>
      <c r="H17" s="640" t="n"/>
    </row>
    <row r="18" ht="26" customHeight="1" s="1025">
      <c r="A18" s="999" t="inlineStr">
        <is>
          <t>SIT/UAT</t>
        </is>
      </c>
      <c r="B18" s="950" t="inlineStr">
        <is>
          <t>内部/外部系统对接任务触发 SIT；UAT 仅汇总显式标记为适用的故事。</t>
        </is>
      </c>
      <c r="C18" s="639" t="n"/>
      <c r="D18" s="639" t="n"/>
      <c r="E18" s="639" t="n"/>
      <c r="F18" s="639" t="n"/>
      <c r="G18" s="639" t="n"/>
      <c r="H18" s="640" t="n"/>
    </row>
    <row r="19" ht="26" customHeight="1" s="1025">
      <c r="A19" s="999" t="inlineStr">
        <is>
          <t>风险人天</t>
        </is>
      </c>
      <c r="B19" s="950" t="inlineStr">
        <is>
          <t>每个故事最多关联一个假设/风险；状态为待确认时计入该故事人天。</t>
        </is>
      </c>
      <c r="C19" s="639" t="n"/>
      <c r="D19" s="639" t="n"/>
      <c r="E19" s="639" t="n"/>
      <c r="F19" s="639" t="n"/>
      <c r="G19" s="639" t="n"/>
      <c r="H19" s="640" t="n"/>
    </row>
    <row r="20" ht="26" customHeight="1" s="1025">
      <c r="A20" s="999" t="inlineStr">
        <is>
          <t>项目总计</t>
        </is>
      </c>
      <c r="B20" s="950" t="inlineStr">
        <is>
          <t>直接开发 + SIT + UAT + 待确认风险人天；所有计算结果只存在于 XLSX。</t>
        </is>
      </c>
      <c r="C20" s="639" t="n"/>
      <c r="D20" s="639" t="n"/>
      <c r="E20" s="639" t="n"/>
      <c r="F20" s="639" t="n"/>
      <c r="G20" s="639" t="n"/>
      <c r="H20" s="640" t="n"/>
    </row>
    <row r="21">
      <c r="A21" s="991" t="n"/>
      <c r="B21" s="991" t="n"/>
      <c r="C21" s="991" t="n"/>
      <c r="D21" s="991" t="n"/>
      <c r="E21" s="991" t="n"/>
      <c r="F21" s="991" t="n"/>
      <c r="G21" s="991" t="n"/>
      <c r="H21" s="992" t="n"/>
    </row>
    <row r="22" ht="24" customHeight="1" s="1025">
      <c r="A22" s="993" t="inlineStr">
        <is>
          <t>工作表职责</t>
        </is>
      </c>
      <c r="B22" s="637" t="n"/>
      <c r="C22" s="637" t="n"/>
      <c r="D22" s="637" t="n"/>
      <c r="E22" s="637" t="n"/>
      <c r="F22" s="637" t="n"/>
      <c r="G22" s="637" t="n"/>
      <c r="H22" s="638" t="n"/>
    </row>
    <row r="23" ht="34" customHeight="1" s="1025">
      <c r="A23" s="949" t="inlineStr">
        <is>
          <t>工作表</t>
        </is>
      </c>
      <c r="B23" s="949" t="inlineStr">
        <is>
          <t>职责</t>
        </is>
      </c>
      <c r="C23" s="949" t="inlineStr">
        <is>
          <t>输入/事实</t>
        </is>
      </c>
      <c r="D23" s="949" t="inlineStr">
        <is>
          <t>公式/派生</t>
        </is>
      </c>
      <c r="E23" s="949" t="inlineStr">
        <is>
          <t>核心门禁</t>
        </is>
      </c>
      <c r="F23" s="949" t="inlineStr">
        <is>
          <t>上游</t>
        </is>
      </c>
      <c r="G23" s="949" t="inlineStr">
        <is>
          <t>下游</t>
        </is>
      </c>
      <c r="H23" s="949" t="inlineStr">
        <is>
          <t>备注</t>
        </is>
      </c>
    </row>
    <row r="24" ht="38" customHeight="1" s="1025">
      <c r="A24" s="999" t="inlineStr">
        <is>
          <t>01-需求</t>
        </is>
      </c>
      <c r="B24" s="950" t="inlineStr">
        <is>
          <t>需求投影</t>
        </is>
      </c>
      <c r="C24" s="950" t="inlineStr">
        <is>
          <t>需求</t>
        </is>
      </c>
      <c r="D24" s="950" t="inlineStr">
        <is>
          <t>无</t>
        </is>
      </c>
      <c r="E24" s="1000" t="inlineStr">
        <is>
          <t>展示名称唯一</t>
        </is>
      </c>
      <c r="F24" s="950" t="inlineStr">
        <is>
          <t>source/technical requirements</t>
        </is>
      </c>
      <c r="G24" s="950" t="inlineStr">
        <is>
          <t>02-子需求</t>
        </is>
      </c>
      <c r="H24" s="950" t="str"/>
    </row>
    <row r="25" ht="38" customHeight="1" s="1025">
      <c r="A25" s="999" t="inlineStr">
        <is>
          <t>02-子需求</t>
        </is>
      </c>
      <c r="B25" s="950" t="inlineStr">
        <is>
          <t>子需求投影</t>
        </is>
      </c>
      <c r="C25" s="950" t="inlineStr">
        <is>
          <t>子需求</t>
        </is>
      </c>
      <c r="D25" s="950" t="inlineStr">
        <is>
          <t>无</t>
        </is>
      </c>
      <c r="E25" s="1000" t="inlineStr">
        <is>
          <t>上级需求名称有效</t>
        </is>
      </c>
      <c r="F25" s="950" t="inlineStr">
        <is>
          <t>source/technical requirements</t>
        </is>
      </c>
      <c r="G25" s="950" t="inlineStr">
        <is>
          <t>SOW主表</t>
        </is>
      </c>
      <c r="H25" s="950" t="n"/>
    </row>
    <row r="26" ht="38" customHeight="1" s="1025">
      <c r="A26" s="999" t="inlineStr">
        <is>
          <t>03-SOW主表</t>
        </is>
      </c>
      <c r="B26" s="950" t="inlineStr">
        <is>
          <t>故事主视图</t>
        </is>
      </c>
      <c r="C26" s="950" t="inlineStr">
        <is>
          <t>故事 / 子需求名称 / 关联假设或风险名称</t>
        </is>
      </c>
      <c r="D26" s="950" t="inlineStr">
        <is>
          <t>需求名称 / 验收条件 / 任务 / 人天 / 假设或风险状态</t>
        </is>
      </c>
      <c r="E26" s="1000" t="inlineStr">
        <is>
          <t>每个故事只属于一个子需求</t>
        </is>
      </c>
      <c r="F26" s="950" t="inlineStr">
        <is>
          <t>delivery/estimate</t>
        </is>
      </c>
      <c r="G26" s="950" t="inlineStr">
        <is>
          <t>验收条件 / 任务 / 集成 / 假设 / 汇总</t>
        </is>
      </c>
      <c r="H26" s="950" t="n"/>
    </row>
    <row r="27" ht="38" customHeight="1" s="1025">
      <c r="A27" s="999" t="inlineStr">
        <is>
          <t>04-验收条件</t>
        </is>
      </c>
      <c r="B27" s="950" t="inlineStr">
        <is>
          <t>验收条件明细</t>
        </is>
      </c>
      <c r="C27" s="950" t="inlineStr">
        <is>
          <t>故事名称 / 验收条件名称</t>
        </is>
      </c>
      <c r="D27" s="950" t="inlineStr">
        <is>
          <t>需求名称 / 子需求名称</t>
        </is>
      </c>
      <c r="E27" s="1000" t="inlineStr">
        <is>
          <t>同一故事下验收条件完整</t>
        </is>
      </c>
      <c r="F27" s="950" t="inlineStr">
        <is>
          <t>delivery.json</t>
        </is>
      </c>
      <c r="G27" s="950" t="inlineStr">
        <is>
          <t>SOW主表</t>
        </is>
      </c>
      <c r="H27" s="950" t="str"/>
    </row>
    <row r="28" ht="38" customHeight="1" s="1025">
      <c r="A28" s="999" t="inlineStr">
        <is>
          <t>05-任务明细</t>
        </is>
      </c>
      <c r="B28" s="950" t="inlineStr">
        <is>
          <t>故事名称 / 任务名称 / 基础单元名称 / 工作模式及理由 / 复杂度及理由 / 关联现状条目 / 判断依据与备注</t>
        </is>
      </c>
      <c r="C28" s="950" t="inlineStr">
        <is>
          <t>故事名称 / 任务名称 / 基础单元名称 / 工作模式及理由 / 复杂度及理由 / 关联现状条目 / 判断依据与备注</t>
        </is>
      </c>
      <c r="D28" s="950" t="inlineStr">
        <is>
          <t>需求名称 / 子需求名称 / 任务族 / 基础人天 / 复杂度倍率 / 人天小计</t>
        </is>
      </c>
      <c r="E28" s="1000" t="inlineStr">
        <is>
          <t>一个基础单元实例一行；S/L 有理由；集成引用一对一</t>
        </is>
      </c>
      <c r="F28" s="950" t="inlineStr">
        <is>
          <t>estimate.json / 项目模板</t>
        </is>
      </c>
      <c r="G28" s="950" t="inlineStr">
        <is>
          <t>SOW主表 / SIT / 汇总</t>
        </is>
      </c>
      <c r="H28" s="950" t="n"/>
    </row>
    <row r="29" ht="38" customHeight="1" s="1025">
      <c r="A29" s="999" t="inlineStr">
        <is>
          <t>06-集成点</t>
        </is>
      </c>
      <c r="B29" s="950" t="inlineStr">
        <is>
          <t>集成点投影</t>
        </is>
      </c>
      <c r="C29" s="950" t="inlineStr">
        <is>
          <t>顶层集成点</t>
        </is>
      </c>
      <c r="D29" s="950" t="inlineStr">
        <is>
          <t>需求名称 / 子需求名称 / 故事名称 / 集成任务名称 / 工作模式 / 复杂度 / 支持单价 / SIT 人天</t>
        </is>
      </c>
      <c r="E29" s="1000" t="inlineStr">
        <is>
          <t>一行一个集成点；由集成任务触发 SIT</t>
        </is>
      </c>
      <c r="F29" s="950" t="inlineStr">
        <is>
          <t>delivery/estimate</t>
        </is>
      </c>
      <c r="G29" s="950" t="inlineStr">
        <is>
          <t>汇总</t>
        </is>
      </c>
      <c r="H29" s="950" t="str"/>
    </row>
    <row r="30" ht="38" customHeight="1" s="1025">
      <c r="A30" s="999" t="inlineStr">
        <is>
          <t>07-假设清单</t>
        </is>
      </c>
      <c r="B30" s="950" t="inlineStr">
        <is>
          <t>假设/风险引用表</t>
        </is>
      </c>
      <c r="C30" s="950" t="inlineStr">
        <is>
          <t>一行一个假设或风险</t>
        </is>
      </c>
      <c r="D30" s="950" t="inlineStr">
        <is>
          <t>无</t>
        </is>
      </c>
      <c r="E30" s="1000" t="inlineStr">
        <is>
          <t>名称唯一；由故事单选引用</t>
        </is>
      </c>
      <c r="F30" s="950" t="inlineStr">
        <is>
          <t>delivery.json</t>
        </is>
      </c>
      <c r="G30" s="950" t="inlineStr">
        <is>
          <t>SOW主表/汇总</t>
        </is>
      </c>
      <c r="H30" s="950" t="str"/>
    </row>
    <row r="31" ht="38" customHeight="1" s="1025">
      <c r="A31" s="999" t="inlineStr">
        <is>
          <t>20-项目汇总</t>
        </is>
      </c>
      <c r="B31" s="950" t="inlineStr">
        <is>
          <t>固定汇总</t>
        </is>
      </c>
      <c r="C31" s="950" t="inlineStr">
        <is>
          <t>无</t>
        </is>
      </c>
      <c r="D31" s="950" t="inlineStr">
        <is>
          <t>直接开发/SIT/UAT/风险/总计</t>
        </is>
      </c>
      <c r="E31" s="1000" t="inlineStr">
        <is>
          <t>全部校验正常</t>
        </is>
      </c>
      <c r="F31" s="950" t="inlineStr">
        <is>
          <t>全部计算表</t>
        </is>
      </c>
      <c r="G31" s="950" t="inlineStr">
        <is>
          <t>交付</t>
        </is>
      </c>
      <c r="H31" s="950" t="str"/>
    </row>
    <row r="32" ht="38" customHeight="1" s="1025">
      <c r="A32" s="999" t="inlineStr">
        <is>
          <t>90-系统现状</t>
        </is>
      </c>
      <c r="B32" s="950" t="inlineStr">
        <is>
          <t>项目起点明细</t>
        </is>
      </c>
      <c r="C32" s="950" t="inlineStr">
        <is>
          <t>主题名称 / 现状条目名称 / 现状描述 / 起点可用性</t>
        </is>
      </c>
      <c r="D32" s="950" t="inlineStr">
        <is>
          <t>无</t>
        </is>
      </c>
      <c r="E32" s="1000" t="inlineStr">
        <is>
          <t>现状条目名称唯一；主题与起点可用性取固定范围；供设计与任务共用</t>
        </is>
      </c>
      <c r="F32" s="950" t="inlineStr">
        <is>
          <t>project.json / asis.json</t>
        </is>
      </c>
      <c r="G32" s="950" t="inlineStr">
        <is>
          <t>设计 / 任务 / 人工评审</t>
        </is>
      </c>
      <c r="H32" s="950" t="str"/>
    </row>
    <row r="33" ht="38" customHeight="1" s="1025">
      <c r="A33" s="999" t="inlineStr">
        <is>
          <t>91-项目参数</t>
        </is>
      </c>
      <c r="B33" s="950" t="inlineStr">
        <is>
          <t>项目级权威参数（含复杂度系数）</t>
        </is>
      </c>
      <c r="C33" s="950" t="inlineStr">
        <is>
          <t>S/M/L 系数 / UAT / SIT / 取整</t>
        </is>
      </c>
      <c r="D33" s="950" t="inlineStr">
        <is>
          <t>无</t>
        </is>
      </c>
      <c r="E33" s="1000" t="inlineStr">
        <is>
          <t>参数代码唯一</t>
        </is>
      </c>
      <c r="F33" s="950" t="inlineStr">
        <is>
          <t>模板维护</t>
        </is>
      </c>
      <c r="G33" s="950" t="inlineStr">
        <is>
          <t>公式</t>
        </is>
      </c>
      <c r="H33" s="950" t="str"/>
    </row>
    <row r="34" ht="38" customHeight="1" s="1025">
      <c r="A34" s="999" t="inlineStr">
        <is>
          <t>92-基础人天</t>
        </is>
      </c>
      <c r="B34" s="950" t="inlineStr">
        <is>
          <t>37 项基础单元、工作边界、三模式 M 档人天与复杂度标准</t>
        </is>
      </c>
      <c r="C34" s="950" t="inlineStr">
        <is>
          <t>计数口径 / 包含与不包含 / 新建·调整·接入复用人天 / S·M·L·X 标准</t>
        </is>
      </c>
      <c r="D34" s="950" t="inlineStr">
        <is>
          <t>无</t>
        </is>
      </c>
      <c r="E34" s="1000" t="inlineStr">
        <is>
          <t>基础单元ID唯一；适用组合为正数，不适用组合为❌；规则完整</t>
        </is>
      </c>
      <c r="F34" s="950" t="inlineStr">
        <is>
          <t>模板维护</t>
        </is>
      </c>
      <c r="G34" s="950" t="inlineStr">
        <is>
          <t>任务明细</t>
        </is>
      </c>
      <c r="H34" s="950" t="str"/>
    </row>
    <row r="35" ht="68" customHeight="1" s="1025"/>
    <row r="36" ht="68" customHeight="1" s="1025"/>
    <row r="37" ht="68" customHeight="1" s="1025"/>
    <row r="38" ht="68" customHeight="1" s="1025"/>
    <row r="39" ht="68" customHeight="1" s="1025"/>
    <row r="40" ht="68" customHeight="1" s="1025"/>
    <row r="41" ht="68" customHeight="1" s="1025"/>
    <row r="42" ht="68" customHeight="1" s="1025"/>
    <row r="43">
      <c r="A43" s="1038" t="inlineStr">
        <is>
          <t>稳定输入 SHA-256</t>
        </is>
      </c>
      <c r="B43" s="1041" t="n"/>
      <c r="C43" s="1041" t="n"/>
      <c r="D43" s="1041" t="n"/>
      <c r="E43" s="1041" t="n"/>
      <c r="F43" s="1041" t="n"/>
      <c r="G43" s="1041" t="n"/>
      <c r="H43" s="1042" t="n"/>
    </row>
    <row r="44" ht="42" customHeight="1" s="1025">
      <c r="A44" s="1039" t="inlineStr">
        <is>
          <t>sourceRequirements</t>
        </is>
      </c>
      <c r="B44" s="1040" t="inlineStr">
        <is>
          <t>0d2185e21964766b07adf5925e809d63bd32cb07f9e47d4a8a0cf499d41a5de4</t>
        </is>
      </c>
      <c r="C44" s="1041" t="n"/>
      <c r="D44" s="1041" t="n"/>
      <c r="E44" s="1041" t="n"/>
      <c r="F44" s="1041" t="n"/>
      <c r="G44" s="1041" t="n"/>
      <c r="H44" s="1042" t="n"/>
    </row>
    <row r="45" ht="42" customHeight="1" s="1025">
      <c r="A45" s="1039" t="inlineStr">
        <is>
          <t>asis</t>
        </is>
      </c>
      <c r="B45" s="1040" t="inlineStr">
        <is>
          <t>e82bed56bfdeef7657145d894f813eec584179277812152eaa0b93cf36cf26ce</t>
        </is>
      </c>
      <c r="C45" s="1041" t="n"/>
      <c r="D45" s="1041" t="n"/>
      <c r="E45" s="1041" t="n"/>
      <c r="F45" s="1041" t="n"/>
      <c r="G45" s="1041" t="n"/>
      <c r="H45" s="1042" t="n"/>
    </row>
    <row r="46" ht="42" customHeight="1" s="1025">
      <c r="A46" s="1039" t="inlineStr">
        <is>
          <t>design</t>
        </is>
      </c>
      <c r="B46" s="1040" t="inlineStr">
        <is>
          <t>72412b3c186a51a55879a592e2e74bd4ad234710052502718de5ada36c94b16c</t>
        </is>
      </c>
      <c r="C46" s="1041" t="n"/>
      <c r="D46" s="1041" t="n"/>
      <c r="E46" s="1041" t="n"/>
      <c r="F46" s="1041" t="n"/>
      <c r="G46" s="1041" t="n"/>
      <c r="H46" s="1042" t="n"/>
    </row>
    <row r="47" ht="42" customHeight="1" s="1025">
      <c r="A47" s="1039" t="inlineStr">
        <is>
          <t>derivedRequirements</t>
        </is>
      </c>
      <c r="B47" s="1040" t="inlineStr">
        <is>
          <t>16d678a745213634f4b9e0b027e9b271233f60af4c91e27b25dd1b14cae002a3</t>
        </is>
      </c>
      <c r="C47" s="1041" t="n"/>
      <c r="D47" s="1041" t="n"/>
      <c r="E47" s="1041" t="n"/>
      <c r="F47" s="1041" t="n"/>
      <c r="G47" s="1041" t="n"/>
      <c r="H47" s="1042" t="n"/>
    </row>
    <row r="48" ht="42" customHeight="1" s="1025">
      <c r="A48" s="1039" t="inlineStr">
        <is>
          <t>delivery</t>
        </is>
      </c>
      <c r="B48" s="1040" t="inlineStr">
        <is>
          <t>0aeb3baff7024ba001b3206c687c3f35bb09436c579f4be4de14cd178d3271ed</t>
        </is>
      </c>
      <c r="C48" s="1041" t="n"/>
      <c r="D48" s="1041" t="n"/>
      <c r="E48" s="1041" t="n"/>
      <c r="F48" s="1041" t="n"/>
      <c r="G48" s="1041" t="n"/>
      <c r="H48" s="1042" t="n"/>
    </row>
    <row r="49" ht="42" customHeight="1" s="1025">
      <c r="A49" s="1039" t="inlineStr">
        <is>
          <t>estimate</t>
        </is>
      </c>
      <c r="B49" s="1040" t="inlineStr">
        <is>
          <t>982f42b43a059f66a9b506e20205ea14070345e493891396dc380b091381c9e6</t>
        </is>
      </c>
      <c r="C49" s="1041" t="n"/>
      <c r="D49" s="1041" t="n"/>
      <c r="E49" s="1041" t="n"/>
      <c r="F49" s="1041" t="n"/>
      <c r="G49" s="1041" t="n"/>
      <c r="H49" s="1042" t="n"/>
    </row>
    <row r="50" ht="42" customHeight="1" s="1025"/>
    <row r="51" ht="42" customHeight="1" s="1025"/>
  </sheetData>
  <mergeCells count="28">
    <mergeCell ref="B9:H9"/>
    <mergeCell ref="B49:H49"/>
    <mergeCell ref="B6:H6"/>
    <mergeCell ref="B15:H15"/>
    <mergeCell ref="A1:H1"/>
    <mergeCell ref="B51:H51"/>
    <mergeCell ref="B5:H5"/>
    <mergeCell ref="B20:H20"/>
    <mergeCell ref="B45:H45"/>
    <mergeCell ref="B50:H50"/>
    <mergeCell ref="B47:H47"/>
    <mergeCell ref="B16:H16"/>
    <mergeCell ref="B7:H7"/>
    <mergeCell ref="B46:H46"/>
    <mergeCell ref="B18:H18"/>
    <mergeCell ref="A2:H2"/>
    <mergeCell ref="B12:H12"/>
    <mergeCell ref="B48:H48"/>
    <mergeCell ref="A14:H14"/>
    <mergeCell ref="B11:H11"/>
    <mergeCell ref="A22:H22"/>
    <mergeCell ref="A4:H4"/>
    <mergeCell ref="B8:H8"/>
    <mergeCell ref="B17:H17"/>
    <mergeCell ref="A43:H43"/>
    <mergeCell ref="B44:H44"/>
    <mergeCell ref="B10:H10"/>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12" customWidth="1" style="1025" min="2" max="2"/>
    <col width="42" customWidth="1" style="1025" min="3" max="3"/>
    <col width="28" customWidth="1" style="1025" min="4" max="4"/>
    <col width="32" customWidth="1" style="1025" min="5" max="5"/>
    <col width="36" customWidth="1" style="1025" min="6" max="6"/>
    <col width="8.430000305175781" customWidth="1" style="1025" min="7" max="7"/>
  </cols>
  <sheetData>
    <row r="1" ht="31" customHeight="1" s="1025">
      <c r="A1" s="914" t="inlineStr">
        <is>
          <t>需求</t>
        </is>
      </c>
      <c r="B1" s="635" t="n"/>
      <c r="C1" s="635" t="n"/>
      <c r="D1" s="635" t="n"/>
      <c r="E1" s="635" t="n"/>
      <c r="F1" s="635" t="n"/>
    </row>
    <row r="2" ht="34" customHeight="1" s="1025">
      <c r="A2" s="916" t="inlineStr">
        <is>
          <t>每个需求使用唯一、非空的中文名称；类型使用中文选项。</t>
        </is>
      </c>
      <c r="B2" s="636" t="n"/>
      <c r="C2" s="636" t="n"/>
      <c r="D2" s="636" t="n"/>
      <c r="E2" s="636" t="n"/>
      <c r="F2" s="636" t="n"/>
    </row>
    <row r="3" ht="9" customHeight="1" s="1025">
      <c r="A3" s="918" t="n"/>
      <c r="B3" s="918" t="n"/>
      <c r="C3" s="918" t="n"/>
      <c r="D3" s="918" t="n"/>
      <c r="E3" s="918" t="n"/>
      <c r="F3" s="918" t="n"/>
    </row>
    <row r="4" ht="38" customHeight="1" s="1025">
      <c r="A4" s="911" t="inlineStr">
        <is>
          <t>需求名称</t>
        </is>
      </c>
      <c r="B4" s="911" t="inlineStr">
        <is>
          <t>需求类型</t>
        </is>
      </c>
      <c r="C4" s="911" t="inlineStr">
        <is>
          <t>需求描述</t>
        </is>
      </c>
      <c r="D4" s="911" t="inlineStr">
        <is>
          <t>涉及系统/数据</t>
        </is>
      </c>
      <c r="E4" s="911" t="inlineStr">
        <is>
          <t>目标结果</t>
        </is>
      </c>
      <c r="F4" s="911" t="inlineStr">
        <is>
          <t>公共约束/范围外</t>
        </is>
      </c>
    </row>
    <row r="5" ht="32" customHeight="1" s="1025">
      <c r="A5" s="1058" t="inlineStr">
        <is>
          <t>会员与客户管理</t>
        </is>
      </c>
      <c r="B5" s="1059" t="inlineStr">
        <is>
          <t>业务</t>
        </is>
      </c>
      <c r="C5" s="1058" t="inlineStr">
        <is>
          <t>统一会员身份、档案、等级与授权边界。</t>
        </is>
      </c>
      <c r="D5" s="1058" t="inlineStr">
        <is>
          <t>会员门户、会员主数据、授权中心 / customer_profile、member_tier</t>
        </is>
      </c>
      <c r="E5" s="1058" t="inlineStr">
        <is>
          <t>会员信息跨渠道一致，等级与授权过程可追溯</t>
        </is>
      </c>
      <c r="F5" s="1058" t="inlineStr">
        <is>
          <t>不迁移授权主数据，不改造现有授权中心</t>
        </is>
      </c>
    </row>
    <row r="6" ht="32" customHeight="1" s="1025">
      <c r="A6" s="1058" t="inlineStr">
        <is>
          <t>订单与履约</t>
        </is>
      </c>
      <c r="B6" s="1059" t="inlineStr">
        <is>
          <t>业务</t>
        </is>
      </c>
      <c r="C6" s="1058" t="inlineStr">
        <is>
          <t>统一订单受理、库存预占、状态流转与退货退款。</t>
        </is>
      </c>
      <c r="D6" s="1058" t="inlineStr">
        <is>
          <t>订单服务、ERP、支付网关 / order、inventory_reservation、refund</t>
        </is>
      </c>
      <c r="E6" s="1058" t="inlineStr">
        <is>
          <t>门店与线上订单按同一规则履约且异常可恢复</t>
        </is>
      </c>
      <c r="F6" s="1058" t="inlineStr">
        <is>
          <t>不替换 ERP 库存核算与支付清算能力</t>
        </is>
      </c>
    </row>
    <row r="7" ht="32" customHeight="1" s="1025">
      <c r="A7" s="1058" t="inlineStr">
        <is>
          <t>全渠道运营</t>
        </is>
      </c>
      <c r="B7" s="1059" t="inlineStr">
        <is>
          <t>业务</t>
        </is>
      </c>
      <c r="C7" s="1058" t="inlineStr">
        <is>
          <t>为门店、顾客和客服提供一致的订单操作与信息。</t>
        </is>
      </c>
      <c r="D7" s="1058" t="inlineStr">
        <is>
          <t>门店工作台、会员门户、消息中心 / store_order、order_timeline</t>
        </is>
      </c>
      <c r="E7" s="1058" t="inlineStr">
        <is>
          <t>门店处理效率与顾客订单可视性提升</t>
        </is>
      </c>
      <c r="F7" s="1058" t="inlineStr">
        <is>
          <t>不改造消息中心通道策略与营销触达规则</t>
        </is>
      </c>
    </row>
    <row r="8" ht="32" customHeight="1" s="1025">
      <c r="A8" s="1058" t="inlineStr">
        <is>
          <t>财务结算与经营分析</t>
        </is>
      </c>
      <c r="B8" s="1059" t="inlineStr">
        <is>
          <t>业务</t>
        </is>
      </c>
      <c r="C8" s="1058" t="inlineStr">
        <is>
          <t>建立支付、退款、发票和经营指标的日结闭环。</t>
        </is>
      </c>
      <c r="D8" s="1058" t="inlineStr">
        <is>
          <t>订单服务、支付网关、电子发票平台、财务数据集市</t>
        </is>
      </c>
      <c r="E8" s="1058" t="inlineStr">
        <is>
          <t>财务差异可定位、发票可追踪、经营指标口径一致</t>
        </is>
      </c>
      <c r="F8" s="1058" t="inlineStr">
        <is>
          <t>不改造总账系统，不包含税务筹划与历史会计调整</t>
        </is>
      </c>
    </row>
    <row r="9" ht="32" customHeight="1" s="1025">
      <c r="A9" s="1058" t="inlineStr">
        <is>
          <t>平台与服务边界</t>
        </is>
      </c>
      <c r="B9" s="1059" t="inlineStr">
        <is>
          <t>技术</t>
        </is>
      </c>
      <c r="C9" s="1058" t="inlineStr">
        <is>
          <t>明确会员、订单与生产发布所需的稳定技术边界。</t>
        </is>
      </c>
      <c r="D9" s="1058" t="inlineStr">
        <is>
          <t>会员门户、订单服务、API 网关、生产平台</t>
        </is>
      </c>
      <c r="E9" s="1058" t="inlineStr">
        <is>
          <t>服务职责清晰、发布可回滚、生产范围可签署</t>
        </is>
      </c>
      <c r="F9" s="1058" t="inlineStr">
        <is>
          <t>不替换企业级网关、Kubernetes 平台与 CI/CD 产品</t>
        </is>
      </c>
    </row>
    <row r="10" ht="32" customHeight="1" s="1025">
      <c r="A10" s="1058" t="inlineStr">
        <is>
          <t>上线与质量保障</t>
        </is>
      </c>
      <c r="B10" s="1059" t="inlineStr">
        <is>
          <t>技术</t>
        </is>
      </c>
      <c r="C10" s="1058" t="inlineStr">
        <is>
          <t>将数据迁移、监控运维、质量验证和责任边界纳入可估算交付。</t>
        </is>
      </c>
      <c r="D10" s="1058" t="inlineStr">
        <is>
          <t>迁移作业、统一监控平台、测试资产、运维知识库</t>
        </is>
      </c>
      <c r="E10" s="1058" t="inlineStr">
        <is>
          <t>上线过程可验证、可回退、可运维并可审计</t>
        </is>
      </c>
      <c r="F10" s="1058" t="inlineStr">
        <is>
          <t>不包含上线后驻场支持和旧系统退役实施</t>
        </is>
      </c>
    </row>
    <row r="11" s="1025"/>
    <row r="12" s="1025"/>
    <row r="13" s="1025"/>
    <row r="14" s="1025"/>
    <row r="15" s="1025"/>
    <row r="16" s="1025"/>
    <row r="17" s="1025"/>
    <row r="18" s="1025"/>
    <row r="19" s="1025"/>
    <row r="20" s="1025"/>
    <row r="21" s="1025"/>
    <row r="22" s="1025"/>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mergeCells count="2">
    <mergeCell ref="A2:F2"/>
    <mergeCell ref="A1:F1"/>
  </mergeCells>
  <dataValidations count="1">
    <dataValidation sqref="B5:B104" showDropDown="0" showInputMessage="0" showErrorMessage="0" allowBlank="1" type="list">
      <formula1>"业务,技术"</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28" customWidth="1" style="1025" min="2" max="2"/>
    <col width="42" customWidth="1" style="1025" min="3" max="3"/>
    <col width="28" customWidth="1" style="1025" min="4" max="4"/>
    <col width="32" customWidth="1" style="1025" min="5" max="5"/>
    <col width="14" customWidth="1" style="1025" min="6" max="6"/>
    <col width="42" customWidth="1" style="1025" min="7" max="7"/>
    <col width="8.430000305175781" customWidth="1" style="1025" min="8" max="8"/>
    <col width="8.430000305175781" customWidth="1" style="1025" min="9" max="9"/>
    <col width="18" customWidth="1" style="1025" min="10" max="10"/>
    <col width="38" customWidth="1" style="1025" min="11" max="11"/>
  </cols>
  <sheetData>
    <row r="1" ht="31" customHeight="1" s="1025">
      <c r="A1" s="914" t="inlineStr">
        <is>
          <t>子需求</t>
        </is>
      </c>
      <c r="B1" s="635" t="n"/>
      <c r="C1" s="635" t="n"/>
      <c r="D1" s="635" t="n"/>
      <c r="E1" s="635" t="n"/>
      <c r="F1" s="635" t="n"/>
      <c r="G1" s="635" t="n"/>
    </row>
    <row r="2" ht="34" customHeight="1" s="1025">
      <c r="A2" s="916" t="inlineStr">
        <is>
          <t>使用需求名称关联上级；子需求名称在项目内唯一且非空。</t>
        </is>
      </c>
      <c r="B2" s="636" t="n"/>
      <c r="C2" s="636" t="n"/>
      <c r="D2" s="636" t="n"/>
      <c r="E2" s="636" t="n"/>
      <c r="F2" s="636" t="n"/>
      <c r="G2" s="636" t="n"/>
    </row>
    <row r="3" ht="9" customHeight="1" s="1025">
      <c r="A3" s="918" t="n"/>
      <c r="B3" s="918" t="n"/>
      <c r="C3" s="918" t="n"/>
      <c r="D3" s="918" t="n"/>
      <c r="E3" s="918" t="n"/>
      <c r="F3" s="918" t="n"/>
      <c r="G3" s="918" t="n"/>
    </row>
    <row r="4" ht="38" customHeight="1" s="1025">
      <c r="A4" s="911" t="inlineStr">
        <is>
          <t>需求名称</t>
        </is>
      </c>
      <c r="B4" s="911" t="inlineStr">
        <is>
          <t>子需求名称</t>
        </is>
      </c>
      <c r="C4" s="911" t="inlineStr">
        <is>
          <t>场景/范围描述</t>
        </is>
      </c>
      <c r="D4" s="911" t="inlineStr">
        <is>
          <t>涉及系统/数据</t>
        </is>
      </c>
      <c r="E4" s="911" t="inlineStr">
        <is>
          <t>约束/NFR</t>
        </is>
      </c>
      <c r="F4" s="911" t="inlineStr">
        <is>
          <t>来源类型</t>
        </is>
      </c>
      <c r="G4" s="911" t="inlineStr">
        <is>
          <t>推断理由</t>
        </is>
      </c>
    </row>
    <row r="5" ht="34" customHeight="1" s="1025">
      <c r="A5" s="1058" t="inlineStr">
        <is>
          <t>会员与客户管理</t>
        </is>
      </c>
      <c r="B5" s="1058" t="inlineStr">
        <is>
          <t>创建并查看客户档案</t>
        </is>
      </c>
      <c r="C5" s="1058" t="inlineStr">
        <is>
          <t>用户创建或维护客户档案后，各渠道可查看授权范围内的最新信息。</t>
        </is>
      </c>
      <c r="D5" s="1058" t="inlineStr">
        <is>
          <t>会员门户、会员主数据 / customer_profile</t>
        </is>
      </c>
      <c r="E5" s="1058" t="inlineStr">
        <is>
          <t>档案查询 P95 小于 300ms；敏感字段按角色脱敏</t>
        </is>
      </c>
      <c r="F5" s="1059" t="inlineStr">
        <is>
          <t>来源输入</t>
        </is>
      </c>
      <c r="G5" s="1058" t="inlineStr"/>
    </row>
    <row r="6" ht="34" customHeight="1" s="1025">
      <c r="A6" s="1058" t="inlineStr">
        <is>
          <t>会员与客户管理</t>
        </is>
      </c>
      <c r="B6" s="1058" t="inlineStr">
        <is>
          <t>会员等级计算与版本</t>
        </is>
      </c>
      <c r="C6" s="1058" t="inlineStr">
        <is>
          <t>按有效消费额计算等级，并记录规则版本、生效日和调整原因。</t>
        </is>
      </c>
      <c r="D6" s="1058" t="inlineStr">
        <is>
          <t>会员主数据、订单服务 / member_tier_rule、member_tier_history</t>
        </is>
      </c>
      <c r="E6" s="1058" t="inlineStr">
        <is>
          <t>同一会员同一时点仅有一个生效等级</t>
        </is>
      </c>
      <c r="F6" s="1059" t="inlineStr">
        <is>
          <t>来源输入</t>
        </is>
      </c>
      <c r="G6" s="1058" t="inlineStr"/>
    </row>
    <row r="7" ht="34" customHeight="1" s="1025">
      <c r="A7" s="1058" t="inlineStr">
        <is>
          <t>会员与客户管理</t>
        </is>
      </c>
      <c r="B7" s="1058" t="inlineStr">
        <is>
          <t>会员授权与撤回复用</t>
        </is>
      </c>
      <c r="C7" s="1058" t="inlineStr">
        <is>
          <t>复用授权中心的授权、撤回与查询能力。</t>
        </is>
      </c>
      <c r="D7" s="1058" t="inlineStr">
        <is>
          <t>授权中心 / consent_record、consent_audit</t>
        </is>
      </c>
      <c r="E7" s="1058" t="inlineStr">
        <is>
          <t>渠道不复制授权主数据，查询留痕保存 36 个月</t>
        </is>
      </c>
      <c r="F7" s="1059" t="inlineStr">
        <is>
          <t>来源输入</t>
        </is>
      </c>
      <c r="G7" s="1058" t="inlineStr"/>
    </row>
    <row r="8" ht="34" customHeight="1" s="1025">
      <c r="A8" s="1058" t="inlineStr">
        <is>
          <t>订单与履约</t>
        </is>
      </c>
      <c r="B8" s="1058" t="inlineStr">
        <is>
          <t>统一订单编排与状态机</t>
        </is>
      </c>
      <c r="C8" s="1058" t="inlineStr">
        <is>
          <t>接收门店与线上订单，执行价格、权益和履约校验并驱动状态流转。</t>
        </is>
      </c>
      <c r="D8" s="1058" t="inlineStr">
        <is>
          <t>订单服务、门店工作台、会员门户 / order、order_state</t>
        </is>
      </c>
      <c r="E8" s="1058" t="inlineStr">
        <is>
          <t>订单状态变更幂等且全链路可追踪</t>
        </is>
      </c>
      <c r="F8" s="1059" t="inlineStr">
        <is>
          <t>来源输入</t>
        </is>
      </c>
      <c r="G8" s="1058" t="inlineStr"/>
    </row>
    <row r="9" ht="34" customHeight="1" s="1025">
      <c r="A9" s="1058" t="inlineStr">
        <is>
          <t>订单与履约</t>
        </is>
      </c>
      <c r="B9" s="1058" t="inlineStr">
        <is>
          <t>库存预占与释放</t>
        </is>
      </c>
      <c r="C9" s="1058" t="inlineStr">
        <is>
          <t>订单确认前通过 ERP 预占库存，取消或超时后释放。</t>
        </is>
      </c>
      <c r="D9" s="1058" t="inlineStr">
        <is>
          <t>订单服务、ERP / inventory_reservation</t>
        </is>
      </c>
      <c r="E9" s="1058" t="inlineStr">
        <is>
          <t>接口重试不得重复预占；调用超时 3 秒</t>
        </is>
      </c>
      <c r="F9" s="1059" t="inlineStr">
        <is>
          <t>来源输入</t>
        </is>
      </c>
      <c r="G9" s="1058" t="inlineStr"/>
    </row>
    <row r="10" ht="34" customHeight="1" s="1025">
      <c r="A10" s="1058" t="inlineStr">
        <is>
          <t>订单与履约</t>
        </is>
      </c>
      <c r="B10" s="1058" t="inlineStr">
        <is>
          <t>退货退款闭环</t>
        </is>
      </c>
      <c r="C10" s="1058" t="inlineStr">
        <is>
          <t>核验可退数量，生成退货单并调用支付网关退款。</t>
        </is>
      </c>
      <c r="D10" s="1058" t="inlineStr">
        <is>
          <t>门店工作台、订单服务、支付网关 / return_order、refund</t>
        </is>
      </c>
      <c r="E10" s="1058" t="inlineStr">
        <is>
          <t>退款请求幂等，支付结果与订单差异可审计</t>
        </is>
      </c>
      <c r="F10" s="1059" t="inlineStr">
        <is>
          <t>来源输入</t>
        </is>
      </c>
      <c r="G10" s="1058" t="inlineStr"/>
    </row>
    <row r="11" ht="34" customHeight="1" s="1025">
      <c r="A11" s="1058" t="inlineStr">
        <is>
          <t>全渠道运营</t>
        </is>
      </c>
      <c r="B11" s="1058" t="inlineStr">
        <is>
          <t>门店接单工作台</t>
        </is>
      </c>
      <c r="C11" s="1058" t="inlineStr">
        <is>
          <t>展示待处理订单、缺货替代与交接信息并按门店权限操作。</t>
        </is>
      </c>
      <c r="D11" s="1058" t="inlineStr">
        <is>
          <t>门店工作台、订单服务 / store_order_queue</t>
        </is>
      </c>
      <c r="E11" s="1058" t="inlineStr">
        <is>
          <t>仅授权门店可查看和操作本店订单</t>
        </is>
      </c>
      <c r="F11" s="1059" t="inlineStr">
        <is>
          <t>来源输入</t>
        </is>
      </c>
      <c r="G11" s="1058" t="inlineStr"/>
    </row>
    <row r="12" ht="34" customHeight="1" s="1025">
      <c r="A12" s="1058" t="inlineStr">
        <is>
          <t>全渠道运营</t>
        </is>
      </c>
      <c r="B12" s="1058" t="inlineStr">
        <is>
          <t>订单状态与履约轨迹</t>
        </is>
      </c>
      <c r="C12" s="1058" t="inlineStr">
        <is>
          <t>顾客和客服查看一致的状态、履约节点与异常原因。</t>
        </is>
      </c>
      <c r="D12" s="1058" t="inlineStr">
        <is>
          <t>会员门户、客服工作台、订单服务 / order_timeline</t>
        </is>
      </c>
      <c r="E12" s="1058" t="inlineStr">
        <is>
          <t>关键状态变更 60 秒内可见</t>
        </is>
      </c>
      <c r="F12" s="1059" t="inlineStr">
        <is>
          <t>来源输入</t>
        </is>
      </c>
      <c r="G12" s="1058" t="inlineStr"/>
    </row>
    <row r="13" ht="34" customHeight="1" s="1025">
      <c r="A13" s="1058" t="inlineStr">
        <is>
          <t>全渠道运营</t>
        </is>
      </c>
      <c r="B13" s="1058" t="inlineStr">
        <is>
          <t>订单节点通知复用</t>
        </is>
      </c>
      <c r="C13" s="1058" t="inlineStr">
        <is>
          <t>复用消息中心消费标准订单事件并发送通知。</t>
        </is>
      </c>
      <c r="D13" s="1058" t="inlineStr">
        <is>
          <t>消息中心、订单事件总线 / notification_event</t>
        </is>
      </c>
      <c r="E13" s="1058" t="inlineStr">
        <is>
          <t>不新增通知渠道和营销模板</t>
        </is>
      </c>
      <c r="F13" s="1059" t="inlineStr">
        <is>
          <t>来源输入</t>
        </is>
      </c>
      <c r="G13" s="1058" t="inlineStr"/>
    </row>
    <row r="14" ht="34" customHeight="1" s="1025">
      <c r="A14" s="1058" t="inlineStr">
        <is>
          <t>财务结算与经营分析</t>
        </is>
      </c>
      <c r="B14" s="1058" t="inlineStr">
        <is>
          <t>支付退款日结对账</t>
        </is>
      </c>
      <c r="C14" s="1058" t="inlineStr">
        <is>
          <t>按渠道、门店和订单核对实收、退款与手续费差异。</t>
        </is>
      </c>
      <c r="D14" s="1058" t="inlineStr">
        <is>
          <t>订单服务、支付网关、财务数据集市 / payment_reconciliation</t>
        </is>
      </c>
      <c r="E14" s="1058" t="inlineStr">
        <is>
          <t>每日 07:00 前完成前一自然日对账</t>
        </is>
      </c>
      <c r="F14" s="1059" t="inlineStr">
        <is>
          <t>来源输入</t>
        </is>
      </c>
      <c r="G14" s="1058" t="inlineStr"/>
    </row>
    <row r="15" ht="34" customHeight="1" s="1025">
      <c r="A15" s="1058" t="inlineStr">
        <is>
          <t>财务结算与经营分析</t>
        </is>
      </c>
      <c r="B15" s="1058" t="inlineStr">
        <is>
          <t>电子发票申请与状态</t>
        </is>
      </c>
      <c r="C15" s="1058" t="inlineStr">
        <is>
          <t>调用电子发票平台开票并保存号码、状态和失败原因。</t>
        </is>
      </c>
      <c r="D15" s="1058" t="inlineStr">
        <is>
          <t>订单服务、电子发票平台 / invoice_application</t>
        </is>
      </c>
      <c r="E15" s="1058" t="inlineStr">
        <is>
          <t>开票失败可重试且不得重复开票</t>
        </is>
      </c>
      <c r="F15" s="1059" t="inlineStr">
        <is>
          <t>来源输入</t>
        </is>
      </c>
      <c r="G15" s="1058" t="inlineStr"/>
    </row>
    <row r="16" ht="34" customHeight="1" s="1025">
      <c r="A16" s="1058" t="inlineStr">
        <is>
          <t>财务结算与经营分析</t>
        </is>
      </c>
      <c r="B16" s="1058" t="inlineStr">
        <is>
          <t>财务经营报表</t>
        </is>
      </c>
      <c r="C16" s="1058" t="inlineStr">
        <is>
          <t>按日、区域和渠道展示销售、退款、优惠与未对账金额。</t>
        </is>
      </c>
      <c r="D16" s="1058" t="inlineStr">
        <is>
          <t>财务数据集市 / finance_daily_metric</t>
        </is>
      </c>
      <c r="E16" s="1058" t="inlineStr">
        <is>
          <t>指标与对账规则同源，支持追溯到订单</t>
        </is>
      </c>
      <c r="F16" s="1059" t="inlineStr">
        <is>
          <t>来源输入</t>
        </is>
      </c>
      <c r="G16" s="1058" t="inlineStr"/>
    </row>
    <row r="17" ht="34" customHeight="1" s="1025">
      <c r="A17" s="1058" t="inlineStr">
        <is>
          <t>平台与服务边界</t>
        </is>
      </c>
      <c r="B17" s="1058" t="inlineStr">
        <is>
          <t>客户档案操作 API</t>
        </is>
      </c>
      <c r="C17" s="1058" t="inlineStr">
        <is>
          <t>通过稳定 API 创建、维护和检索客户档案，并隔离渠道与会员主数据。</t>
        </is>
      </c>
      <c r="D17" s="1058" t="inlineStr">
        <is>
          <t>会员门户、会员主数据 / customer-profile-api</t>
        </is>
      </c>
      <c r="E17" s="1058" t="inlineStr">
        <is>
          <t>API P95 小于 300ms；写操作使用幂等键；敏感字段按权限返回</t>
        </is>
      </c>
      <c r="F17" s="1059" t="inlineStr">
        <is>
          <t>设计派生</t>
        </is>
      </c>
      <c r="G17" s="1058" t="inlineStr">
        <is>
          <t>设计决策/Decision: 公开客户档案 API 使用专用 API 边界处理客户档案操作；产生原因/Cause: 客户档案操作 API 需要为会员门户与未来渠道提供统一操作边界；不交付影响/Non-delivery impact: 接口/API | 星云会员门户 -&gt; 无法通过统一边界创建或检索客户档案</t>
        </is>
      </c>
    </row>
    <row r="18" ht="34" customHeight="1" s="1025">
      <c r="A18" s="1058" t="inlineStr">
        <is>
          <t>平台与服务边界</t>
        </is>
      </c>
      <c r="B18" s="1058" t="inlineStr">
        <is>
          <t>生产准备、切换与验证</t>
        </is>
      </c>
      <c r="C18" s="1058" t="inlineStr">
        <is>
          <t>完成环境配置、发布清单、切换回滚和生产验证，并形成签署证据。</t>
        </is>
      </c>
      <c r="D18" s="1058" t="inlineStr">
        <is>
          <t>Kubernetes 生产环境、CI/CD、功能开关、发布清单</t>
        </is>
      </c>
      <c r="E18" s="1058" t="inlineStr">
        <is>
          <t>业务中断不超过 15 分钟；回滚路径在切换前完成演练</t>
        </is>
      </c>
      <c r="F18" s="1059" t="inlineStr">
        <is>
          <t>来源输入</t>
        </is>
      </c>
      <c r="G18" s="1058" t="inlineStr"/>
    </row>
    <row r="19" ht="34" customHeight="1" s="1025">
      <c r="A19" s="1058" t="inlineStr">
        <is>
          <t>平台与服务边界</t>
        </is>
      </c>
      <c r="B19" s="1058" t="inlineStr">
        <is>
          <t>上线后支持与旧系统退役边界</t>
        </is>
      </c>
      <c r="C19" s="1058" t="inlineStr">
        <is>
          <t>明确上线后驻场支持和旧系统退役不在本期固定范围内。</t>
        </is>
      </c>
      <c r="D19" s="1058" t="inlineStr">
        <is>
          <t>旧会员门户、旧订单查询服务</t>
        </is>
      </c>
      <c r="E19" s="1058" t="inlineStr">
        <is>
          <t>如需实施必须单独立项并重新确认基线</t>
        </is>
      </c>
      <c r="F19" s="1059" t="inlineStr">
        <is>
          <t>来源输入</t>
        </is>
      </c>
      <c r="G19" s="1058" t="inlineStr"/>
    </row>
    <row r="20" ht="34" customHeight="1" s="1025">
      <c r="A20" s="1058" t="inlineStr">
        <is>
          <t>上线与质量保障</t>
        </is>
      </c>
      <c r="B20" s="1058" t="inlineStr">
        <is>
          <t>会员与订单数据迁移</t>
        </is>
      </c>
      <c r="C20" s="1058" t="inlineStr">
        <is>
          <t>迁移会员扩展字段与两年内历史订单，执行校验、补偿与留痕。</t>
        </is>
      </c>
      <c r="D20" s="1058" t="inlineStr">
        <is>
          <t>会员主数据、订单库 / customer_profile、order、order_item</t>
        </is>
      </c>
      <c r="E20" s="1058" t="inlineStr">
        <is>
          <t>迁移前后关键字段一致率 100%，业务主键重复为 0</t>
        </is>
      </c>
      <c r="F20" s="1059" t="inlineStr">
        <is>
          <t>来源输入</t>
        </is>
      </c>
      <c r="G20" s="1058" t="inlineStr"/>
    </row>
    <row r="21" ht="34" customHeight="1" s="1025">
      <c r="A21" s="1058" t="inlineStr">
        <is>
          <t>上线与质量保障</t>
        </is>
      </c>
      <c r="B21" s="1058" t="inlineStr">
        <is>
          <t>监控、运维交接与用户赋能</t>
        </is>
      </c>
      <c r="C21" s="1058" t="inlineStr">
        <is>
          <t>建设关键指标和告警，完成运维手册、交接演练与业务用户培训。</t>
        </is>
      </c>
      <c r="D21" s="1058" t="inlineStr">
        <is>
          <t>统一监控平台、运维知识库、培训材料</t>
        </is>
      </c>
      <c r="E21" s="1058" t="inlineStr">
        <is>
          <t>核心交易告警 5 分钟内触发；交接与培训均需签到和验收记录</t>
        </is>
      </c>
      <c r="F21" s="1059" t="inlineStr">
        <is>
          <t>来源输入</t>
        </is>
      </c>
      <c r="G21" s="1058" t="inlineStr"/>
    </row>
    <row r="22" ht="34" customHeight="1" s="1025">
      <c r="A22" s="1058" t="inlineStr">
        <is>
          <t>上线与质量保障</t>
        </is>
      </c>
      <c r="B22" s="1058" t="inlineStr">
        <is>
          <t>自动化、性能与生产质量验证</t>
        </is>
      </c>
      <c r="C22" s="1058" t="inlineStr">
        <is>
          <t>调整既有测试资产，覆盖回归、性能、安全、兼容性和生产烟测。</t>
        </is>
      </c>
      <c r="D22" s="1058" t="inlineStr">
        <is>
          <t>API 自动化框架、测试用例库、负载模型、兼容矩阵</t>
        </is>
      </c>
      <c r="E22" s="1058" t="inlineStr">
        <is>
          <t>P0/P1 用例通过率 100%，核心查询峰值 500 TPS</t>
        </is>
      </c>
      <c r="F22" s="1059" t="inlineStr">
        <is>
          <t>来源输入</t>
        </is>
      </c>
      <c r="G22" s="1058" t="inlineStr"/>
    </row>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mergeCells count="2">
    <mergeCell ref="A2:G2"/>
    <mergeCell ref="A1:G1"/>
  </mergeCells>
  <dataValidations count="2">
    <dataValidation sqref="A5:A104" showDropDown="0" showInputMessage="0" showErrorMessage="0" allowBlank="1" type="list">
      <formula1>INDIRECT("'01-需求'!$A$5:$A$104")</formula1>
    </dataValidation>
    <dataValidation sqref="F5:F104" showDropDown="0" showInputMessage="0" showErrorMessage="0" allowBlank="1" type="list">
      <formula1>"来源输入,设计派生"</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11" customWidth="1" style="1025" min="4" max="4"/>
    <col width="48" customWidth="1" style="1025" min="5" max="5"/>
    <col width="48" customWidth="1" style="1025" min="6" max="6"/>
    <col width="10" customWidth="1" style="1025" min="7" max="7"/>
    <col width="34" customWidth="1" style="1025" min="8" max="8"/>
    <col width="14" customWidth="1" style="1025" min="9" max="9"/>
    <col width="8.430000305175781" customWidth="1" style="1025" min="10" max="10"/>
    <col width="8.430000305175781" customWidth="1" style="1025" min="11" max="11"/>
    <col width="8.430000305175781" customWidth="1" style="1025" min="12" max="12"/>
  </cols>
  <sheetData>
    <row r="1" ht="31" customHeight="1" s="1025">
      <c r="A1" s="914" t="inlineStr">
        <is>
          <t>SOW 主表</t>
        </is>
      </c>
      <c r="B1" s="635" t="n"/>
      <c r="C1" s="635" t="n"/>
      <c r="D1" s="635" t="n"/>
      <c r="E1" s="635" t="n"/>
      <c r="F1" s="635" t="n"/>
      <c r="G1" s="635" t="n"/>
      <c r="H1" s="635" t="n"/>
      <c r="I1" s="635" t="n"/>
    </row>
    <row r="2" ht="34" customHeight="1" s="1025">
      <c r="A2" s="916" t="inlineStr">
        <is>
          <t>使用子需求名称关联上级；每个故事最多选择一个假设/风险；验收条件、任务、人天和状态自动汇总。</t>
        </is>
      </c>
      <c r="B2" s="636" t="n"/>
      <c r="C2" s="636" t="n"/>
      <c r="D2" s="636" t="n"/>
      <c r="E2" s="636" t="n"/>
      <c r="F2" s="636" t="n"/>
      <c r="G2" s="636" t="n"/>
      <c r="H2" s="636" t="n"/>
      <c r="I2" s="636" t="n"/>
    </row>
    <row r="3" ht="9" customHeight="1" s="1025">
      <c r="A3" s="918" t="n"/>
      <c r="B3" s="918" t="n"/>
      <c r="C3" s="918" t="n"/>
      <c r="D3" s="918" t="n"/>
      <c r="E3" s="918" t="n"/>
      <c r="F3" s="918" t="n"/>
      <c r="G3" s="918" t="n"/>
      <c r="H3" s="918" t="n"/>
      <c r="I3" s="918" t="n"/>
    </row>
    <row r="4" ht="38" customHeight="1" s="1025">
      <c r="A4" s="911" t="inlineStr">
        <is>
          <t>需求名称</t>
        </is>
      </c>
      <c r="B4" s="911" t="inlineStr">
        <is>
          <t>子需求名称</t>
        </is>
      </c>
      <c r="C4" s="911" t="inlineStr">
        <is>
          <t>故事名称</t>
        </is>
      </c>
      <c r="D4" s="911" t="inlineStr">
        <is>
          <t>UAT适用</t>
        </is>
      </c>
      <c r="E4" s="911" t="inlineStr">
        <is>
          <t>验收条件</t>
        </is>
      </c>
      <c r="F4" s="911" t="inlineStr">
        <is>
          <t>任务明细</t>
        </is>
      </c>
      <c r="G4" s="911" t="inlineStr">
        <is>
          <t>人天</t>
        </is>
      </c>
      <c r="H4" s="911" t="inlineStr">
        <is>
          <t>关联假设/风险名称</t>
        </is>
      </c>
      <c r="I4" s="911" t="inlineStr">
        <is>
          <t>假设/风险状态</t>
        </is>
      </c>
    </row>
    <row r="5" ht="42" customHeight="1" s="1025">
      <c r="A5" s="926">
        <f>IF(B5="","",IFERROR(INDEX(FeatureTable[需求名称],MATCH(B5,FeatureTable[子需求名称],0)),"来源未匹配"))</f>
        <v/>
      </c>
      <c r="B5" s="1058" t="inlineStr">
        <is>
          <t>创建并查看客户档案</t>
        </is>
      </c>
      <c r="C5" s="1058" t="inlineStr">
        <is>
          <t>创建并查看客户档案</t>
        </is>
      </c>
      <c r="D5" s="1059" t="inlineStr">
        <is>
          <t>是</t>
        </is>
      </c>
      <c r="E5" s="926">
        <f>IF(C5="","",IFERROR(_xlfn.TEXTJOIN(CHAR(10),TRUE,_xlfn._xlws.FILTER(AcceptanceCriterionTable[验收条件名称],AcceptanceCriterionTable[故事名称]=C5,"")),""))</f>
        <v/>
      </c>
      <c r="F5" s="928">
        <f>IF(C5="","",IFERROR(_xlfn.TEXTJOIN(CHAR(10),TRUE,_xlfn._xlws.FILTER("• "&amp;TaskTable[任务名称],TaskTable[故事名称]=C5,"")),""))</f>
        <v/>
      </c>
      <c r="G5" s="929">
        <f>IF(C5="","",CEILING(SUMIF(TaskTable[故事名称],C5,TaskTable[人天小计]),INDEX(ProjectParameterTable[值],MATCH("ROUND_STORY",ProjectParameterTable[参数代码],0))))</f>
        <v/>
      </c>
      <c r="H5" s="1058" t="inlineStr"/>
      <c r="I5" s="930">
        <f>IF(H5="","",IFERROR(INDEX(AssumptionRiskTable[状态],MATCH(H5,AssumptionRiskTable[假设/风险名称],0)),"名称未匹配"))</f>
        <v/>
      </c>
    </row>
    <row r="6" ht="42" customHeight="1" s="1025">
      <c r="A6" s="926">
        <f>IF(B6="","",IFERROR(INDEX(FeatureTable[需求名称],MATCH(B6,FeatureTable[子需求名称],0)),"来源未匹配"))</f>
        <v/>
      </c>
      <c r="B6" s="1058" t="inlineStr">
        <is>
          <t>客户档案操作 API</t>
        </is>
      </c>
      <c r="C6" s="1058" t="inlineStr">
        <is>
          <t>提供客户档案操作</t>
        </is>
      </c>
      <c r="D6" s="1059" t="inlineStr">
        <is>
          <t>是</t>
        </is>
      </c>
      <c r="E6" s="926">
        <f>IF(C6="","",IFERROR(_xlfn.TEXTJOIN(CHAR(10),TRUE,_xlfn._xlws.FILTER(AcceptanceCriterionTable[验收条件名称],AcceptanceCriterionTable[故事名称]=C6,"")),""))</f>
        <v/>
      </c>
      <c r="F6" s="928">
        <f>IF(C6="","",IFERROR(_xlfn.TEXTJOIN(CHAR(10),TRUE,_xlfn._xlws.FILTER("• "&amp;TaskTable[任务名称],TaskTable[故事名称]=C6,"")),""))</f>
        <v/>
      </c>
      <c r="G6" s="929">
        <f>IF(C6="","",CEILING(SUMIF(TaskTable[故事名称],C6,TaskTable[人天小计]),INDEX(ProjectParameterTable[值],MATCH("ROUND_STORY",ProjectParameterTable[参数代码],0))))</f>
        <v/>
      </c>
      <c r="H6" s="1058" t="inlineStr"/>
      <c r="I6" s="930">
        <f>IF(H6="","",IFERROR(INDEX(AssumptionRiskTable[状态],MATCH(H6,AssumptionRiskTable[假设/风险名称],0)),"名称未匹配"))</f>
        <v/>
      </c>
    </row>
    <row r="7" ht="42" customHeight="1" s="1025">
      <c r="A7" s="926">
        <f>IF(B7="","",IFERROR(INDEX(FeatureTable[需求名称],MATCH(B7,FeatureTable[子需求名称],0)),"来源未匹配"))</f>
        <v/>
      </c>
      <c r="B7" s="1058" t="inlineStr">
        <is>
          <t>客户档案操作 API</t>
        </is>
      </c>
      <c r="C7" s="1058" t="inlineStr">
        <is>
          <t>集成会员主数据查询</t>
        </is>
      </c>
      <c r="D7" s="1059" t="inlineStr">
        <is>
          <t>是</t>
        </is>
      </c>
      <c r="E7" s="926">
        <f>IF(C7="","",IFERROR(_xlfn.TEXTJOIN(CHAR(10),TRUE,_xlfn._xlws.FILTER(AcceptanceCriterionTable[验收条件名称],AcceptanceCriterionTable[故事名称]=C7,"")),""))</f>
        <v/>
      </c>
      <c r="F7" s="928">
        <f>IF(C7="","",IFERROR(_xlfn.TEXTJOIN(CHAR(10),TRUE,_xlfn._xlws.FILTER("• "&amp;TaskTable[任务名称],TaskTable[故事名称]=C7,"")),""))</f>
        <v/>
      </c>
      <c r="G7" s="929">
        <f>IF(C7="","",CEILING(SUMIF(TaskTable[故事名称],C7,TaskTable[人天小计]),INDEX(ProjectParameterTable[值],MATCH("ROUND_STORY",ProjectParameterTable[参数代码],0))))</f>
        <v/>
      </c>
      <c r="H7" s="1058" t="inlineStr">
        <is>
          <t>会员主数据服务在联调期间可用</t>
        </is>
      </c>
      <c r="I7" s="930">
        <f>IF(H7="","",IFERROR(INDEX(AssumptionRiskTable[状态],MATCH(H7,AssumptionRiskTable[假设/风险名称],0)),"名称未匹配"))</f>
        <v/>
      </c>
    </row>
    <row r="8" ht="42" customHeight="1" s="1025">
      <c r="A8" s="926">
        <f>IF(B8="","",IFERROR(INDEX(FeatureTable[需求名称],MATCH(B8,FeatureTable[子需求名称],0)),"来源未匹配"))</f>
        <v/>
      </c>
      <c r="B8" s="1058" t="inlineStr">
        <is>
          <t>会员等级计算与版本</t>
        </is>
      </c>
      <c r="C8" s="1058" t="inlineStr">
        <is>
          <t>计算并追溯会员等级</t>
        </is>
      </c>
      <c r="D8" s="1059" t="inlineStr">
        <is>
          <t>是</t>
        </is>
      </c>
      <c r="E8" s="926">
        <f>IF(C8="","",IFERROR(_xlfn.TEXTJOIN(CHAR(10),TRUE,_xlfn._xlws.FILTER(AcceptanceCriterionTable[验收条件名称],AcceptanceCriterionTable[故事名称]=C8,"")),""))</f>
        <v/>
      </c>
      <c r="F8" s="928">
        <f>IF(C8="","",IFERROR(_xlfn.TEXTJOIN(CHAR(10),TRUE,_xlfn._xlws.FILTER("• "&amp;TaskTable[任务名称],TaskTable[故事名称]=C8,"")),""))</f>
        <v/>
      </c>
      <c r="G8" s="929">
        <f>IF(C8="","",CEILING(SUMIF(TaskTable[故事名称],C8,TaskTable[人天小计]),INDEX(ProjectParameterTable[值],MATCH("ROUND_STORY",ProjectParameterTable[参数代码],0))))</f>
        <v/>
      </c>
      <c r="H8" s="1058" t="inlineStr">
        <is>
          <t>会员主数据服务在联调期间可用</t>
        </is>
      </c>
      <c r="I8" s="930">
        <f>IF(H8="","",IFERROR(INDEX(AssumptionRiskTable[状态],MATCH(H8,AssumptionRiskTable[假设/风险名称],0)),"名称未匹配"))</f>
        <v/>
      </c>
    </row>
    <row r="9" ht="42" customHeight="1" s="1025">
      <c r="A9" s="926">
        <f>IF(B9="","",IFERROR(INDEX(FeatureTable[需求名称],MATCH(B9,FeatureTable[子需求名称],0)),"来源未匹配"))</f>
        <v/>
      </c>
      <c r="B9" s="1058" t="inlineStr">
        <is>
          <t>统一订单编排与状态机</t>
        </is>
      </c>
      <c r="C9" s="1058" t="inlineStr">
        <is>
          <t>统一创建全渠道订单</t>
        </is>
      </c>
      <c r="D9" s="1059" t="inlineStr">
        <is>
          <t>是</t>
        </is>
      </c>
      <c r="E9" s="926">
        <f>IF(C9="","",IFERROR(_xlfn.TEXTJOIN(CHAR(10),TRUE,_xlfn._xlws.FILTER(AcceptanceCriterionTable[验收条件名称],AcceptanceCriterionTable[故事名称]=C9,"")),""))</f>
        <v/>
      </c>
      <c r="F9" s="928">
        <f>IF(C9="","",IFERROR(_xlfn.TEXTJOIN(CHAR(10),TRUE,_xlfn._xlws.FILTER("• "&amp;TaskTable[任务名称],TaskTable[故事名称]=C9,"")),""))</f>
        <v/>
      </c>
      <c r="G9" s="929">
        <f>IF(C9="","",CEILING(SUMIF(TaskTable[故事名称],C9,TaskTable[人天小计]),INDEX(ProjectParameterTable[值],MATCH("ROUND_STORY",ProjectParameterTable[参数代码],0))))</f>
        <v/>
      </c>
      <c r="H9" s="1058" t="inlineStr"/>
      <c r="I9" s="930">
        <f>IF(H9="","",IFERROR(INDEX(AssumptionRiskTable[状态],MATCH(H9,AssumptionRiskTable[假设/风险名称],0)),"名称未匹配"))</f>
        <v/>
      </c>
    </row>
    <row r="10" ht="42" customHeight="1" s="1025">
      <c r="A10" s="926">
        <f>IF(B10="","",IFERROR(INDEX(FeatureTable[需求名称],MATCH(B10,FeatureTable[子需求名称],0)),"来源未匹配"))</f>
        <v/>
      </c>
      <c r="B10" s="1058" t="inlineStr">
        <is>
          <t>统一订单编排与状态机</t>
        </is>
      </c>
      <c r="C10" s="1058" t="inlineStr">
        <is>
          <t>驱动订单状态与事件</t>
        </is>
      </c>
      <c r="D10" s="1059" t="inlineStr">
        <is>
          <t>是</t>
        </is>
      </c>
      <c r="E10" s="926">
        <f>IF(C10="","",IFERROR(_xlfn.TEXTJOIN(CHAR(10),TRUE,_xlfn._xlws.FILTER(AcceptanceCriterionTable[验收条件名称],AcceptanceCriterionTable[故事名称]=C10,"")),""))</f>
        <v/>
      </c>
      <c r="F10" s="928">
        <f>IF(C10="","",IFERROR(_xlfn.TEXTJOIN(CHAR(10),TRUE,_xlfn._xlws.FILTER("• "&amp;TaskTable[任务名称],TaskTable[故事名称]=C10,"")),""))</f>
        <v/>
      </c>
      <c r="G10" s="929">
        <f>IF(C10="","",CEILING(SUMIF(TaskTable[故事名称],C10,TaskTable[人天小计]),INDEX(ProjectParameterTable[值],MATCH("ROUND_STORY",ProjectParameterTable[参数代码],0))))</f>
        <v/>
      </c>
      <c r="H10" s="1058" t="inlineStr"/>
      <c r="I10" s="930">
        <f>IF(H10="","",IFERROR(INDEX(AssumptionRiskTable[状态],MATCH(H10,AssumptionRiskTable[假设/风险名称],0)),"名称未匹配"))</f>
        <v/>
      </c>
    </row>
    <row r="11" ht="42" customHeight="1" s="1025">
      <c r="A11" s="926">
        <f>IF(B11="","",IFERROR(INDEX(FeatureTable[需求名称],MATCH(B11,FeatureTable[子需求名称],0)),"来源未匹配"))</f>
        <v/>
      </c>
      <c r="B11" s="1058" t="inlineStr">
        <is>
          <t>库存预占与释放</t>
        </is>
      </c>
      <c r="C11" s="1058" t="inlineStr">
        <is>
          <t>预占和释放 ERP 库存</t>
        </is>
      </c>
      <c r="D11" s="1059" t="inlineStr">
        <is>
          <t>是</t>
        </is>
      </c>
      <c r="E11" s="926">
        <f>IF(C11="","",IFERROR(_xlfn.TEXTJOIN(CHAR(10),TRUE,_xlfn._xlws.FILTER(AcceptanceCriterionTable[验收条件名称],AcceptanceCriterionTable[故事名称]=C11,"")),""))</f>
        <v/>
      </c>
      <c r="F11" s="928">
        <f>IF(C11="","",IFERROR(_xlfn.TEXTJOIN(CHAR(10),TRUE,_xlfn._xlws.FILTER("• "&amp;TaskTable[任务名称],TaskTable[故事名称]=C11,"")),""))</f>
        <v/>
      </c>
      <c r="G11" s="929">
        <f>IF(C11="","",CEILING(SUMIF(TaskTable[故事名称],C11,TaskTable[人天小计]),INDEX(ProjectParameterTable[值],MATCH("ROUND_STORY",ProjectParameterTable[参数代码],0))))</f>
        <v/>
      </c>
      <c r="H11" s="1058" t="inlineStr">
        <is>
          <t>ERP SIT 环境按工作日窗口开放</t>
        </is>
      </c>
      <c r="I11" s="930">
        <f>IF(H11="","",IFERROR(INDEX(AssumptionRiskTable[状态],MATCH(H11,AssumptionRiskTable[假设/风险名称],0)),"名称未匹配"))</f>
        <v/>
      </c>
    </row>
    <row r="12" ht="42" customHeight="1" s="1025">
      <c r="A12" s="926">
        <f>IF(B12="","",IFERROR(INDEX(FeatureTable[需求名称],MATCH(B12,FeatureTable[子需求名称],0)),"来源未匹配"))</f>
        <v/>
      </c>
      <c r="B12" s="1058" t="inlineStr">
        <is>
          <t>退货退款闭环</t>
        </is>
      </c>
      <c r="C12" s="1058" t="inlineStr">
        <is>
          <t>提交并审核退货申请</t>
        </is>
      </c>
      <c r="D12" s="1059" t="inlineStr">
        <is>
          <t>是</t>
        </is>
      </c>
      <c r="E12" s="926">
        <f>IF(C12="","",IFERROR(_xlfn.TEXTJOIN(CHAR(10),TRUE,_xlfn._xlws.FILTER(AcceptanceCriterionTable[验收条件名称],AcceptanceCriterionTable[故事名称]=C12,"")),""))</f>
        <v/>
      </c>
      <c r="F12" s="928">
        <f>IF(C12="","",IFERROR(_xlfn.TEXTJOIN(CHAR(10),TRUE,_xlfn._xlws.FILTER("• "&amp;TaskTable[任务名称],TaskTable[故事名称]=C12,"")),""))</f>
        <v/>
      </c>
      <c r="G12" s="929">
        <f>IF(C12="","",CEILING(SUMIF(TaskTable[故事名称],C12,TaskTable[人天小计]),INDEX(ProjectParameterTable[值],MATCH("ROUND_STORY",ProjectParameterTable[参数代码],0))))</f>
        <v/>
      </c>
      <c r="H12" s="1058" t="inlineStr"/>
      <c r="I12" s="930">
        <f>IF(H12="","",IFERROR(INDEX(AssumptionRiskTable[状态],MATCH(H12,AssumptionRiskTable[假设/风险名称],0)),"名称未匹配"))</f>
        <v/>
      </c>
    </row>
    <row r="13" ht="42" customHeight="1" s="1025">
      <c r="A13" s="926">
        <f>IF(B13="","",IFERROR(INDEX(FeatureTable[需求名称],MATCH(B13,FeatureTable[子需求名称],0)),"来源未匹配"))</f>
        <v/>
      </c>
      <c r="B13" s="1058" t="inlineStr">
        <is>
          <t>退货退款闭环</t>
        </is>
      </c>
      <c r="C13" s="1058" t="inlineStr">
        <is>
          <t>发起退款并回写结果</t>
        </is>
      </c>
      <c r="D13" s="1059" t="inlineStr">
        <is>
          <t>是</t>
        </is>
      </c>
      <c r="E13" s="926">
        <f>IF(C13="","",IFERROR(_xlfn.TEXTJOIN(CHAR(10),TRUE,_xlfn._xlws.FILTER(AcceptanceCriterionTable[验收条件名称],AcceptanceCriterionTable[故事名称]=C13,"")),""))</f>
        <v/>
      </c>
      <c r="F13" s="928">
        <f>IF(C13="","",IFERROR(_xlfn.TEXTJOIN(CHAR(10),TRUE,_xlfn._xlws.FILTER("• "&amp;TaskTable[任务名称],TaskTable[故事名称]=C13,"")),""))</f>
        <v/>
      </c>
      <c r="G13" s="929">
        <f>IF(C13="","",CEILING(SUMIF(TaskTable[故事名称],C13,TaskTable[人天小计]),INDEX(ProjectParameterTable[值],MATCH("ROUND_STORY",ProjectParameterTable[参数代码],0))))</f>
        <v/>
      </c>
      <c r="H13" s="1058" t="inlineStr">
        <is>
          <t>支付网关退款认证可能延迟</t>
        </is>
      </c>
      <c r="I13" s="930">
        <f>IF(H13="","",IFERROR(INDEX(AssumptionRiskTable[状态],MATCH(H13,AssumptionRiskTable[假设/风险名称],0)),"名称未匹配"))</f>
        <v/>
      </c>
    </row>
    <row r="14" ht="42" customHeight="1" s="1025">
      <c r="A14" s="926">
        <f>IF(B14="","",IFERROR(INDEX(FeatureTable[需求名称],MATCH(B14,FeatureTable[子需求名称],0)),"来源未匹配"))</f>
        <v/>
      </c>
      <c r="B14" s="1058" t="inlineStr">
        <is>
          <t>门店接单工作台</t>
        </is>
      </c>
      <c r="C14" s="1058" t="inlineStr">
        <is>
          <t>门店处理订单与交接</t>
        </is>
      </c>
      <c r="D14" s="1059" t="inlineStr">
        <is>
          <t>是</t>
        </is>
      </c>
      <c r="E14" s="926">
        <f>IF(C14="","",IFERROR(_xlfn.TEXTJOIN(CHAR(10),TRUE,_xlfn._xlws.FILTER(AcceptanceCriterionTable[验收条件名称],AcceptanceCriterionTable[故事名称]=C14,"")),""))</f>
        <v/>
      </c>
      <c r="F14" s="928">
        <f>IF(C14="","",IFERROR(_xlfn.TEXTJOIN(CHAR(10),TRUE,_xlfn._xlws.FILTER("• "&amp;TaskTable[任务名称],TaskTable[故事名称]=C14,"")),""))</f>
        <v/>
      </c>
      <c r="G14" s="929">
        <f>IF(C14="","",CEILING(SUMIF(TaskTable[故事名称],C14,TaskTable[人天小计]),INDEX(ProjectParameterTable[值],MATCH("ROUND_STORY",ProjectParameterTable[参数代码],0))))</f>
        <v/>
      </c>
      <c r="H14" s="1058" t="inlineStr"/>
      <c r="I14" s="930">
        <f>IF(H14="","",IFERROR(INDEX(AssumptionRiskTable[状态],MATCH(H14,AssumptionRiskTable[假设/风险名称],0)),"名称未匹配"))</f>
        <v/>
      </c>
    </row>
    <row r="15" ht="42" customHeight="1" s="1025">
      <c r="A15" s="926">
        <f>IF(B15="","",IFERROR(INDEX(FeatureTable[需求名称],MATCH(B15,FeatureTable[子需求名称],0)),"来源未匹配"))</f>
        <v/>
      </c>
      <c r="B15" s="1058" t="inlineStr">
        <is>
          <t>订单状态与履约轨迹</t>
        </is>
      </c>
      <c r="C15" s="1058" t="inlineStr">
        <is>
          <t>查看统一履约轨迹</t>
        </is>
      </c>
      <c r="D15" s="1059" t="inlineStr">
        <is>
          <t>是</t>
        </is>
      </c>
      <c r="E15" s="926">
        <f>IF(C15="","",IFERROR(_xlfn.TEXTJOIN(CHAR(10),TRUE,_xlfn._xlws.FILTER(AcceptanceCriterionTable[验收条件名称],AcceptanceCriterionTable[故事名称]=C15,"")),""))</f>
        <v/>
      </c>
      <c r="F15" s="928">
        <f>IF(C15="","",IFERROR(_xlfn.TEXTJOIN(CHAR(10),TRUE,_xlfn._xlws.FILTER("• "&amp;TaskTable[任务名称],TaskTable[故事名称]=C15,"")),""))</f>
        <v/>
      </c>
      <c r="G15" s="929">
        <f>IF(C15="","",CEILING(SUMIF(TaskTable[故事名称],C15,TaskTable[人天小计]),INDEX(ProjectParameterTable[值],MATCH("ROUND_STORY",ProjectParameterTable[参数代码],0))))</f>
        <v/>
      </c>
      <c r="H15" s="1058" t="inlineStr"/>
      <c r="I15" s="930">
        <f>IF(H15="","",IFERROR(INDEX(AssumptionRiskTable[状态],MATCH(H15,AssumptionRiskTable[假设/风险名称],0)),"名称未匹配"))</f>
        <v/>
      </c>
    </row>
    <row r="16" ht="42" customHeight="1" s="1025">
      <c r="A16" s="926">
        <f>IF(B16="","",IFERROR(INDEX(FeatureTable[需求名称],MATCH(B16,FeatureTable[子需求名称],0)),"来源未匹配"))</f>
        <v/>
      </c>
      <c r="B16" s="1058" t="inlineStr">
        <is>
          <t>支付退款日结对账</t>
        </is>
      </c>
      <c r="C16" s="1058" t="inlineStr">
        <is>
          <t>执行支付退款日结对账</t>
        </is>
      </c>
      <c r="D16" s="1059" t="inlineStr">
        <is>
          <t>是</t>
        </is>
      </c>
      <c r="E16" s="926">
        <f>IF(C16="","",IFERROR(_xlfn.TEXTJOIN(CHAR(10),TRUE,_xlfn._xlws.FILTER(AcceptanceCriterionTable[验收条件名称],AcceptanceCriterionTable[故事名称]=C16,"")),""))</f>
        <v/>
      </c>
      <c r="F16" s="928">
        <f>IF(C16="","",IFERROR(_xlfn.TEXTJOIN(CHAR(10),TRUE,_xlfn._xlws.FILTER("• "&amp;TaskTable[任务名称],TaskTable[故事名称]=C16,"")),""))</f>
        <v/>
      </c>
      <c r="G16" s="929">
        <f>IF(C16="","",CEILING(SUMIF(TaskTable[故事名称],C16,TaskTable[人天小计]),INDEX(ProjectParameterTable[值],MATCH("ROUND_STORY",ProjectParameterTable[参数代码],0))))</f>
        <v/>
      </c>
      <c r="H16" s="1058" t="inlineStr"/>
      <c r="I16" s="930">
        <f>IF(H16="","",IFERROR(INDEX(AssumptionRiskTable[状态],MATCH(H16,AssumptionRiskTable[假设/风险名称],0)),"名称未匹配"))</f>
        <v/>
      </c>
    </row>
    <row r="17" ht="42" customHeight="1" s="1025">
      <c r="A17" s="926">
        <f>IF(B17="","",IFERROR(INDEX(FeatureTable[需求名称],MATCH(B17,FeatureTable[子需求名称],0)),"来源未匹配"))</f>
        <v/>
      </c>
      <c r="B17" s="1058" t="inlineStr">
        <is>
          <t>电子发票申请与状态</t>
        </is>
      </c>
      <c r="C17" s="1058" t="inlineStr">
        <is>
          <t>申请并追踪电子发票</t>
        </is>
      </c>
      <c r="D17" s="1059" t="inlineStr">
        <is>
          <t>是</t>
        </is>
      </c>
      <c r="E17" s="926">
        <f>IF(C17="","",IFERROR(_xlfn.TEXTJOIN(CHAR(10),TRUE,_xlfn._xlws.FILTER(AcceptanceCriterionTable[验收条件名称],AcceptanceCriterionTable[故事名称]=C17,"")),""))</f>
        <v/>
      </c>
      <c r="F17" s="928">
        <f>IF(C17="","",IFERROR(_xlfn.TEXTJOIN(CHAR(10),TRUE,_xlfn._xlws.FILTER("• "&amp;TaskTable[任务名称],TaskTable[故事名称]=C17,"")),""))</f>
        <v/>
      </c>
      <c r="G17" s="929">
        <f>IF(C17="","",CEILING(SUMIF(TaskTable[故事名称],C17,TaskTable[人天小计]),INDEX(ProjectParameterTable[值],MATCH("ROUND_STORY",ProjectParameterTable[参数代码],0))))</f>
        <v/>
      </c>
      <c r="H17" s="1058" t="inlineStr">
        <is>
          <t>电子发票生产证书与测试配额待确认</t>
        </is>
      </c>
      <c r="I17" s="930">
        <f>IF(H17="","",IFERROR(INDEX(AssumptionRiskTable[状态],MATCH(H17,AssumptionRiskTable[假设/风险名称],0)),"名称未匹配"))</f>
        <v/>
      </c>
    </row>
    <row r="18" ht="42" customHeight="1" s="1025">
      <c r="A18" s="926">
        <f>IF(B18="","",IFERROR(INDEX(FeatureTable[需求名称],MATCH(B18,FeatureTable[子需求名称],0)),"来源未匹配"))</f>
        <v/>
      </c>
      <c r="B18" s="1058" t="inlineStr">
        <is>
          <t>财务经营报表</t>
        </is>
      </c>
      <c r="C18" s="1058" t="inlineStr">
        <is>
          <t>查看财务经营日报</t>
        </is>
      </c>
      <c r="D18" s="1059" t="inlineStr">
        <is>
          <t>是</t>
        </is>
      </c>
      <c r="E18" s="926">
        <f>IF(C18="","",IFERROR(_xlfn.TEXTJOIN(CHAR(10),TRUE,_xlfn._xlws.FILTER(AcceptanceCriterionTable[验收条件名称],AcceptanceCriterionTable[故事名称]=C18,"")),""))</f>
        <v/>
      </c>
      <c r="F18" s="928">
        <f>IF(C18="","",IFERROR(_xlfn.TEXTJOIN(CHAR(10),TRUE,_xlfn._xlws.FILTER("• "&amp;TaskTable[任务名称],TaskTable[故事名称]=C18,"")),""))</f>
        <v/>
      </c>
      <c r="G18" s="929">
        <f>IF(C18="","",CEILING(SUMIF(TaskTable[故事名称],C18,TaskTable[人天小计]),INDEX(ProjectParameterTable[值],MATCH("ROUND_STORY",ProjectParameterTable[参数代码],0))))</f>
        <v/>
      </c>
      <c r="H18" s="1058" t="inlineStr"/>
      <c r="I18" s="930">
        <f>IF(H18="","",IFERROR(INDEX(AssumptionRiskTable[状态],MATCH(H18,AssumptionRiskTable[假设/风险名称],0)),"名称未匹配"))</f>
        <v/>
      </c>
    </row>
    <row r="19" ht="42" customHeight="1" s="1025">
      <c r="A19" s="926">
        <f>IF(B19="","",IFERROR(INDEX(FeatureTable[需求名称],MATCH(B19,FeatureTable[子需求名称],0)),"来源未匹配"))</f>
        <v/>
      </c>
      <c r="B19" s="1058" t="inlineStr">
        <is>
          <t>生产准备、切换与验证</t>
        </is>
      </c>
      <c r="C19" s="1058" t="inlineStr">
        <is>
          <t>准备生产环境和发布流水线</t>
        </is>
      </c>
      <c r="D19" s="1059" t="inlineStr">
        <is>
          <t>否</t>
        </is>
      </c>
      <c r="E19" s="926">
        <f>IF(C19="","",IFERROR(_xlfn.TEXTJOIN(CHAR(10),TRUE,_xlfn._xlws.FILTER(AcceptanceCriterionTable[验收条件名称],AcceptanceCriterionTable[故事名称]=C19,"")),""))</f>
        <v/>
      </c>
      <c r="F19" s="928">
        <f>IF(C19="","",IFERROR(_xlfn.TEXTJOIN(CHAR(10),TRUE,_xlfn._xlws.FILTER("• "&amp;TaskTable[任务名称],TaskTable[故事名称]=C19,"")),""))</f>
        <v/>
      </c>
      <c r="G19" s="929">
        <f>IF(C19="","",CEILING(SUMIF(TaskTable[故事名称],C19,TaskTable[人天小计]),INDEX(ProjectParameterTable[值],MATCH("ROUND_STORY",ProjectParameterTable[参数代码],0))))</f>
        <v/>
      </c>
      <c r="H19" s="1058" t="inlineStr"/>
      <c r="I19" s="930">
        <f>IF(H19="","",IFERROR(INDEX(AssumptionRiskTable[状态],MATCH(H19,AssumptionRiskTable[假设/风险名称],0)),"名称未匹配"))</f>
        <v/>
      </c>
    </row>
    <row r="20" ht="42" customHeight="1" s="1025">
      <c r="A20" s="926">
        <f>IF(B20="","",IFERROR(INDEX(FeatureTable[需求名称],MATCH(B20,FeatureTable[子需求名称],0)),"来源未匹配"))</f>
        <v/>
      </c>
      <c r="B20" s="1058" t="inlineStr">
        <is>
          <t>生产准备、切换与验证</t>
        </is>
      </c>
      <c r="C20" s="1058" t="inlineStr">
        <is>
          <t>执行生产切换与回滚演练</t>
        </is>
      </c>
      <c r="D20" s="1059" t="inlineStr">
        <is>
          <t>否</t>
        </is>
      </c>
      <c r="E20" s="926">
        <f>IF(C20="","",IFERROR(_xlfn.TEXTJOIN(CHAR(10),TRUE,_xlfn._xlws.FILTER(AcceptanceCriterionTable[验收条件名称],AcceptanceCriterionTable[故事名称]=C20,"")),""))</f>
        <v/>
      </c>
      <c r="F20" s="928">
        <f>IF(C20="","",IFERROR(_xlfn.TEXTJOIN(CHAR(10),TRUE,_xlfn._xlws.FILTER("• "&amp;TaskTable[任务名称],TaskTable[故事名称]=C20,"")),""))</f>
        <v/>
      </c>
      <c r="G20" s="929">
        <f>IF(C20="","",CEILING(SUMIF(TaskTable[故事名称],C20,TaskTable[人天小计]),INDEX(ProjectParameterTable[值],MATCH("ROUND_STORY",ProjectParameterTable[参数代码],0))))</f>
        <v/>
      </c>
      <c r="H20" s="1058" t="inlineStr">
        <is>
          <t>迁移冻结窗口为周六 00:00 至 04:00</t>
        </is>
      </c>
      <c r="I20" s="930">
        <f>IF(H20="","",IFERROR(INDEX(AssumptionRiskTable[状态],MATCH(H20,AssumptionRiskTable[假设/风险名称],0)),"名称未匹配"))</f>
        <v/>
      </c>
    </row>
    <row r="21" ht="42" customHeight="1" s="1025">
      <c r="A21" s="926">
        <f>IF(B21="","",IFERROR(INDEX(FeatureTable[需求名称],MATCH(B21,FeatureTable[子需求名称],0)),"来源未匹配"))</f>
        <v/>
      </c>
      <c r="B21" s="1058" t="inlineStr">
        <is>
          <t>生产准备、切换与验证</t>
        </is>
      </c>
      <c r="C21" s="1058" t="inlineStr">
        <is>
          <t>完成生产烟测与业务确认</t>
        </is>
      </c>
      <c r="D21" s="1059" t="inlineStr">
        <is>
          <t>是</t>
        </is>
      </c>
      <c r="E21" s="926">
        <f>IF(C21="","",IFERROR(_xlfn.TEXTJOIN(CHAR(10),TRUE,_xlfn._xlws.FILTER(AcceptanceCriterionTable[验收条件名称],AcceptanceCriterionTable[故事名称]=C21,"")),""))</f>
        <v/>
      </c>
      <c r="F21" s="928">
        <f>IF(C21="","",IFERROR(_xlfn.TEXTJOIN(CHAR(10),TRUE,_xlfn._xlws.FILTER("• "&amp;TaskTable[任务名称],TaskTable[故事名称]=C21,"")),""))</f>
        <v/>
      </c>
      <c r="G21" s="929">
        <f>IF(C21="","",CEILING(SUMIF(TaskTable[故事名称],C21,TaskTable[人天小计]),INDEX(ProjectParameterTable[值],MATCH("ROUND_STORY",ProjectParameterTable[参数代码],0))))</f>
        <v/>
      </c>
      <c r="H21" s="1058" t="inlineStr">
        <is>
          <t>生产告警通知渠道待确认</t>
        </is>
      </c>
      <c r="I21" s="930">
        <f>IF(H21="","",IFERROR(INDEX(AssumptionRiskTable[状态],MATCH(H21,AssumptionRiskTable[假设/风险名称],0)),"名称未匹配"))</f>
        <v/>
      </c>
    </row>
    <row r="22" ht="42" customHeight="1" s="1025">
      <c r="A22" s="926">
        <f>IF(B22="","",IFERROR(INDEX(FeatureTable[需求名称],MATCH(B22,FeatureTable[子需求名称],0)),"来源未匹配"))</f>
        <v/>
      </c>
      <c r="B22" s="1058" t="inlineStr">
        <is>
          <t>会员与订单数据迁移</t>
        </is>
      </c>
      <c r="C22" s="1058" t="inlineStr">
        <is>
          <t>迁移会员与历史订单数据</t>
        </is>
      </c>
      <c r="D22" s="1059" t="inlineStr">
        <is>
          <t>否</t>
        </is>
      </c>
      <c r="E22" s="926">
        <f>IF(C22="","",IFERROR(_xlfn.TEXTJOIN(CHAR(10),TRUE,_xlfn._xlws.FILTER(AcceptanceCriterionTable[验收条件名称],AcceptanceCriterionTable[故事名称]=C22,"")),""))</f>
        <v/>
      </c>
      <c r="F22" s="928">
        <f>IF(C22="","",IFERROR(_xlfn.TEXTJOIN(CHAR(10),TRUE,_xlfn._xlws.FILTER("• "&amp;TaskTable[任务名称],TaskTable[故事名称]=C22,"")),""))</f>
        <v/>
      </c>
      <c r="G22" s="929">
        <f>IF(C22="","",CEILING(SUMIF(TaskTable[故事名称],C22,TaskTable[人天小计]),INDEX(ProjectParameterTable[值],MATCH("ROUND_STORY",ProjectParameterTable[参数代码],0))))</f>
        <v/>
      </c>
      <c r="H22" s="1058" t="inlineStr">
        <is>
          <t>迁移冻结窗口为周六 00:00 至 04:00</t>
        </is>
      </c>
      <c r="I22" s="930">
        <f>IF(H22="","",IFERROR(INDEX(AssumptionRiskTable[状态],MATCH(H22,AssumptionRiskTable[假设/风险名称],0)),"名称未匹配"))</f>
        <v/>
      </c>
    </row>
    <row r="23" ht="42" customHeight="1" s="1025">
      <c r="A23" s="926">
        <f>IF(B23="","",IFERROR(INDEX(FeatureTable[需求名称],MATCH(B23,FeatureTable[子需求名称],0)),"来源未匹配"))</f>
        <v/>
      </c>
      <c r="B23" s="1058" t="inlineStr">
        <is>
          <t>监控、运维交接与用户赋能</t>
        </is>
      </c>
      <c r="C23" s="1058" t="inlineStr">
        <is>
          <t>监控核心交易与财务作业</t>
        </is>
      </c>
      <c r="D23" s="1059" t="inlineStr">
        <is>
          <t>否</t>
        </is>
      </c>
      <c r="E23" s="926">
        <f>IF(C23="","",IFERROR(_xlfn.TEXTJOIN(CHAR(10),TRUE,_xlfn._xlws.FILTER(AcceptanceCriterionTable[验收条件名称],AcceptanceCriterionTable[故事名称]=C23,"")),""))</f>
        <v/>
      </c>
      <c r="F23" s="928">
        <f>IF(C23="","",IFERROR(_xlfn.TEXTJOIN(CHAR(10),TRUE,_xlfn._xlws.FILTER("• "&amp;TaskTable[任务名称],TaskTable[故事名称]=C23,"")),""))</f>
        <v/>
      </c>
      <c r="G23" s="929">
        <f>IF(C23="","",CEILING(SUMIF(TaskTable[故事名称],C23,TaskTable[人天小计]),INDEX(ProjectParameterTable[值],MATCH("ROUND_STORY",ProjectParameterTable[参数代码],0))))</f>
        <v/>
      </c>
      <c r="H23" s="1058" t="inlineStr">
        <is>
          <t>生产告警通知渠道待确认</t>
        </is>
      </c>
      <c r="I23" s="930">
        <f>IF(H23="","",IFERROR(INDEX(AssumptionRiskTable[状态],MATCH(H23,AssumptionRiskTable[假设/风险名称],0)),"名称未匹配"))</f>
        <v/>
      </c>
    </row>
    <row r="24" ht="42" customHeight="1" s="1025">
      <c r="A24" s="926">
        <f>IF(B24="","",IFERROR(INDEX(FeatureTable[需求名称],MATCH(B24,FeatureTable[子需求名称],0)),"来源未匹配"))</f>
        <v/>
      </c>
      <c r="B24" s="1058" t="inlineStr">
        <is>
          <t>监控、运维交接与用户赋能</t>
        </is>
      </c>
      <c r="C24" s="1058" t="inlineStr">
        <is>
          <t>完成运维交接与演练</t>
        </is>
      </c>
      <c r="D24" s="1059" t="inlineStr">
        <is>
          <t>否</t>
        </is>
      </c>
      <c r="E24" s="926">
        <f>IF(C24="","",IFERROR(_xlfn.TEXTJOIN(CHAR(10),TRUE,_xlfn._xlws.FILTER(AcceptanceCriterionTable[验收条件名称],AcceptanceCriterionTable[故事名称]=C24,"")),""))</f>
        <v/>
      </c>
      <c r="F24" s="928">
        <f>IF(C24="","",IFERROR(_xlfn.TEXTJOIN(CHAR(10),TRUE,_xlfn._xlws.FILTER("• "&amp;TaskTable[任务名称],TaskTable[故事名称]=C24,"")),""))</f>
        <v/>
      </c>
      <c r="G24" s="929">
        <f>IF(C24="","",CEILING(SUMIF(TaskTable[故事名称],C24,TaskTable[人天小计]),INDEX(ProjectParameterTable[值],MATCH("ROUND_STORY",ProjectParameterTable[参数代码],0))))</f>
        <v/>
      </c>
      <c r="H24" s="1058" t="inlineStr"/>
      <c r="I24" s="930">
        <f>IF(H24="","",IFERROR(INDEX(AssumptionRiskTable[状态],MATCH(H24,AssumptionRiskTable[假设/风险名称],0)),"名称未匹配"))</f>
        <v/>
      </c>
    </row>
    <row r="25" ht="42" customHeight="1" s="1025">
      <c r="A25" s="926">
        <f>IF(B25="","",IFERROR(INDEX(FeatureTable[需求名称],MATCH(B25,FeatureTable[子需求名称],0)),"来源未匹配"))</f>
        <v/>
      </c>
      <c r="B25" s="1058" t="inlineStr">
        <is>
          <t>监控、运维交接与用户赋能</t>
        </is>
      </c>
      <c r="C25" s="1058" t="inlineStr">
        <is>
          <t>培训门店、客服和财务用户</t>
        </is>
      </c>
      <c r="D25" s="1059" t="inlineStr">
        <is>
          <t>是</t>
        </is>
      </c>
      <c r="E25" s="926">
        <f>IF(C25="","",IFERROR(_xlfn.TEXTJOIN(CHAR(10),TRUE,_xlfn._xlws.FILTER(AcceptanceCriterionTable[验收条件名称],AcceptanceCriterionTable[故事名称]=C25,"")),""))</f>
        <v/>
      </c>
      <c r="F25" s="928">
        <f>IF(C25="","",IFERROR(_xlfn.TEXTJOIN(CHAR(10),TRUE,_xlfn._xlws.FILTER("• "&amp;TaskTable[任务名称],TaskTable[故事名称]=C25,"")),""))</f>
        <v/>
      </c>
      <c r="G25" s="929">
        <f>IF(C25="","",CEILING(SUMIF(TaskTable[故事名称],C25,TaskTable[人天小计]),INDEX(ProjectParameterTable[值],MATCH("ROUND_STORY",ProjectParameterTable[参数代码],0))))</f>
        <v/>
      </c>
      <c r="H25" s="1058" t="inlineStr"/>
      <c r="I25" s="930">
        <f>IF(H25="","",IFERROR(INDEX(AssumptionRiskTable[状态],MATCH(H25,AssumptionRiskTable[假设/风险名称],0)),"名称未匹配"))</f>
        <v/>
      </c>
    </row>
    <row r="26" ht="42" customHeight="1" s="1025">
      <c r="A26" s="926">
        <f>IF(B26="","",IFERROR(INDEX(FeatureTable[需求名称],MATCH(B26,FeatureTable[子需求名称],0)),"来源未匹配"))</f>
        <v/>
      </c>
      <c r="B26" s="1058" t="inlineStr">
        <is>
          <t>自动化、性能与生产质量验证</t>
        </is>
      </c>
      <c r="C26" s="1058" t="inlineStr">
        <is>
          <t>扩展自动化与性能验证</t>
        </is>
      </c>
      <c r="D26" s="1059" t="inlineStr">
        <is>
          <t>否</t>
        </is>
      </c>
      <c r="E26" s="926">
        <f>IF(C26="","",IFERROR(_xlfn.TEXTJOIN(CHAR(10),TRUE,_xlfn._xlws.FILTER(AcceptanceCriterionTable[验收条件名称],AcceptanceCriterionTable[故事名称]=C26,"")),""))</f>
        <v/>
      </c>
      <c r="F26" s="928">
        <f>IF(C26="","",IFERROR(_xlfn.TEXTJOIN(CHAR(10),TRUE,_xlfn._xlws.FILTER("• "&amp;TaskTable[任务名称],TaskTable[故事名称]=C26,"")),""))</f>
        <v/>
      </c>
      <c r="G26" s="929">
        <f>IF(C26="","",CEILING(SUMIF(TaskTable[故事名称],C26,TaskTable[人天小计]),INDEX(ProjectParameterTable[值],MATCH("ROUND_STORY",ProjectParameterTable[参数代码],0))))</f>
        <v/>
      </c>
      <c r="H26" s="1058" t="inlineStr"/>
      <c r="I26" s="930">
        <f>IF(H26="","",IFERROR(INDEX(AssumptionRiskTable[状态],MATCH(H26,AssumptionRiskTable[假设/风险名称],0)),"名称未匹配"))</f>
        <v/>
      </c>
    </row>
    <row r="27" ht="42" customHeight="1" s="1025">
      <c r="A27" s="926">
        <f>IF(B27="","",IFERROR(INDEX(FeatureTable[需求名称],MATCH(B27,FeatureTable[子需求名称],0)),"来源未匹配"))</f>
        <v/>
      </c>
      <c r="B27" s="1058" t="inlineStr">
        <is>
          <t>自动化、性能与生产质量验证</t>
        </is>
      </c>
      <c r="C27" s="1058" t="inlineStr">
        <is>
          <t>执行兼容性与工程回归</t>
        </is>
      </c>
      <c r="D27" s="1059" t="inlineStr">
        <is>
          <t>否</t>
        </is>
      </c>
      <c r="E27" s="926">
        <f>IF(C27="","",IFERROR(_xlfn.TEXTJOIN(CHAR(10),TRUE,_xlfn._xlws.FILTER(AcceptanceCriterionTable[验收条件名称],AcceptanceCriterionTable[故事名称]=C27,"")),""))</f>
        <v/>
      </c>
      <c r="F27" s="928">
        <f>IF(C27="","",IFERROR(_xlfn.TEXTJOIN(CHAR(10),TRUE,_xlfn._xlws.FILTER("• "&amp;TaskTable[任务名称],TaskTable[故事名称]=C27,"")),""))</f>
        <v/>
      </c>
      <c r="G27" s="929">
        <f>IF(C27="","",CEILING(SUMIF(TaskTable[故事名称],C27,TaskTable[人天小计]),INDEX(ProjectParameterTable[值],MATCH("ROUND_STORY",ProjectParameterTable[参数代码],0))))</f>
        <v/>
      </c>
      <c r="H27" s="1058" t="inlineStr"/>
      <c r="I27" s="930">
        <f>IF(H27="","",IFERROR(INDEX(AssumptionRiskTable[状态],MATCH(H27,AssumptionRiskTable[假设/风险名称],0)),"名称未匹配"))</f>
        <v/>
      </c>
    </row>
    <row r="28" ht="42" customHeight="1" s="1025">
      <c r="A28" s="926" t="n"/>
      <c r="B28" s="1043" t="n"/>
      <c r="C28" s="1043" t="n"/>
      <c r="D28" s="1044" t="n"/>
      <c r="E28" s="926" t="n"/>
      <c r="F28" s="926" t="n"/>
      <c r="G28" s="930" t="n"/>
      <c r="H28" s="1043" t="n"/>
      <c r="I28" s="929">
        <f>IF(H28="","",IFERROR(INDEX(AssumptionRiskTable[状态],MATCH(H28,AssumptionRiskTable[假设/风险名称],0)),"名称未匹配"))</f>
        <v/>
      </c>
    </row>
    <row r="29" ht="42" customHeight="1" s="1025">
      <c r="A29" s="926" t="n"/>
      <c r="B29" s="1043" t="n"/>
      <c r="C29" s="1043" t="n"/>
      <c r="D29" s="1044" t="n"/>
      <c r="E29" s="926" t="n"/>
      <c r="F29" s="926" t="n"/>
      <c r="G29" s="930" t="n"/>
      <c r="H29" s="1043" t="n"/>
      <c r="I29" s="929">
        <f>IF(H29="","",IFERROR(INDEX(AssumptionRiskTable[状态],MATCH(H29,AssumptionRiskTable[假设/风险名称],0)),"名称未匹配"))</f>
        <v/>
      </c>
    </row>
    <row r="30" ht="42" customHeight="1" s="1025">
      <c r="A30" s="926" t="n"/>
      <c r="B30" s="1043" t="n"/>
      <c r="C30" s="1043" t="n"/>
      <c r="D30" s="1044" t="n"/>
      <c r="E30" s="926" t="n"/>
      <c r="F30" s="926" t="n"/>
      <c r="G30" s="930" t="n"/>
      <c r="H30" s="1043" t="n"/>
      <c r="I30" s="929">
        <f>IF(H30="","",IFERROR(INDEX(AssumptionRiskTable[状态],MATCH(H30,AssumptionRiskTable[假设/风险名称],0)),"名称未匹配"))</f>
        <v/>
      </c>
    </row>
    <row r="31" ht="42" customHeight="1" s="1025">
      <c r="A31" s="926" t="n"/>
      <c r="B31" s="1043" t="n"/>
      <c r="C31" s="1043" t="n"/>
      <c r="D31" s="1044" t="n"/>
      <c r="E31" s="926" t="n"/>
      <c r="F31" s="926" t="n"/>
      <c r="G31" s="930" t="n"/>
      <c r="H31" s="1043" t="n"/>
      <c r="I31" s="929">
        <f>IF(H31="","",IFERROR(INDEX(AssumptionRiskTable[状态],MATCH(H31,AssumptionRiskTable[假设/风险名称],0)),"名称未匹配"))</f>
        <v/>
      </c>
    </row>
    <row r="32" ht="42" customHeight="1" s="1025">
      <c r="A32" s="926" t="n"/>
      <c r="B32" s="1043" t="n"/>
      <c r="C32" s="1043" t="n"/>
      <c r="D32" s="1044" t="n"/>
      <c r="E32" s="926" t="n"/>
      <c r="F32" s="926" t="n"/>
      <c r="G32" s="930" t="n"/>
      <c r="H32" s="1043" t="n"/>
      <c r="I32" s="929">
        <f>IF(H32="","",IFERROR(INDEX(AssumptionRiskTable[状态],MATCH(H32,AssumptionRiskTable[假设/风险名称],0)),"名称未匹配"))</f>
        <v/>
      </c>
    </row>
    <row r="33" ht="42" customHeight="1" s="1025">
      <c r="A33" s="926" t="n"/>
      <c r="B33" s="1043" t="n"/>
      <c r="C33" s="1043" t="n"/>
      <c r="D33" s="1044" t="n"/>
      <c r="E33" s="926" t="n"/>
      <c r="F33" s="926" t="n"/>
      <c r="G33" s="930" t="n"/>
      <c r="H33" s="1043" t="n"/>
      <c r="I33" s="929">
        <f>IF(H33="","",IFERROR(INDEX(AssumptionRiskTable[状态],MATCH(H33,AssumptionRiskTable[假设/风险名称],0)),"名称未匹配"))</f>
        <v/>
      </c>
    </row>
    <row r="34" ht="42" customHeight="1" s="1025">
      <c r="A34" s="926" t="n"/>
      <c r="B34" s="1043" t="n"/>
      <c r="C34" s="1043" t="n"/>
      <c r="D34" s="1044" t="n"/>
      <c r="E34" s="926" t="n"/>
      <c r="F34" s="926" t="n"/>
      <c r="G34" s="930" t="n"/>
      <c r="H34" s="1043" t="n"/>
      <c r="I34" s="929">
        <f>IF(H34="","",IFERROR(INDEX(AssumptionRiskTable[状态],MATCH(H34,AssumptionRiskTable[假设/风险名称],0)),"名称未匹配"))</f>
        <v/>
      </c>
    </row>
    <row r="35" ht="42" customHeight="1" s="1025">
      <c r="A35" s="926" t="n"/>
      <c r="B35" s="1043" t="n"/>
      <c r="C35" s="1043" t="n"/>
      <c r="D35" s="1044" t="n"/>
      <c r="E35" s="926" t="n"/>
      <c r="F35" s="926" t="n"/>
      <c r="G35" s="930" t="n"/>
      <c r="H35" s="1043" t="n"/>
      <c r="I35" s="929">
        <f>IF(H35="","",IFERROR(INDEX(AssumptionRiskTable[状态],MATCH(H35,AssumptionRiskTable[假设/风险名称],0)),"名称未匹配"))</f>
        <v/>
      </c>
    </row>
    <row r="36" ht="42" customHeight="1" s="1025">
      <c r="A36" s="926" t="n"/>
      <c r="B36" s="1043" t="n"/>
      <c r="C36" s="1043" t="n"/>
      <c r="D36" s="1044" t="n"/>
      <c r="E36" s="926" t="n"/>
      <c r="F36" s="926" t="n"/>
      <c r="G36" s="930" t="n"/>
      <c r="H36" s="1043" t="n"/>
      <c r="I36" s="929">
        <f>IF(H36="","",IFERROR(INDEX(AssumptionRiskTable[状态],MATCH(H36,AssumptionRiskTable[假设/风险名称],0)),"名称未匹配"))</f>
        <v/>
      </c>
    </row>
    <row r="37" ht="42" customHeight="1" s="1025">
      <c r="A37" s="926" t="n"/>
      <c r="B37" s="1043" t="n"/>
      <c r="C37" s="1043" t="n"/>
      <c r="D37" s="1044" t="n"/>
      <c r="E37" s="926" t="n"/>
      <c r="F37" s="926" t="n"/>
      <c r="G37" s="930" t="n"/>
      <c r="H37" s="1043" t="n"/>
      <c r="I37" s="929">
        <f>IF(H37="","",IFERROR(INDEX(AssumptionRiskTable[状态],MATCH(H37,AssumptionRiskTable[假设/风险名称],0)),"名称未匹配"))</f>
        <v/>
      </c>
    </row>
    <row r="38" ht="42" customHeight="1" s="1025">
      <c r="A38" s="926" t="n"/>
      <c r="B38" s="1043" t="n"/>
      <c r="C38" s="1043" t="n"/>
      <c r="D38" s="1044" t="n"/>
      <c r="E38" s="926" t="n"/>
      <c r="F38" s="926" t="n"/>
      <c r="G38" s="930" t="n"/>
      <c r="H38" s="1043" t="n"/>
      <c r="I38" s="929">
        <f>IF(H38="","",IFERROR(INDEX(AssumptionRiskTable[状态],MATCH(H38,AssumptionRiskTable[假设/风险名称],0)),"名称未匹配"))</f>
        <v/>
      </c>
    </row>
    <row r="39" ht="42" customHeight="1" s="1025">
      <c r="A39" s="926" t="n"/>
      <c r="B39" s="1043" t="n"/>
      <c r="C39" s="1043" t="n"/>
      <c r="D39" s="1044" t="n"/>
      <c r="E39" s="926" t="n"/>
      <c r="F39" s="926" t="n"/>
      <c r="G39" s="930" t="n"/>
      <c r="H39" s="1043" t="n"/>
      <c r="I39" s="929">
        <f>IF(H39="","",IFERROR(INDEX(AssumptionRiskTable[状态],MATCH(H39,AssumptionRiskTable[假设/风险名称],0)),"名称未匹配"))</f>
        <v/>
      </c>
    </row>
    <row r="40" ht="42" customHeight="1" s="1025">
      <c r="A40" s="926" t="n"/>
      <c r="B40" s="1043" t="n"/>
      <c r="C40" s="1043" t="n"/>
      <c r="D40" s="1044" t="n"/>
      <c r="E40" s="926" t="n"/>
      <c r="F40" s="926" t="n"/>
      <c r="G40" s="930" t="n"/>
      <c r="H40" s="1043" t="n"/>
      <c r="I40" s="929">
        <f>IF(H40="","",IFERROR(INDEX(AssumptionRiskTable[状态],MATCH(H40,AssumptionRiskTable[假设/风险名称],0)),"名称未匹配"))</f>
        <v/>
      </c>
    </row>
    <row r="41" ht="42" customHeight="1" s="1025">
      <c r="A41" s="926" t="n"/>
      <c r="B41" s="1043" t="n"/>
      <c r="C41" s="1043" t="n"/>
      <c r="D41" s="1044" t="n"/>
      <c r="E41" s="926" t="n"/>
      <c r="F41" s="926" t="n"/>
      <c r="G41" s="930" t="n"/>
      <c r="H41" s="1043" t="n"/>
      <c r="I41" s="929">
        <f>IF(H41="","",IFERROR(INDEX(AssumptionRiskTable[状态],MATCH(H41,AssumptionRiskTable[假设/风险名称],0)),"名称未匹配"))</f>
        <v/>
      </c>
    </row>
    <row r="42" ht="42" customHeight="1" s="1025">
      <c r="A42" s="926" t="n"/>
      <c r="B42" s="1043" t="n"/>
      <c r="C42" s="1043" t="n"/>
      <c r="D42" s="1044" t="n"/>
      <c r="E42" s="926" t="n"/>
      <c r="F42" s="926" t="n"/>
      <c r="G42" s="930" t="n"/>
      <c r="H42" s="1043" t="n"/>
      <c r="I42" s="929">
        <f>IF(H42="","",IFERROR(INDEX(AssumptionRiskTable[状态],MATCH(H42,AssumptionRiskTable[假设/风险名称],0)),"名称未匹配"))</f>
        <v/>
      </c>
    </row>
    <row r="43" ht="42" customHeight="1" s="1025">
      <c r="A43" s="926" t="n"/>
      <c r="B43" s="1043" t="n"/>
      <c r="C43" s="1043" t="n"/>
      <c r="D43" s="1044" t="n"/>
      <c r="E43" s="926" t="n"/>
      <c r="F43" s="926" t="n"/>
      <c r="G43" s="930" t="n"/>
      <c r="H43" s="1043" t="n"/>
      <c r="I43" s="929">
        <f>IF(H43="","",IFERROR(INDEX(AssumptionRiskTable[状态],MATCH(H43,AssumptionRiskTable[假设/风险名称],0)),"名称未匹配"))</f>
        <v/>
      </c>
    </row>
    <row r="44" ht="42" customHeight="1" s="1025">
      <c r="A44" s="926" t="n"/>
      <c r="B44" s="1043" t="n"/>
      <c r="C44" s="1043" t="n"/>
      <c r="D44" s="1044" t="n"/>
      <c r="E44" s="926" t="n"/>
      <c r="F44" s="926" t="n"/>
      <c r="G44" s="930" t="n"/>
      <c r="H44" s="1043" t="n"/>
      <c r="I44" s="929">
        <f>IF(H44="","",IFERROR(INDEX(AssumptionRiskTable[状态],MATCH(H44,AssumptionRiskTable[假设/风险名称],0)),"名称未匹配"))</f>
        <v/>
      </c>
    </row>
    <row r="45" ht="42" customHeight="1" s="1025">
      <c r="A45" s="926" t="n"/>
      <c r="B45" s="1043" t="n"/>
      <c r="C45" s="1043" t="n"/>
      <c r="D45" s="1044" t="n"/>
      <c r="E45" s="926" t="n"/>
      <c r="F45" s="926" t="n"/>
      <c r="G45" s="930" t="n"/>
      <c r="H45" s="1043" t="n"/>
      <c r="I45" s="929">
        <f>IF(H45="","",IFERROR(INDEX(AssumptionRiskTable[状态],MATCH(H45,AssumptionRiskTable[假设/风险名称],0)),"名称未匹配"))</f>
        <v/>
      </c>
    </row>
    <row r="46" ht="42" customHeight="1" s="1025">
      <c r="A46" s="926" t="n"/>
      <c r="B46" s="1043" t="n"/>
      <c r="C46" s="1043" t="n"/>
      <c r="D46" s="1044" t="n"/>
      <c r="E46" s="926" t="n"/>
      <c r="F46" s="926" t="n"/>
      <c r="G46" s="930" t="n"/>
      <c r="H46" s="1043" t="n"/>
      <c r="I46" s="929">
        <f>IF(H46="","",IFERROR(INDEX(AssumptionRiskTable[状态],MATCH(H46,AssumptionRiskTable[假设/风险名称],0)),"名称未匹配"))</f>
        <v/>
      </c>
    </row>
    <row r="47" ht="42" customHeight="1" s="1025">
      <c r="A47" s="926" t="n"/>
      <c r="B47" s="1043" t="n"/>
      <c r="C47" s="1043" t="n"/>
      <c r="D47" s="1044" t="n"/>
      <c r="E47" s="926" t="n"/>
      <c r="F47" s="926" t="n"/>
      <c r="G47" s="930" t="n"/>
      <c r="H47" s="1043" t="n"/>
      <c r="I47" s="929">
        <f>IF(H47="","",IFERROR(INDEX(AssumptionRiskTable[状态],MATCH(H47,AssumptionRiskTable[假设/风险名称],0)),"名称未匹配"))</f>
        <v/>
      </c>
    </row>
    <row r="48" ht="42" customHeight="1" s="1025">
      <c r="A48" s="926" t="n"/>
      <c r="B48" s="1043" t="n"/>
      <c r="C48" s="1043" t="n"/>
      <c r="D48" s="1044" t="n"/>
      <c r="E48" s="926" t="n"/>
      <c r="F48" s="926" t="n"/>
      <c r="G48" s="930" t="n"/>
      <c r="H48" s="1043" t="n"/>
      <c r="I48" s="929">
        <f>IF(H48="","",IFERROR(INDEX(AssumptionRiskTable[状态],MATCH(H48,AssumptionRiskTable[假设/风险名称],0)),"名称未匹配"))</f>
        <v/>
      </c>
    </row>
    <row r="49" ht="42" customHeight="1" s="1025">
      <c r="A49" s="926" t="n"/>
      <c r="B49" s="1043" t="n"/>
      <c r="C49" s="1043" t="n"/>
      <c r="D49" s="1044" t="n"/>
      <c r="E49" s="926" t="n"/>
      <c r="F49" s="926" t="n"/>
      <c r="G49" s="930" t="n"/>
      <c r="H49" s="1043" t="n"/>
      <c r="I49" s="929">
        <f>IF(H49="","",IFERROR(INDEX(AssumptionRiskTable[状态],MATCH(H49,AssumptionRiskTable[假设/风险名称],0)),"名称未匹配"))</f>
        <v/>
      </c>
    </row>
    <row r="50" ht="42" customHeight="1" s="1025">
      <c r="A50" s="926" t="n"/>
      <c r="B50" s="1043" t="n"/>
      <c r="C50" s="1043" t="n"/>
      <c r="D50" s="1044" t="n"/>
      <c r="E50" s="926" t="n"/>
      <c r="F50" s="926" t="n"/>
      <c r="G50" s="930" t="n"/>
      <c r="H50" s="1043" t="n"/>
      <c r="I50" s="929">
        <f>IF(H50="","",IFERROR(INDEX(AssumptionRiskTable[状态],MATCH(H50,AssumptionRiskTable[假设/风险名称],0)),"名称未匹配"))</f>
        <v/>
      </c>
    </row>
    <row r="51" ht="42" customHeight="1" s="1025">
      <c r="A51" s="926" t="n"/>
      <c r="B51" s="1043" t="n"/>
      <c r="C51" s="1043" t="n"/>
      <c r="D51" s="1044" t="n"/>
      <c r="E51" s="926" t="n"/>
      <c r="F51" s="926" t="n"/>
      <c r="G51" s="930" t="n"/>
      <c r="H51" s="1043" t="n"/>
      <c r="I51" s="929">
        <f>IF(H51="","",IFERROR(INDEX(AssumptionRiskTable[状态],MATCH(H51,AssumptionRiskTable[假设/风险名称],0)),"名称未匹配"))</f>
        <v/>
      </c>
    </row>
    <row r="52" ht="42" customHeight="1" s="1025">
      <c r="A52" s="926" t="n"/>
      <c r="B52" s="1043" t="n"/>
      <c r="C52" s="1043" t="n"/>
      <c r="D52" s="1044" t="n"/>
      <c r="E52" s="926" t="n"/>
      <c r="F52" s="926" t="n"/>
      <c r="G52" s="930" t="n"/>
      <c r="H52" s="1043" t="n"/>
      <c r="I52" s="929">
        <f>IF(H52="","",IFERROR(INDEX(AssumptionRiskTable[状态],MATCH(H52,AssumptionRiskTable[假设/风险名称],0)),"名称未匹配"))</f>
        <v/>
      </c>
    </row>
    <row r="53" ht="42" customHeight="1" s="1025">
      <c r="A53" s="926" t="n"/>
      <c r="B53" s="1043" t="n"/>
      <c r="C53" s="1043" t="n"/>
      <c r="D53" s="1044" t="n"/>
      <c r="E53" s="926" t="n"/>
      <c r="F53" s="926" t="n"/>
      <c r="G53" s="930" t="n"/>
      <c r="H53" s="1043" t="n"/>
      <c r="I53" s="929">
        <f>IF(H53="","",IFERROR(INDEX(AssumptionRiskTable[状态],MATCH(H53,AssumptionRiskTable[假设/风险名称],0)),"名称未匹配"))</f>
        <v/>
      </c>
    </row>
    <row r="54" ht="42" customHeight="1" s="1025">
      <c r="A54" s="926" t="n"/>
      <c r="B54" s="1043" t="n"/>
      <c r="C54" s="1043" t="n"/>
      <c r="D54" s="1044" t="n"/>
      <c r="E54" s="926" t="n"/>
      <c r="F54" s="926" t="n"/>
      <c r="G54" s="930" t="n"/>
      <c r="H54" s="1043" t="n"/>
      <c r="I54" s="929">
        <f>IF(H54="","",IFERROR(INDEX(AssumptionRiskTable[状态],MATCH(H54,AssumptionRiskTable[假设/风险名称],0)),"名称未匹配"))</f>
        <v/>
      </c>
    </row>
    <row r="55" ht="42" customHeight="1" s="1025">
      <c r="A55" s="926" t="n"/>
      <c r="B55" s="1043" t="n"/>
      <c r="C55" s="1043" t="n"/>
      <c r="D55" s="1044" t="n"/>
      <c r="E55" s="926" t="n"/>
      <c r="F55" s="926" t="n"/>
      <c r="G55" s="930" t="n"/>
      <c r="H55" s="1043" t="n"/>
      <c r="I55" s="929">
        <f>IF(H55="","",IFERROR(INDEX(AssumptionRiskTable[状态],MATCH(H55,AssumptionRiskTable[假设/风险名称],0)),"名称未匹配"))</f>
        <v/>
      </c>
    </row>
    <row r="56" ht="42" customHeight="1" s="1025">
      <c r="A56" s="926" t="n"/>
      <c r="B56" s="1043" t="n"/>
      <c r="C56" s="1043" t="n"/>
      <c r="D56" s="1044" t="n"/>
      <c r="E56" s="926" t="n"/>
      <c r="F56" s="926" t="n"/>
      <c r="G56" s="930" t="n"/>
      <c r="H56" s="1043" t="n"/>
      <c r="I56" s="929">
        <f>IF(H56="","",IFERROR(INDEX(AssumptionRiskTable[状态],MATCH(H56,AssumptionRiskTable[假设/风险名称],0)),"名称未匹配"))</f>
        <v/>
      </c>
    </row>
    <row r="57" ht="42" customHeight="1" s="1025">
      <c r="A57" s="926" t="n"/>
      <c r="B57" s="1043" t="n"/>
      <c r="C57" s="1043" t="n"/>
      <c r="D57" s="1044" t="n"/>
      <c r="E57" s="926" t="n"/>
      <c r="F57" s="926" t="n"/>
      <c r="G57" s="930" t="n"/>
      <c r="H57" s="1043" t="n"/>
      <c r="I57" s="929">
        <f>IF(H57="","",IFERROR(INDEX(AssumptionRiskTable[状态],MATCH(H57,AssumptionRiskTable[假设/风险名称],0)),"名称未匹配"))</f>
        <v/>
      </c>
    </row>
    <row r="58" ht="42" customHeight="1" s="1025">
      <c r="A58" s="926" t="n"/>
      <c r="B58" s="1043" t="n"/>
      <c r="C58" s="1043" t="n"/>
      <c r="D58" s="1044" t="n"/>
      <c r="E58" s="926" t="n"/>
      <c r="F58" s="926" t="n"/>
      <c r="G58" s="930" t="n"/>
      <c r="H58" s="1043" t="n"/>
      <c r="I58" s="929">
        <f>IF(H58="","",IFERROR(INDEX(AssumptionRiskTable[状态],MATCH(H58,AssumptionRiskTable[假设/风险名称],0)),"名称未匹配"))</f>
        <v/>
      </c>
    </row>
    <row r="59" ht="42" customHeight="1" s="1025">
      <c r="A59" s="926" t="n"/>
      <c r="B59" s="1043" t="n"/>
      <c r="C59" s="1043" t="n"/>
      <c r="D59" s="1044" t="n"/>
      <c r="E59" s="926" t="n"/>
      <c r="F59" s="926" t="n"/>
      <c r="G59" s="930" t="n"/>
      <c r="H59" s="1043" t="n"/>
      <c r="I59" s="929">
        <f>IF(H59="","",IFERROR(INDEX(AssumptionRiskTable[状态],MATCH(H59,AssumptionRiskTable[假设/风险名称],0)),"名称未匹配"))</f>
        <v/>
      </c>
    </row>
    <row r="60" ht="42" customHeight="1" s="1025">
      <c r="A60" s="926" t="n"/>
      <c r="B60" s="1043" t="n"/>
      <c r="C60" s="1043" t="n"/>
      <c r="D60" s="1044" t="n"/>
      <c r="E60" s="926" t="n"/>
      <c r="F60" s="926" t="n"/>
      <c r="G60" s="930" t="n"/>
      <c r="H60" s="1043" t="n"/>
      <c r="I60" s="929">
        <f>IF(H60="","",IFERROR(INDEX(AssumptionRiskTable[状态],MATCH(H60,AssumptionRiskTable[假设/风险名称],0)),"名称未匹配"))</f>
        <v/>
      </c>
    </row>
    <row r="61" ht="42" customHeight="1" s="1025">
      <c r="A61" s="926" t="n"/>
      <c r="B61" s="1043" t="n"/>
      <c r="C61" s="1043" t="n"/>
      <c r="D61" s="1044" t="n"/>
      <c r="E61" s="926" t="n"/>
      <c r="F61" s="926" t="n"/>
      <c r="G61" s="930" t="n"/>
      <c r="H61" s="1043" t="n"/>
      <c r="I61" s="929">
        <f>IF(H61="","",IFERROR(INDEX(AssumptionRiskTable[状态],MATCH(H61,AssumptionRiskTable[假设/风险名称],0)),"名称未匹配"))</f>
        <v/>
      </c>
    </row>
    <row r="62" ht="42" customHeight="1" s="1025">
      <c r="A62" s="926" t="n"/>
      <c r="B62" s="1043" t="n"/>
      <c r="C62" s="1043" t="n"/>
      <c r="D62" s="1044" t="n"/>
      <c r="E62" s="926" t="n"/>
      <c r="F62" s="926" t="n"/>
      <c r="G62" s="930" t="n"/>
      <c r="H62" s="1043" t="n"/>
      <c r="I62" s="929">
        <f>IF(H62="","",IFERROR(INDEX(AssumptionRiskTable[状态],MATCH(H62,AssumptionRiskTable[假设/风险名称],0)),"名称未匹配"))</f>
        <v/>
      </c>
    </row>
    <row r="63" ht="42" customHeight="1" s="1025">
      <c r="A63" s="926" t="n"/>
      <c r="B63" s="1043" t="n"/>
      <c r="C63" s="1043" t="n"/>
      <c r="D63" s="1044" t="n"/>
      <c r="E63" s="926" t="n"/>
      <c r="F63" s="926" t="n"/>
      <c r="G63" s="930" t="n"/>
      <c r="H63" s="1043" t="n"/>
      <c r="I63" s="929">
        <f>IF(H63="","",IFERROR(INDEX(AssumptionRiskTable[状态],MATCH(H63,AssumptionRiskTable[假设/风险名称],0)),"名称未匹配"))</f>
        <v/>
      </c>
    </row>
    <row r="64" ht="42" customHeight="1" s="1025">
      <c r="A64" s="926" t="n"/>
      <c r="B64" s="1043" t="n"/>
      <c r="C64" s="1043" t="n"/>
      <c r="D64" s="1044" t="n"/>
      <c r="E64" s="926" t="n"/>
      <c r="F64" s="926" t="n"/>
      <c r="G64" s="930" t="n"/>
      <c r="H64" s="1043" t="n"/>
      <c r="I64" s="929">
        <f>IF(H64="","",IFERROR(INDEX(AssumptionRiskTable[状态],MATCH(H64,AssumptionRiskTable[假设/风险名称],0)),"名称未匹配"))</f>
        <v/>
      </c>
    </row>
    <row r="65" ht="42" customHeight="1" s="1025">
      <c r="A65" s="926" t="n"/>
      <c r="B65" s="1043" t="n"/>
      <c r="C65" s="1043" t="n"/>
      <c r="D65" s="1044" t="n"/>
      <c r="E65" s="926" t="n"/>
      <c r="F65" s="926" t="n"/>
      <c r="G65" s="930" t="n"/>
      <c r="H65" s="1043" t="n"/>
      <c r="I65" s="929">
        <f>IF(H65="","",IFERROR(INDEX(AssumptionRiskTable[状态],MATCH(H65,AssumptionRiskTable[假设/风险名称],0)),"名称未匹配"))</f>
        <v/>
      </c>
    </row>
    <row r="66" ht="42" customHeight="1" s="1025">
      <c r="A66" s="926" t="n"/>
      <c r="B66" s="1043" t="n"/>
      <c r="C66" s="1043" t="n"/>
      <c r="D66" s="1044" t="n"/>
      <c r="E66" s="926" t="n"/>
      <c r="F66" s="926" t="n"/>
      <c r="G66" s="930" t="n"/>
      <c r="H66" s="1043" t="n"/>
      <c r="I66" s="929">
        <f>IF(H66="","",IFERROR(INDEX(AssumptionRiskTable[状态],MATCH(H66,AssumptionRiskTable[假设/风险名称],0)),"名称未匹配"))</f>
        <v/>
      </c>
    </row>
    <row r="67" ht="42" customHeight="1" s="1025">
      <c r="A67" s="926" t="n"/>
      <c r="B67" s="1043" t="n"/>
      <c r="C67" s="1043" t="n"/>
      <c r="D67" s="1044" t="n"/>
      <c r="E67" s="926" t="n"/>
      <c r="F67" s="926" t="n"/>
      <c r="G67" s="930" t="n"/>
      <c r="H67" s="1043" t="n"/>
      <c r="I67" s="929">
        <f>IF(H67="","",IFERROR(INDEX(AssumptionRiskTable[状态],MATCH(H67,AssumptionRiskTable[假设/风险名称],0)),"名称未匹配"))</f>
        <v/>
      </c>
    </row>
    <row r="68" ht="42" customHeight="1" s="1025">
      <c r="A68" s="926" t="n"/>
      <c r="B68" s="1043" t="n"/>
      <c r="C68" s="1043" t="n"/>
      <c r="D68" s="1044" t="n"/>
      <c r="E68" s="926" t="n"/>
      <c r="F68" s="926" t="n"/>
      <c r="G68" s="930" t="n"/>
      <c r="H68" s="1043" t="n"/>
      <c r="I68" s="929">
        <f>IF(H68="","",IFERROR(INDEX(AssumptionRiskTable[状态],MATCH(H68,AssumptionRiskTable[假设/风险名称],0)),"名称未匹配"))</f>
        <v/>
      </c>
    </row>
    <row r="69" ht="42" customHeight="1" s="1025">
      <c r="A69" s="926" t="n"/>
      <c r="B69" s="1043" t="n"/>
      <c r="C69" s="1043" t="n"/>
      <c r="D69" s="1044" t="n"/>
      <c r="E69" s="926" t="n"/>
      <c r="F69" s="926" t="n"/>
      <c r="G69" s="930" t="n"/>
      <c r="H69" s="1043" t="n"/>
      <c r="I69" s="929">
        <f>IF(H69="","",IFERROR(INDEX(AssumptionRiskTable[状态],MATCH(H69,AssumptionRiskTable[假设/风险名称],0)),"名称未匹配"))</f>
        <v/>
      </c>
    </row>
    <row r="70" ht="42" customHeight="1" s="1025">
      <c r="A70" s="926" t="n"/>
      <c r="B70" s="1043" t="n"/>
      <c r="C70" s="1043" t="n"/>
      <c r="D70" s="1044" t="n"/>
      <c r="E70" s="926" t="n"/>
      <c r="F70" s="926" t="n"/>
      <c r="G70" s="930" t="n"/>
      <c r="H70" s="1043" t="n"/>
      <c r="I70" s="929">
        <f>IF(H70="","",IFERROR(INDEX(AssumptionRiskTable[状态],MATCH(H70,AssumptionRiskTable[假设/风险名称],0)),"名称未匹配"))</f>
        <v/>
      </c>
    </row>
    <row r="71" ht="42" customHeight="1" s="1025">
      <c r="A71" s="926" t="n"/>
      <c r="B71" s="1043" t="n"/>
      <c r="C71" s="1043" t="n"/>
      <c r="D71" s="1044" t="n"/>
      <c r="E71" s="926" t="n"/>
      <c r="F71" s="926" t="n"/>
      <c r="G71" s="930" t="n"/>
      <c r="H71" s="1043" t="n"/>
      <c r="I71" s="929">
        <f>IF(H71="","",IFERROR(INDEX(AssumptionRiskTable[状态],MATCH(H71,AssumptionRiskTable[假设/风险名称],0)),"名称未匹配"))</f>
        <v/>
      </c>
    </row>
    <row r="72" ht="42" customHeight="1" s="1025">
      <c r="A72" s="926" t="n"/>
      <c r="B72" s="1043" t="n"/>
      <c r="C72" s="1043" t="n"/>
      <c r="D72" s="1044" t="n"/>
      <c r="E72" s="926" t="n"/>
      <c r="F72" s="926" t="n"/>
      <c r="G72" s="930" t="n"/>
      <c r="H72" s="1043" t="n"/>
      <c r="I72" s="929">
        <f>IF(H72="","",IFERROR(INDEX(AssumptionRiskTable[状态],MATCH(H72,AssumptionRiskTable[假设/风险名称],0)),"名称未匹配"))</f>
        <v/>
      </c>
    </row>
    <row r="73" ht="42" customHeight="1" s="1025">
      <c r="A73" s="926" t="n"/>
      <c r="B73" s="1043" t="n"/>
      <c r="C73" s="1043" t="n"/>
      <c r="D73" s="1044" t="n"/>
      <c r="E73" s="926" t="n"/>
      <c r="F73" s="926" t="n"/>
      <c r="G73" s="930" t="n"/>
      <c r="H73" s="1043" t="n"/>
      <c r="I73" s="929">
        <f>IF(H73="","",IFERROR(INDEX(AssumptionRiskTable[状态],MATCH(H73,AssumptionRiskTable[假设/风险名称],0)),"名称未匹配"))</f>
        <v/>
      </c>
    </row>
    <row r="74" ht="42" customHeight="1" s="1025">
      <c r="A74" s="926" t="n"/>
      <c r="B74" s="1043" t="n"/>
      <c r="C74" s="1043" t="n"/>
      <c r="D74" s="1044" t="n"/>
      <c r="E74" s="926" t="n"/>
      <c r="F74" s="926" t="n"/>
      <c r="G74" s="930" t="n"/>
      <c r="H74" s="1043" t="n"/>
      <c r="I74" s="929">
        <f>IF(H74="","",IFERROR(INDEX(AssumptionRiskTable[状态],MATCH(H74,AssumptionRiskTable[假设/风险名称],0)),"名称未匹配"))</f>
        <v/>
      </c>
    </row>
    <row r="75" ht="42" customHeight="1" s="1025">
      <c r="A75" s="926" t="n"/>
      <c r="B75" s="1043" t="n"/>
      <c r="C75" s="1043" t="n"/>
      <c r="D75" s="1044" t="n"/>
      <c r="E75" s="926" t="n"/>
      <c r="F75" s="926" t="n"/>
      <c r="G75" s="930" t="n"/>
      <c r="H75" s="1043" t="n"/>
      <c r="I75" s="929">
        <f>IF(H75="","",IFERROR(INDEX(AssumptionRiskTable[状态],MATCH(H75,AssumptionRiskTable[假设/风险名称],0)),"名称未匹配"))</f>
        <v/>
      </c>
    </row>
    <row r="76" ht="42" customHeight="1" s="1025">
      <c r="A76" s="926" t="n"/>
      <c r="B76" s="1043" t="n"/>
      <c r="C76" s="1043" t="n"/>
      <c r="D76" s="1044" t="n"/>
      <c r="E76" s="926" t="n"/>
      <c r="F76" s="926" t="n"/>
      <c r="G76" s="930" t="n"/>
      <c r="H76" s="1043" t="n"/>
      <c r="I76" s="929">
        <f>IF(H76="","",IFERROR(INDEX(AssumptionRiskTable[状态],MATCH(H76,AssumptionRiskTable[假设/风险名称],0)),"名称未匹配"))</f>
        <v/>
      </c>
    </row>
    <row r="77" ht="42" customHeight="1" s="1025">
      <c r="A77" s="926" t="n"/>
      <c r="B77" s="1043" t="n"/>
      <c r="C77" s="1043" t="n"/>
      <c r="D77" s="1044" t="n"/>
      <c r="E77" s="926" t="n"/>
      <c r="F77" s="926" t="n"/>
      <c r="G77" s="930" t="n"/>
      <c r="H77" s="1043" t="n"/>
      <c r="I77" s="929">
        <f>IF(H77="","",IFERROR(INDEX(AssumptionRiskTable[状态],MATCH(H77,AssumptionRiskTable[假设/风险名称],0)),"名称未匹配"))</f>
        <v/>
      </c>
    </row>
    <row r="78" ht="42" customHeight="1" s="1025">
      <c r="A78" s="926" t="n"/>
      <c r="B78" s="1043" t="n"/>
      <c r="C78" s="1043" t="n"/>
      <c r="D78" s="1044" t="n"/>
      <c r="E78" s="926" t="n"/>
      <c r="F78" s="926" t="n"/>
      <c r="G78" s="930" t="n"/>
      <c r="H78" s="1043" t="n"/>
      <c r="I78" s="929">
        <f>IF(H78="","",IFERROR(INDEX(AssumptionRiskTable[状态],MATCH(H78,AssumptionRiskTable[假设/风险名称],0)),"名称未匹配"))</f>
        <v/>
      </c>
    </row>
    <row r="79" ht="42" customHeight="1" s="1025">
      <c r="A79" s="926" t="n"/>
      <c r="B79" s="1043" t="n"/>
      <c r="C79" s="1043" t="n"/>
      <c r="D79" s="1044" t="n"/>
      <c r="E79" s="926" t="n"/>
      <c r="F79" s="926" t="n"/>
      <c r="G79" s="930" t="n"/>
      <c r="H79" s="1043" t="n"/>
      <c r="I79" s="929">
        <f>IF(H79="","",IFERROR(INDEX(AssumptionRiskTable[状态],MATCH(H79,AssumptionRiskTable[假设/风险名称],0)),"名称未匹配"))</f>
        <v/>
      </c>
    </row>
    <row r="80" ht="42" customHeight="1" s="1025">
      <c r="A80" s="926" t="n"/>
      <c r="B80" s="1043" t="n"/>
      <c r="C80" s="1043" t="n"/>
      <c r="D80" s="1044" t="n"/>
      <c r="E80" s="926" t="n"/>
      <c r="F80" s="926" t="n"/>
      <c r="G80" s="930" t="n"/>
      <c r="H80" s="1043" t="n"/>
      <c r="I80" s="929">
        <f>IF(H80="","",IFERROR(INDEX(AssumptionRiskTable[状态],MATCH(H80,AssumptionRiskTable[假设/风险名称],0)),"名称未匹配"))</f>
        <v/>
      </c>
    </row>
    <row r="81" ht="42" customHeight="1" s="1025">
      <c r="A81" s="926" t="n"/>
      <c r="B81" s="1043" t="n"/>
      <c r="C81" s="1043" t="n"/>
      <c r="D81" s="1044" t="n"/>
      <c r="E81" s="926" t="n"/>
      <c r="F81" s="926" t="n"/>
      <c r="G81" s="930" t="n"/>
      <c r="H81" s="1043" t="n"/>
      <c r="I81" s="929">
        <f>IF(H81="","",IFERROR(INDEX(AssumptionRiskTable[状态],MATCH(H81,AssumptionRiskTable[假设/风险名称],0)),"名称未匹配"))</f>
        <v/>
      </c>
    </row>
    <row r="82" ht="42" customHeight="1" s="1025">
      <c r="A82" s="926" t="n"/>
      <c r="B82" s="1043" t="n"/>
      <c r="C82" s="1043" t="n"/>
      <c r="D82" s="1044" t="n"/>
      <c r="E82" s="926" t="n"/>
      <c r="F82" s="926" t="n"/>
      <c r="G82" s="930" t="n"/>
      <c r="H82" s="1043" t="n"/>
      <c r="I82" s="929">
        <f>IF(H82="","",IFERROR(INDEX(AssumptionRiskTable[状态],MATCH(H82,AssumptionRiskTable[假设/风险名称],0)),"名称未匹配"))</f>
        <v/>
      </c>
    </row>
    <row r="83" ht="42" customHeight="1" s="1025">
      <c r="A83" s="926" t="n"/>
      <c r="B83" s="1043" t="n"/>
      <c r="C83" s="1043" t="n"/>
      <c r="D83" s="1044" t="n"/>
      <c r="E83" s="926" t="n"/>
      <c r="F83" s="926" t="n"/>
      <c r="G83" s="930" t="n"/>
      <c r="H83" s="1043" t="n"/>
      <c r="I83" s="929">
        <f>IF(H83="","",IFERROR(INDEX(AssumptionRiskTable[状态],MATCH(H83,AssumptionRiskTable[假设/风险名称],0)),"名称未匹配"))</f>
        <v/>
      </c>
    </row>
    <row r="84" ht="42" customHeight="1" s="1025">
      <c r="A84" s="926" t="n"/>
      <c r="B84" s="1043" t="n"/>
      <c r="C84" s="1043" t="n"/>
      <c r="D84" s="1044" t="n"/>
      <c r="E84" s="926" t="n"/>
      <c r="F84" s="926" t="n"/>
      <c r="G84" s="930" t="n"/>
      <c r="H84" s="1043" t="n"/>
      <c r="I84" s="929">
        <f>IF(H84="","",IFERROR(INDEX(AssumptionRiskTable[状态],MATCH(H84,AssumptionRiskTable[假设/风险名称],0)),"名称未匹配"))</f>
        <v/>
      </c>
    </row>
    <row r="85" ht="42" customHeight="1" s="1025">
      <c r="A85" s="926" t="n"/>
      <c r="B85" s="1043" t="n"/>
      <c r="C85" s="1043" t="n"/>
      <c r="D85" s="1044" t="n"/>
      <c r="E85" s="926" t="n"/>
      <c r="F85" s="926" t="n"/>
      <c r="G85" s="930" t="n"/>
      <c r="H85" s="1043" t="n"/>
      <c r="I85" s="929">
        <f>IF(H85="","",IFERROR(INDEX(AssumptionRiskTable[状态],MATCH(H85,AssumptionRiskTable[假设/风险名称],0)),"名称未匹配"))</f>
        <v/>
      </c>
    </row>
    <row r="86" ht="42" customHeight="1" s="1025">
      <c r="A86" s="926" t="n"/>
      <c r="B86" s="1043" t="n"/>
      <c r="C86" s="1043" t="n"/>
      <c r="D86" s="1044" t="n"/>
      <c r="E86" s="926" t="n"/>
      <c r="F86" s="926" t="n"/>
      <c r="G86" s="930" t="n"/>
      <c r="H86" s="1043" t="n"/>
      <c r="I86" s="929">
        <f>IF(H86="","",IFERROR(INDEX(AssumptionRiskTable[状态],MATCH(H86,AssumptionRiskTable[假设/风险名称],0)),"名称未匹配"))</f>
        <v/>
      </c>
    </row>
    <row r="87" ht="42" customHeight="1" s="1025">
      <c r="A87" s="926" t="n"/>
      <c r="B87" s="1043" t="n"/>
      <c r="C87" s="1043" t="n"/>
      <c r="D87" s="1044" t="n"/>
      <c r="E87" s="926" t="n"/>
      <c r="F87" s="926" t="n"/>
      <c r="G87" s="930" t="n"/>
      <c r="H87" s="1043" t="n"/>
      <c r="I87" s="929">
        <f>IF(H87="","",IFERROR(INDEX(AssumptionRiskTable[状态],MATCH(H87,AssumptionRiskTable[假设/风险名称],0)),"名称未匹配"))</f>
        <v/>
      </c>
    </row>
    <row r="88" ht="42" customHeight="1" s="1025">
      <c r="A88" s="926" t="n"/>
      <c r="B88" s="1043" t="n"/>
      <c r="C88" s="1043" t="n"/>
      <c r="D88" s="1044" t="n"/>
      <c r="E88" s="926" t="n"/>
      <c r="F88" s="926" t="n"/>
      <c r="G88" s="930" t="n"/>
      <c r="H88" s="1043" t="n"/>
      <c r="I88" s="929">
        <f>IF(H88="","",IFERROR(INDEX(AssumptionRiskTable[状态],MATCH(H88,AssumptionRiskTable[假设/风险名称],0)),"名称未匹配"))</f>
        <v/>
      </c>
    </row>
    <row r="89" ht="42" customHeight="1" s="1025">
      <c r="A89" s="926" t="n"/>
      <c r="B89" s="1043" t="n"/>
      <c r="C89" s="1043" t="n"/>
      <c r="D89" s="1044" t="n"/>
      <c r="E89" s="926" t="n"/>
      <c r="F89" s="926" t="n"/>
      <c r="G89" s="930" t="n"/>
      <c r="H89" s="1043" t="n"/>
      <c r="I89" s="929">
        <f>IF(H89="","",IFERROR(INDEX(AssumptionRiskTable[状态],MATCH(H89,AssumptionRiskTable[假设/风险名称],0)),"名称未匹配"))</f>
        <v/>
      </c>
    </row>
    <row r="90" ht="42" customHeight="1" s="1025">
      <c r="A90" s="926" t="n"/>
      <c r="B90" s="1043" t="n"/>
      <c r="C90" s="1043" t="n"/>
      <c r="D90" s="1044" t="n"/>
      <c r="E90" s="926" t="n"/>
      <c r="F90" s="926" t="n"/>
      <c r="G90" s="930" t="n"/>
      <c r="H90" s="1043" t="n"/>
      <c r="I90" s="929">
        <f>IF(H90="","",IFERROR(INDEX(AssumptionRiskTable[状态],MATCH(H90,AssumptionRiskTable[假设/风险名称],0)),"名称未匹配"))</f>
        <v/>
      </c>
    </row>
    <row r="91" ht="42" customHeight="1" s="1025">
      <c r="A91" s="926" t="n"/>
      <c r="B91" s="1043" t="n"/>
      <c r="C91" s="1043" t="n"/>
      <c r="D91" s="1044" t="n"/>
      <c r="E91" s="926" t="n"/>
      <c r="F91" s="926" t="n"/>
      <c r="G91" s="930" t="n"/>
      <c r="H91" s="1043" t="n"/>
      <c r="I91" s="929">
        <f>IF(H91="","",IFERROR(INDEX(AssumptionRiskTable[状态],MATCH(H91,AssumptionRiskTable[假设/风险名称],0)),"名称未匹配"))</f>
        <v/>
      </c>
    </row>
    <row r="92" ht="42" customHeight="1" s="1025">
      <c r="A92" s="926" t="n"/>
      <c r="B92" s="1043" t="n"/>
      <c r="C92" s="1043" t="n"/>
      <c r="D92" s="1044" t="n"/>
      <c r="E92" s="926" t="n"/>
      <c r="F92" s="926" t="n"/>
      <c r="G92" s="930" t="n"/>
      <c r="H92" s="1043" t="n"/>
      <c r="I92" s="929">
        <f>IF(H92="","",IFERROR(INDEX(AssumptionRiskTable[状态],MATCH(H92,AssumptionRiskTable[假设/风险名称],0)),"名称未匹配"))</f>
        <v/>
      </c>
    </row>
    <row r="93" ht="42" customHeight="1" s="1025">
      <c r="A93" s="926" t="n"/>
      <c r="B93" s="1043" t="n"/>
      <c r="C93" s="1043" t="n"/>
      <c r="D93" s="1044" t="n"/>
      <c r="E93" s="926" t="n"/>
      <c r="F93" s="926" t="n"/>
      <c r="G93" s="930" t="n"/>
      <c r="H93" s="1043" t="n"/>
      <c r="I93" s="929">
        <f>IF(H93="","",IFERROR(INDEX(AssumptionRiskTable[状态],MATCH(H93,AssumptionRiskTable[假设/风险名称],0)),"名称未匹配"))</f>
        <v/>
      </c>
    </row>
    <row r="94" ht="42" customHeight="1" s="1025">
      <c r="A94" s="926" t="n"/>
      <c r="B94" s="1043" t="n"/>
      <c r="C94" s="1043" t="n"/>
      <c r="D94" s="1044" t="n"/>
      <c r="E94" s="926" t="n"/>
      <c r="F94" s="926" t="n"/>
      <c r="G94" s="930" t="n"/>
      <c r="H94" s="1043" t="n"/>
      <c r="I94" s="929">
        <f>IF(H94="","",IFERROR(INDEX(AssumptionRiskTable[状态],MATCH(H94,AssumptionRiskTable[假设/风险名称],0)),"名称未匹配"))</f>
        <v/>
      </c>
    </row>
    <row r="95" ht="42" customHeight="1" s="1025">
      <c r="A95" s="926" t="n"/>
      <c r="B95" s="1043" t="n"/>
      <c r="C95" s="1043" t="n"/>
      <c r="D95" s="1044" t="n"/>
      <c r="E95" s="926" t="n"/>
      <c r="F95" s="926" t="n"/>
      <c r="G95" s="930" t="n"/>
      <c r="H95" s="1043" t="n"/>
      <c r="I95" s="929">
        <f>IF(H95="","",IFERROR(INDEX(AssumptionRiskTable[状态],MATCH(H95,AssumptionRiskTable[假设/风险名称],0)),"名称未匹配"))</f>
        <v/>
      </c>
    </row>
    <row r="96" ht="42" customHeight="1" s="1025">
      <c r="A96" s="926" t="n"/>
      <c r="B96" s="1043" t="n"/>
      <c r="C96" s="1043" t="n"/>
      <c r="D96" s="1044" t="n"/>
      <c r="E96" s="926" t="n"/>
      <c r="F96" s="926" t="n"/>
      <c r="G96" s="930" t="n"/>
      <c r="H96" s="1043" t="n"/>
      <c r="I96" s="929">
        <f>IF(H96="","",IFERROR(INDEX(AssumptionRiskTable[状态],MATCH(H96,AssumptionRiskTable[假设/风险名称],0)),"名称未匹配"))</f>
        <v/>
      </c>
    </row>
    <row r="97" ht="42" customHeight="1" s="1025">
      <c r="A97" s="926" t="n"/>
      <c r="B97" s="1043" t="n"/>
      <c r="C97" s="1043" t="n"/>
      <c r="D97" s="1044" t="n"/>
      <c r="E97" s="926" t="n"/>
      <c r="F97" s="926" t="n"/>
      <c r="G97" s="930" t="n"/>
      <c r="H97" s="1043" t="n"/>
      <c r="I97" s="929">
        <f>IF(H97="","",IFERROR(INDEX(AssumptionRiskTable[状态],MATCH(H97,AssumptionRiskTable[假设/风险名称],0)),"名称未匹配"))</f>
        <v/>
      </c>
    </row>
    <row r="98" ht="42" customHeight="1" s="1025">
      <c r="A98" s="926" t="n"/>
      <c r="B98" s="1043" t="n"/>
      <c r="C98" s="1043" t="n"/>
      <c r="D98" s="1044" t="n"/>
      <c r="E98" s="926" t="n"/>
      <c r="F98" s="926" t="n"/>
      <c r="G98" s="930" t="n"/>
      <c r="H98" s="1043" t="n"/>
      <c r="I98" s="929">
        <f>IF(H98="","",IFERROR(INDEX(AssumptionRiskTable[状态],MATCH(H98,AssumptionRiskTable[假设/风险名称],0)),"名称未匹配"))</f>
        <v/>
      </c>
    </row>
    <row r="99" ht="42" customHeight="1" s="1025">
      <c r="A99" s="926" t="n"/>
      <c r="B99" s="1043" t="n"/>
      <c r="C99" s="1043" t="n"/>
      <c r="D99" s="1044" t="n"/>
      <c r="E99" s="926" t="n"/>
      <c r="F99" s="926" t="n"/>
      <c r="G99" s="930" t="n"/>
      <c r="H99" s="1043" t="n"/>
      <c r="I99" s="929">
        <f>IF(H99="","",IFERROR(INDEX(AssumptionRiskTable[状态],MATCH(H99,AssumptionRiskTable[假设/风险名称],0)),"名称未匹配"))</f>
        <v/>
      </c>
    </row>
    <row r="100" ht="42" customHeight="1" s="1025">
      <c r="A100" s="926" t="n"/>
      <c r="B100" s="1043" t="n"/>
      <c r="C100" s="1043" t="n"/>
      <c r="D100" s="1044" t="n"/>
      <c r="E100" s="926" t="n"/>
      <c r="F100" s="926" t="n"/>
      <c r="G100" s="930" t="n"/>
      <c r="H100" s="1043" t="n"/>
      <c r="I100" s="929">
        <f>IF(H100="","",IFERROR(INDEX(AssumptionRiskTable[状态],MATCH(H100,AssumptionRiskTable[假设/风险名称],0)),"名称未匹配"))</f>
        <v/>
      </c>
    </row>
    <row r="101" ht="42" customHeight="1" s="1025">
      <c r="A101" s="926" t="n"/>
      <c r="B101" s="1043" t="n"/>
      <c r="C101" s="1043" t="n"/>
      <c r="D101" s="1044" t="n"/>
      <c r="E101" s="926" t="n"/>
      <c r="F101" s="926" t="n"/>
      <c r="G101" s="930" t="n"/>
      <c r="H101" s="1043" t="n"/>
      <c r="I101" s="929">
        <f>IF(H101="","",IFERROR(INDEX(AssumptionRiskTable[状态],MATCH(H101,AssumptionRiskTable[假设/风险名称],0)),"名称未匹配"))</f>
        <v/>
      </c>
    </row>
    <row r="102" ht="42" customHeight="1" s="1025">
      <c r="A102" s="926" t="n"/>
      <c r="B102" s="1043" t="n"/>
      <c r="C102" s="1043" t="n"/>
      <c r="D102" s="1044" t="n"/>
      <c r="E102" s="926" t="n"/>
      <c r="F102" s="926" t="n"/>
      <c r="G102" s="930" t="n"/>
      <c r="H102" s="1043" t="n"/>
      <c r="I102" s="929">
        <f>IF(H102="","",IFERROR(INDEX(AssumptionRiskTable[状态],MATCH(H102,AssumptionRiskTable[假设/风险名称],0)),"名称未匹配"))</f>
        <v/>
      </c>
    </row>
    <row r="103" ht="42" customHeight="1" s="1025">
      <c r="A103" s="926" t="n"/>
      <c r="B103" s="1043" t="n"/>
      <c r="C103" s="1043" t="n"/>
      <c r="D103" s="1044" t="n"/>
      <c r="E103" s="926" t="n"/>
      <c r="F103" s="926" t="n"/>
      <c r="G103" s="930" t="n"/>
      <c r="H103" s="1043" t="n"/>
      <c r="I103" s="929">
        <f>IF(H103="","",IFERROR(INDEX(AssumptionRiskTable[状态],MATCH(H103,AssumptionRiskTable[假设/风险名称],0)),"名称未匹配"))</f>
        <v/>
      </c>
    </row>
    <row r="104" ht="42" customHeight="1" s="1025">
      <c r="A104" s="926" t="n"/>
      <c r="B104" s="1043" t="n"/>
      <c r="C104" s="1043" t="n"/>
      <c r="D104" s="1044" t="n"/>
      <c r="E104" s="926" t="n"/>
      <c r="F104" s="926" t="n"/>
      <c r="G104" s="930" t="n"/>
      <c r="H104" s="1043" t="n"/>
      <c r="I104" s="929">
        <f>IF(H104="","",IFERROR(INDEX(AssumptionRiskTable[状态],MATCH(H104,AssumptionRiskTable[假设/风险名称],0)),"名称未匹配"))</f>
        <v/>
      </c>
    </row>
  </sheetData>
  <sheetProtection selectLockedCells="0" selectUnlockedCells="0" sheet="1" objects="0" insertRows="1" insertHyperlinks="1" autoFilter="1" scenarios="0" formatColumns="1" deleteColumns="1" insertColumns="1" pivotTables="1" deleteRows="1" formatCells="1" formatRows="1" sort="1"/>
  <mergeCells count="2">
    <mergeCell ref="A1:I1"/>
    <mergeCell ref="A2:I2"/>
  </mergeCells>
  <conditionalFormatting sqref="I5:I104">
    <cfRule type="cellIs" priority="3" operator="equal" dxfId="27">
      <formula>"已明确"</formula>
    </cfRule>
    <cfRule type="cellIs" priority="4" operator="equal" dxfId="28">
      <formula>"待确认"</formula>
    </cfRule>
  </conditionalFormatting>
  <dataValidations count="3">
    <dataValidation sqref="B5:B104" showDropDown="0" showInputMessage="0" showErrorMessage="0" allowBlank="1" type="list">
      <formula1>INDIRECT("'02-子需求'!$B$5:$B$104")</formula1>
    </dataValidation>
    <dataValidation sqref="D5:D104" showDropDown="0" showInputMessage="0" showErrorMessage="0" allowBlank="1" type="list">
      <formula1>"是,否"</formula1>
    </dataValidation>
    <dataValidation sqref="H5:H104" showDropDown="0" showInputMessage="0" showErrorMessage="0" allowBlank="0" type="list">
      <formula1>INDIRECT("'07-假设清单'!$A$5:$A$104")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62" customWidth="1" style="1025" min="4" max="4"/>
  </cols>
  <sheetData>
    <row r="1" ht="31" customHeight="1" s="1025">
      <c r="A1" s="914" t="inlineStr">
        <is>
          <t>验收条件</t>
        </is>
      </c>
      <c r="B1" s="635" t="n"/>
      <c r="C1" s="635" t="n"/>
      <c r="D1" s="635" t="n"/>
    </row>
    <row r="2" ht="34" customHeight="1" s="1025">
      <c r="A2" s="916" t="inlineStr">
        <is>
          <t>使用故事名称关联上级；验收条件名称为可读、非空的验收结果。</t>
        </is>
      </c>
      <c r="B2" s="636" t="n"/>
      <c r="C2" s="636" t="n"/>
      <c r="D2" s="636" t="n"/>
    </row>
    <row r="3" ht="9" customHeight="1" s="1025">
      <c r="A3" s="918" t="n"/>
      <c r="B3" s="918" t="n"/>
      <c r="C3" s="918" t="n"/>
      <c r="D3" s="918" t="n"/>
    </row>
    <row r="4" ht="38" customHeight="1" s="1025">
      <c r="A4" s="911" t="inlineStr">
        <is>
          <t>需求名称</t>
        </is>
      </c>
      <c r="B4" s="911" t="inlineStr">
        <is>
          <t>子需求名称</t>
        </is>
      </c>
      <c r="C4" s="911" t="inlineStr">
        <is>
          <t>故事名称</t>
        </is>
      </c>
      <c r="D4" s="911" t="inlineStr">
        <is>
          <t>验收条件名称</t>
        </is>
      </c>
    </row>
    <row r="5" ht="34" customHeight="1" s="1025">
      <c r="A5" s="926">
        <f>IF(C5="","",IFERROR(INDEX(SOWStoryTable[需求名称],MATCH(C5,SOWStoryTable[故事名称],0)),"来源未匹配"))</f>
        <v/>
      </c>
      <c r="B5" s="926">
        <f>IF(C5="","",IFERROR(INDEX(SOWStoryTable[子需求名称],MATCH(C5,SOWStoryTable[故事名称],0)),"来源未匹配"))</f>
        <v/>
      </c>
      <c r="C5" s="1058" t="inlineStr">
        <is>
          <t>创建并查看客户档案</t>
        </is>
      </c>
      <c r="D5" s="1058" t="inlineStr">
        <is>
          <t>用户保存档案后可以查看授权范围内的最新字段。</t>
        </is>
      </c>
    </row>
    <row r="6" ht="34" customHeight="1" s="1025">
      <c r="A6" s="926">
        <f>IF(C6="","",IFERROR(INDEX(SOWStoryTable[需求名称],MATCH(C6,SOWStoryTable[故事名称],0)),"来源未匹配"))</f>
        <v/>
      </c>
      <c r="B6" s="926">
        <f>IF(C6="","",IFERROR(INDEX(SOWStoryTable[子需求名称],MATCH(C6,SOWStoryTable[故事名称],0)),"来源未匹配"))</f>
        <v/>
      </c>
      <c r="C6" s="1058" t="inlineStr">
        <is>
          <t>创建并查看客户档案</t>
        </is>
      </c>
      <c r="D6" s="1058" t="inlineStr">
        <is>
          <t>档案变更记录包含操作者、时间和变更字段。</t>
        </is>
      </c>
    </row>
    <row r="7" ht="34" customHeight="1" s="1025">
      <c r="A7" s="926">
        <f>IF(C7="","",IFERROR(INDEX(SOWStoryTable[需求名称],MATCH(C7,SOWStoryTable[故事名称],0)),"来源未匹配"))</f>
        <v/>
      </c>
      <c r="B7" s="926">
        <f>IF(C7="","",IFERROR(INDEX(SOWStoryTable[子需求名称],MATCH(C7,SOWStoryTable[故事名称],0)),"来源未匹配"))</f>
        <v/>
      </c>
      <c r="C7" s="1058" t="inlineStr">
        <is>
          <t>提供客户档案操作</t>
        </is>
      </c>
      <c r="D7" s="1058" t="inlineStr">
        <is>
          <t>渠道可以通过已发布 API 创建、维护和检索客户档案。</t>
        </is>
      </c>
    </row>
    <row r="8" ht="34" customHeight="1" s="1025">
      <c r="A8" s="926">
        <f>IF(C8="","",IFERROR(INDEX(SOWStoryTable[需求名称],MATCH(C8,SOWStoryTable[故事名称],0)),"来源未匹配"))</f>
        <v/>
      </c>
      <c r="B8" s="926">
        <f>IF(C8="","",IFERROR(INDEX(SOWStoryTable[子需求名称],MATCH(C8,SOWStoryTable[故事名称],0)),"来源未匹配"))</f>
        <v/>
      </c>
      <c r="C8" s="1058" t="inlineStr">
        <is>
          <t>提供客户档案操作</t>
        </is>
      </c>
      <c r="D8" s="1058" t="inlineStr">
        <is>
          <t>未授权角色无法读取敏感字段且访问留痕。</t>
        </is>
      </c>
    </row>
    <row r="9" ht="34" customHeight="1" s="1025">
      <c r="A9" s="926">
        <f>IF(C9="","",IFERROR(INDEX(SOWStoryTable[需求名称],MATCH(C9,SOWStoryTable[故事名称],0)),"来源未匹配"))</f>
        <v/>
      </c>
      <c r="B9" s="926">
        <f>IF(C9="","",IFERROR(INDEX(SOWStoryTable[子需求名称],MATCH(C9,SOWStoryTable[故事名称],0)),"来源未匹配"))</f>
        <v/>
      </c>
      <c r="C9" s="1058" t="inlineStr">
        <is>
          <t>集成会员主数据查询</t>
        </is>
      </c>
      <c r="D9" s="1058" t="inlineStr">
        <is>
          <t>星云会员门户可以通过内部接口检索统一会员号和档案。</t>
        </is>
      </c>
    </row>
    <row r="10" ht="34" customHeight="1" s="1025">
      <c r="A10" s="926">
        <f>IF(C10="","",IFERROR(INDEX(SOWStoryTable[需求名称],MATCH(C10,SOWStoryTable[故事名称],0)),"来源未匹配"))</f>
        <v/>
      </c>
      <c r="B10" s="926">
        <f>IF(C10="","",IFERROR(INDEX(SOWStoryTable[子需求名称],MATCH(C10,SOWStoryTable[故事名称],0)),"来源未匹配"))</f>
        <v/>
      </c>
      <c r="C10" s="1058" t="inlineStr">
        <is>
          <t>计算并追溯会员等级</t>
        </is>
      </c>
      <c r="D10" s="1058" t="inlineStr">
        <is>
          <t>会员等级按生效规则计算且可以追溯规则版本。</t>
        </is>
      </c>
    </row>
    <row r="11" ht="34" customHeight="1" s="1025">
      <c r="A11" s="926">
        <f>IF(C11="","",IFERROR(INDEX(SOWStoryTable[需求名称],MATCH(C11,SOWStoryTable[故事名称],0)),"来源未匹配"))</f>
        <v/>
      </c>
      <c r="B11" s="926">
        <f>IF(C11="","",IFERROR(INDEX(SOWStoryTable[子需求名称],MATCH(C11,SOWStoryTable[故事名称],0)),"来源未匹配"))</f>
        <v/>
      </c>
      <c r="C11" s="1058" t="inlineStr">
        <is>
          <t>计算并追溯会员等级</t>
        </is>
      </c>
      <c r="D11" s="1058" t="inlineStr">
        <is>
          <t>等级调整后保留原等级、生效时间和调整原因。</t>
        </is>
      </c>
    </row>
    <row r="12" ht="34" customHeight="1" s="1025">
      <c r="A12" s="926">
        <f>IF(C12="","",IFERROR(INDEX(SOWStoryTable[需求名称],MATCH(C12,SOWStoryTable[故事名称],0)),"来源未匹配"))</f>
        <v/>
      </c>
      <c r="B12" s="926">
        <f>IF(C12="","",IFERROR(INDEX(SOWStoryTable[子需求名称],MATCH(C12,SOWStoryTable[故事名称],0)),"来源未匹配"))</f>
        <v/>
      </c>
      <c r="C12" s="1058" t="inlineStr">
        <is>
          <t>统一创建全渠道订单</t>
        </is>
      </c>
      <c r="D12" s="1058" t="inlineStr">
        <is>
          <t>门店和线上渠道通过相同校验规则创建订单。</t>
        </is>
      </c>
    </row>
    <row r="13" ht="34" customHeight="1" s="1025">
      <c r="A13" s="926">
        <f>IF(C13="","",IFERROR(INDEX(SOWStoryTable[需求名称],MATCH(C13,SOWStoryTable[故事名称],0)),"来源未匹配"))</f>
        <v/>
      </c>
      <c r="B13" s="926">
        <f>IF(C13="","",IFERROR(INDEX(SOWStoryTable[子需求名称],MATCH(C13,SOWStoryTable[故事名称],0)),"来源未匹配"))</f>
        <v/>
      </c>
      <c r="C13" s="1058" t="inlineStr">
        <is>
          <t>统一创建全渠道订单</t>
        </is>
      </c>
      <c r="D13" s="1058" t="inlineStr">
        <is>
          <t>相同幂等键的重复请求不产生重复订单。</t>
        </is>
      </c>
    </row>
    <row r="14" ht="34" customHeight="1" s="1025">
      <c r="A14" s="926">
        <f>IF(C14="","",IFERROR(INDEX(SOWStoryTable[需求名称],MATCH(C14,SOWStoryTable[故事名称],0)),"来源未匹配"))</f>
        <v/>
      </c>
      <c r="B14" s="926">
        <f>IF(C14="","",IFERROR(INDEX(SOWStoryTable[子需求名称],MATCH(C14,SOWStoryTable[故事名称],0)),"来源未匹配"))</f>
        <v/>
      </c>
      <c r="C14" s="1058" t="inlineStr">
        <is>
          <t>驱动订单状态与事件</t>
        </is>
      </c>
      <c r="D14" s="1058" t="inlineStr">
        <is>
          <t>合法命令驱动状态变化并记录来源、时间和事件编号。</t>
        </is>
      </c>
    </row>
    <row r="15" ht="34" customHeight="1" s="1025">
      <c r="A15" s="926">
        <f>IF(C15="","",IFERROR(INDEX(SOWStoryTable[需求名称],MATCH(C15,SOWStoryTable[故事名称],0)),"来源未匹配"))</f>
        <v/>
      </c>
      <c r="B15" s="926">
        <f>IF(C15="","",IFERROR(INDEX(SOWStoryTable[子需求名称],MATCH(C15,SOWStoryTable[故事名称],0)),"来源未匹配"))</f>
        <v/>
      </c>
      <c r="C15" s="1058" t="inlineStr">
        <is>
          <t>预占和释放 ERP 库存</t>
        </is>
      </c>
      <c r="D15" s="1058" t="inlineStr">
        <is>
          <t>订单确认和取消分别完成库存预占与释放。</t>
        </is>
      </c>
    </row>
    <row r="16" ht="34" customHeight="1" s="1025">
      <c r="A16" s="926">
        <f>IF(C16="","",IFERROR(INDEX(SOWStoryTable[需求名称],MATCH(C16,SOWStoryTable[故事名称],0)),"来源未匹配"))</f>
        <v/>
      </c>
      <c r="B16" s="926">
        <f>IF(C16="","",IFERROR(INDEX(SOWStoryTable[子需求名称],MATCH(C16,SOWStoryTable[故事名称],0)),"来源未匹配"))</f>
        <v/>
      </c>
      <c r="C16" s="1058" t="inlineStr">
        <is>
          <t>预占和释放 ERP 库存</t>
        </is>
      </c>
      <c r="D16" s="1058" t="inlineStr">
        <is>
          <t>ERP 超时重试不会产生重复预占。</t>
        </is>
      </c>
    </row>
    <row r="17" ht="34" customHeight="1" s="1025">
      <c r="A17" s="926">
        <f>IF(C17="","",IFERROR(INDEX(SOWStoryTable[需求名称],MATCH(C17,SOWStoryTable[故事名称],0)),"来源未匹配"))</f>
        <v/>
      </c>
      <c r="B17" s="926">
        <f>IF(C17="","",IFERROR(INDEX(SOWStoryTable[子需求名称],MATCH(C17,SOWStoryTable[故事名称],0)),"来源未匹配"))</f>
        <v/>
      </c>
      <c r="C17" s="1058" t="inlineStr">
        <is>
          <t>提交并审核退货申请</t>
        </is>
      </c>
      <c r="D17" s="1058" t="inlineStr">
        <is>
          <t>系统拒绝超过可退数量的申请并记录审核结果。</t>
        </is>
      </c>
    </row>
    <row r="18" ht="34" customHeight="1" s="1025">
      <c r="A18" s="926">
        <f>IF(C18="","",IFERROR(INDEX(SOWStoryTable[需求名称],MATCH(C18,SOWStoryTable[故事名称],0)),"来源未匹配"))</f>
        <v/>
      </c>
      <c r="B18" s="926">
        <f>IF(C18="","",IFERROR(INDEX(SOWStoryTable[子需求名称],MATCH(C18,SOWStoryTable[故事名称],0)),"来源未匹配"))</f>
        <v/>
      </c>
      <c r="C18" s="1058" t="inlineStr">
        <is>
          <t>发起退款并回写结果</t>
        </is>
      </c>
      <c r="D18" s="1058" t="inlineStr">
        <is>
          <t>退款结果回写订单且同一退货单不重复退款。</t>
        </is>
      </c>
    </row>
    <row r="19" ht="34" customHeight="1" s="1025">
      <c r="A19" s="926">
        <f>IF(C19="","",IFERROR(INDEX(SOWStoryTable[需求名称],MATCH(C19,SOWStoryTable[故事名称],0)),"来源未匹配"))</f>
        <v/>
      </c>
      <c r="B19" s="926">
        <f>IF(C19="","",IFERROR(INDEX(SOWStoryTable[子需求名称],MATCH(C19,SOWStoryTable[故事名称],0)),"来源未匹配"))</f>
        <v/>
      </c>
      <c r="C19" s="1058" t="inlineStr">
        <is>
          <t>门店处理订单与交接</t>
        </is>
      </c>
      <c r="D19" s="1058" t="inlineStr">
        <is>
          <t>授权门店可以处理本店订单并完成交接记录。</t>
        </is>
      </c>
    </row>
    <row r="20" ht="34" customHeight="1" s="1025">
      <c r="A20" s="926">
        <f>IF(C20="","",IFERROR(INDEX(SOWStoryTable[需求名称],MATCH(C20,SOWStoryTable[故事名称],0)),"来源未匹配"))</f>
        <v/>
      </c>
      <c r="B20" s="926">
        <f>IF(C20="","",IFERROR(INDEX(SOWStoryTable[子需求名称],MATCH(C20,SOWStoryTable[故事名称],0)),"来源未匹配"))</f>
        <v/>
      </c>
      <c r="C20" s="1058" t="inlineStr">
        <is>
          <t>查看统一履约轨迹</t>
        </is>
      </c>
      <c r="D20" s="1058" t="inlineStr">
        <is>
          <t>顾客和客服看到一致的履约节点与异常原因。</t>
        </is>
      </c>
    </row>
    <row r="21" ht="34" customHeight="1" s="1025">
      <c r="A21" s="926">
        <f>IF(C21="","",IFERROR(INDEX(SOWStoryTable[需求名称],MATCH(C21,SOWStoryTable[故事名称],0)),"来源未匹配"))</f>
        <v/>
      </c>
      <c r="B21" s="926">
        <f>IF(C21="","",IFERROR(INDEX(SOWStoryTable[子需求名称],MATCH(C21,SOWStoryTable[故事名称],0)),"来源未匹配"))</f>
        <v/>
      </c>
      <c r="C21" s="1058" t="inlineStr">
        <is>
          <t>执行支付退款日结对账</t>
        </is>
      </c>
      <c r="D21" s="1058" t="inlineStr">
        <is>
          <t>前一自然日交易在 07:00 前完成对账并标识差异。</t>
        </is>
      </c>
    </row>
    <row r="22" ht="34" customHeight="1" s="1025">
      <c r="A22" s="926">
        <f>IF(C22="","",IFERROR(INDEX(SOWStoryTable[需求名称],MATCH(C22,SOWStoryTable[故事名称],0)),"来源未匹配"))</f>
        <v/>
      </c>
      <c r="B22" s="926">
        <f>IF(C22="","",IFERROR(INDEX(SOWStoryTable[子需求名称],MATCH(C22,SOWStoryTable[故事名称],0)),"来源未匹配"))</f>
        <v/>
      </c>
      <c r="C22" s="1058" t="inlineStr">
        <is>
          <t>执行支付退款日结对账</t>
        </is>
      </c>
      <c r="D22" s="1058" t="inlineStr">
        <is>
          <t>每个差异项可以追溯到订单、支付交易和退款记录。</t>
        </is>
      </c>
    </row>
    <row r="23" ht="34" customHeight="1" s="1025">
      <c r="A23" s="926">
        <f>IF(C23="","",IFERROR(INDEX(SOWStoryTable[需求名称],MATCH(C23,SOWStoryTable[故事名称],0)),"来源未匹配"))</f>
        <v/>
      </c>
      <c r="B23" s="926">
        <f>IF(C23="","",IFERROR(INDEX(SOWStoryTable[子需求名称],MATCH(C23,SOWStoryTable[故事名称],0)),"来源未匹配"))</f>
        <v/>
      </c>
      <c r="C23" s="1058" t="inlineStr">
        <is>
          <t>申请并追踪电子发票</t>
        </is>
      </c>
      <c r="D23" s="1058" t="inlineStr">
        <is>
          <t>开票成功后保存发票号码和下载地址，失败时保存失败码。</t>
        </is>
      </c>
    </row>
    <row r="24" ht="34" customHeight="1" s="1025">
      <c r="A24" s="926">
        <f>IF(C24="","",IFERROR(INDEX(SOWStoryTable[需求名称],MATCH(C24,SOWStoryTable[故事名称],0)),"来源未匹配"))</f>
        <v/>
      </c>
      <c r="B24" s="926">
        <f>IF(C24="","",IFERROR(INDEX(SOWStoryTable[子需求名称],MATCH(C24,SOWStoryTable[故事名称],0)),"来源未匹配"))</f>
        <v/>
      </c>
      <c r="C24" s="1058" t="inlineStr">
        <is>
          <t>申请并追踪电子发票</t>
        </is>
      </c>
      <c r="D24" s="1058" t="inlineStr">
        <is>
          <t>重复提交相同开票申请不会重复开票。</t>
        </is>
      </c>
    </row>
    <row r="25" ht="34" customHeight="1" s="1025">
      <c r="A25" s="926">
        <f>IF(C25="","",IFERROR(INDEX(SOWStoryTable[需求名称],MATCH(C25,SOWStoryTable[故事名称],0)),"来源未匹配"))</f>
        <v/>
      </c>
      <c r="B25" s="926">
        <f>IF(C25="","",IFERROR(INDEX(SOWStoryTable[子需求名称],MATCH(C25,SOWStoryTable[故事名称],0)),"来源未匹配"))</f>
        <v/>
      </c>
      <c r="C25" s="1058" t="inlineStr">
        <is>
          <t>查看财务经营日报</t>
        </is>
      </c>
      <c r="D25" s="1058" t="inlineStr">
        <is>
          <t>财务可按日期、区域和渠道查看已定义经营指标。</t>
        </is>
      </c>
    </row>
    <row r="26" ht="34" customHeight="1" s="1025">
      <c r="A26" s="926">
        <f>IF(C26="","",IFERROR(INDEX(SOWStoryTable[需求名称],MATCH(C26,SOWStoryTable[故事名称],0)),"来源未匹配"))</f>
        <v/>
      </c>
      <c r="B26" s="926">
        <f>IF(C26="","",IFERROR(INDEX(SOWStoryTable[子需求名称],MATCH(C26,SOWStoryTable[故事名称],0)),"来源未匹配"))</f>
        <v/>
      </c>
      <c r="C26" s="1058" t="inlineStr">
        <is>
          <t>查看财务经营日报</t>
        </is>
      </c>
      <c r="D26" s="1058" t="inlineStr">
        <is>
          <t>报表金额可下钻到构成订单和对账状态。</t>
        </is>
      </c>
    </row>
    <row r="27" ht="34" customHeight="1" s="1025">
      <c r="A27" s="926">
        <f>IF(C27="","",IFERROR(INDEX(SOWStoryTable[需求名称],MATCH(C27,SOWStoryTable[故事名称],0)),"来源未匹配"))</f>
        <v/>
      </c>
      <c r="B27" s="926">
        <f>IF(C27="","",IFERROR(INDEX(SOWStoryTable[子需求名称],MATCH(C27,SOWStoryTable[故事名称],0)),"来源未匹配"))</f>
        <v/>
      </c>
      <c r="C27" s="1058" t="inlineStr">
        <is>
          <t>准备生产环境和发布流水线</t>
        </is>
      </c>
      <c r="D27" s="1058" t="inlineStr">
        <is>
          <t>生产参数、权限、制品和功能开关通过准备检查。</t>
        </is>
      </c>
    </row>
    <row r="28" ht="34" customHeight="1" s="1025">
      <c r="A28" s="926">
        <f>IF(C28="","",IFERROR(INDEX(SOWStoryTable[需求名称],MATCH(C28,SOWStoryTable[故事名称],0)),"来源未匹配"))</f>
        <v/>
      </c>
      <c r="B28" s="926">
        <f>IF(C28="","",IFERROR(INDEX(SOWStoryTable[子需求名称],MATCH(C28,SOWStoryTable[故事名称],0)),"来源未匹配"))</f>
        <v/>
      </c>
      <c r="C28" s="1058" t="inlineStr">
        <is>
          <t>执行生产切换与回滚演练</t>
        </is>
      </c>
      <c r="D28" s="1058" t="inlineStr">
        <is>
          <t>切换清单在批准窗口内完成且回滚演练有记录。</t>
        </is>
      </c>
    </row>
    <row r="29" ht="34" customHeight="1" s="1025">
      <c r="A29" s="926">
        <f>IF(C29="","",IFERROR(INDEX(SOWStoryTable[需求名称],MATCH(C29,SOWStoryTable[故事名称],0)),"来源未匹配"))</f>
        <v/>
      </c>
      <c r="B29" s="926">
        <f>IF(C29="","",IFERROR(INDEX(SOWStoryTable[子需求名称],MATCH(C29,SOWStoryTable[故事名称],0)),"来源未匹配"))</f>
        <v/>
      </c>
      <c r="C29" s="1058" t="inlineStr">
        <is>
          <t>完成生产烟测与业务确认</t>
        </is>
      </c>
      <c r="D29" s="1058" t="inlineStr">
        <is>
          <t>五条关键业务链路烟测通过并由业务负责人确认。</t>
        </is>
      </c>
    </row>
    <row r="30" ht="34" customHeight="1" s="1025">
      <c r="A30" s="926">
        <f>IF(C30="","",IFERROR(INDEX(SOWStoryTable[需求名称],MATCH(C30,SOWStoryTable[故事名称],0)),"来源未匹配"))</f>
        <v/>
      </c>
      <c r="B30" s="926">
        <f>IF(C30="","",IFERROR(INDEX(SOWStoryTable[子需求名称],MATCH(C30,SOWStoryTable[故事名称],0)),"来源未匹配"))</f>
        <v/>
      </c>
      <c r="C30" s="1058" t="inlineStr">
        <is>
          <t>迁移会员与历史订单数据</t>
        </is>
      </c>
      <c r="D30" s="1058" t="inlineStr">
        <is>
          <t>关键字段迁移前后一致率为 100%，重复业务主键为 0。</t>
        </is>
      </c>
    </row>
    <row r="31" ht="34" customHeight="1" s="1025">
      <c r="A31" s="926">
        <f>IF(C31="","",IFERROR(INDEX(SOWStoryTable[需求名称],MATCH(C31,SOWStoryTable[故事名称],0)),"来源未匹配"))</f>
        <v/>
      </c>
      <c r="B31" s="926">
        <f>IF(C31="","",IFERROR(INDEX(SOWStoryTable[子需求名称],MATCH(C31,SOWStoryTable[故事名称],0)),"来源未匹配"))</f>
        <v/>
      </c>
      <c r="C31" s="1058" t="inlineStr">
        <is>
          <t>监控核心交易与财务作业</t>
        </is>
      </c>
      <c r="D31" s="1058" t="inlineStr">
        <is>
          <t>核心交易和财务作业指标均配置阈值、渠道与接收人。</t>
        </is>
      </c>
    </row>
    <row r="32" ht="34" customHeight="1" s="1025">
      <c r="A32" s="926">
        <f>IF(C32="","",IFERROR(INDEX(SOWStoryTable[需求名称],MATCH(C32,SOWStoryTable[故事名称],0)),"来源未匹配"))</f>
        <v/>
      </c>
      <c r="B32" s="926">
        <f>IF(C32="","",IFERROR(INDEX(SOWStoryTable[子需求名称],MATCH(C32,SOWStoryTable[故事名称],0)),"来源未匹配"))</f>
        <v/>
      </c>
      <c r="C32" s="1058" t="inlineStr">
        <is>
          <t>完成运维交接与演练</t>
        </is>
      </c>
      <c r="D32" s="1058" t="inlineStr">
        <is>
          <t>运维手册、联系人和故障演练由运维经理签收。</t>
        </is>
      </c>
    </row>
    <row r="33" ht="34" customHeight="1" s="1025">
      <c r="A33" s="926">
        <f>IF(C33="","",IFERROR(INDEX(SOWStoryTable[需求名称],MATCH(C33,SOWStoryTable[故事名称],0)),"来源未匹配"))</f>
        <v/>
      </c>
      <c r="B33" s="926">
        <f>IF(C33="","",IFERROR(INDEX(SOWStoryTable[子需求名称],MATCH(C33,SOWStoryTable[故事名称],0)),"来源未匹配"))</f>
        <v/>
      </c>
      <c r="C33" s="1058" t="inlineStr">
        <is>
          <t>培训门店、客服和财务用户</t>
        </is>
      </c>
      <c r="D33" s="1058" t="inlineStr">
        <is>
          <t>门店、客服和财务培训完成并保留材料、签到和反馈。</t>
        </is>
      </c>
    </row>
    <row r="34" ht="34" customHeight="1" s="1025">
      <c r="A34" s="926">
        <f>IF(C34="","",IFERROR(INDEX(SOWStoryTable[需求名称],MATCH(C34,SOWStoryTable[故事名称],0)),"来源未匹配"))</f>
        <v/>
      </c>
      <c r="B34" s="926">
        <f>IF(C34="","",IFERROR(INDEX(SOWStoryTable[子需求名称],MATCH(C34,SOWStoryTable[故事名称],0)),"来源未匹配"))</f>
        <v/>
      </c>
      <c r="C34" s="1058" t="inlineStr">
        <is>
          <t>扩展自动化与性能验证</t>
        </is>
      </c>
      <c r="D34" s="1058" t="inlineStr">
        <is>
          <t>P0/P1 自动化用例全部通过且核心查询达到 500 TPS。</t>
        </is>
      </c>
    </row>
    <row r="35" ht="34" customHeight="1" s="1025">
      <c r="A35" s="926">
        <f>IF(C35="","",IFERROR(INDEX(SOWStoryTable[需求名称],MATCH(C35,SOWStoryTable[故事名称],0)),"来源未匹配"))</f>
        <v/>
      </c>
      <c r="B35" s="926">
        <f>IF(C35="","",IFERROR(INDEX(SOWStoryTable[子需求名称],MATCH(C35,SOWStoryTable[故事名称],0)),"来源未匹配"))</f>
        <v/>
      </c>
      <c r="C35" s="1058" t="inlineStr">
        <is>
          <t>执行兼容性与工程回归</t>
        </is>
      </c>
      <c r="D35" s="1058" t="inlineStr">
        <is>
          <t>支持的浏览器和设备矩阵通过工程回归且无阻断缺陷。</t>
        </is>
      </c>
    </row>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sheetProtection selectLockedCells="0" selectUnlockedCells="0" sheet="1" objects="0" insertRows="1" insertHyperlinks="1" autoFilter="1" scenarios="0" formatColumns="1" deleteColumns="1" insertColumns="1" pivotTables="1" deleteRows="1" formatCells="1" formatRows="1" sort="1"/>
  <mergeCells count="2">
    <mergeCell ref="A1:D1"/>
    <mergeCell ref="A2:D2"/>
  </mergeCells>
  <dataValidations count="1">
    <dataValidation sqref="C5:C104" showDropDown="0" showInputMessage="0" showErrorMessage="0" allowBlank="1" type="list">
      <formula1>INDIRECT("'03-SOW主表'!$C$5:$C$104")</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P5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28" customWidth="1" style="1025" min="4" max="4"/>
    <col width="22" customWidth="1" style="1025" min="5" max="5"/>
    <col width="14" customWidth="1" style="1025" min="6" max="6"/>
    <col width="12" customWidth="1" style="1025" min="7" max="7"/>
    <col width="32" customWidth="1" style="1025" min="8" max="8"/>
    <col width="10" customWidth="1" style="1025" min="9" max="9"/>
    <col width="26" customWidth="1" style="1025" min="10" max="10"/>
    <col width="30" customWidth="1" style="1025" min="11" max="11"/>
    <col width="38" customWidth="1" style="1025" min="12" max="12"/>
    <col width="12" customWidth="1" style="1025" min="13" max="13"/>
    <col width="12" customWidth="1" style="1025" min="14" max="14"/>
    <col width="12" customWidth="1" style="1025" min="15" max="15"/>
    <col width="8.430000305175781" customWidth="1" style="1025" min="16" max="16"/>
  </cols>
  <sheetData>
    <row r="1" ht="31" customHeight="1" s="1025">
      <c r="A1" s="914" t="inlineStr">
        <is>
          <t>任务明细</t>
        </is>
      </c>
      <c r="B1" s="635" t="n"/>
      <c r="C1" s="635" t="n"/>
      <c r="D1" s="635" t="n"/>
      <c r="E1" s="635" t="n"/>
      <c r="F1" s="635" t="n"/>
      <c r="G1" s="635" t="n"/>
      <c r="H1" s="635" t="n"/>
      <c r="I1" s="635" t="n"/>
      <c r="J1" s="635" t="n"/>
      <c r="K1" s="635" t="n"/>
      <c r="L1" s="635" t="n"/>
      <c r="M1" s="635" t="n"/>
      <c r="N1" s="635" t="n"/>
      <c r="O1" s="635" t="n"/>
      <c r="P1" s="635" t="n"/>
    </row>
    <row r="2" ht="34" customHeight="1" s="1025">
      <c r="A2" s="916" t="inlineStr">
        <is>
          <t>按需求、子需求、故事、任务的层级阅读；浅灰色列由公式或结构化数据自动派生并锁定，其余列可填写或选择。</t>
        </is>
      </c>
      <c r="B2" s="636" t="n"/>
      <c r="C2" s="636" t="n"/>
      <c r="D2" s="636" t="n"/>
      <c r="E2" s="636" t="n"/>
      <c r="F2" s="636" t="n"/>
      <c r="G2" s="636" t="n"/>
      <c r="H2" s="636" t="n"/>
      <c r="I2" s="636" t="n"/>
      <c r="J2" s="636" t="n"/>
      <c r="K2" s="636" t="n"/>
      <c r="L2" s="636" t="n"/>
      <c r="M2" s="636" t="n"/>
      <c r="N2" s="636" t="n"/>
      <c r="O2" s="636" t="n"/>
      <c r="P2" s="636" t="n"/>
    </row>
    <row r="3" ht="9" customHeight="1" s="1025">
      <c r="A3" s="918" t="n"/>
      <c r="B3" s="918" t="n"/>
      <c r="C3" s="918" t="n"/>
      <c r="D3" s="918" t="n"/>
      <c r="E3" s="918" t="n"/>
      <c r="F3" s="918" t="n"/>
      <c r="G3" s="918" t="n"/>
      <c r="H3" s="918" t="n"/>
      <c r="I3" s="918" t="n"/>
      <c r="J3" s="918" t="n"/>
      <c r="K3" s="918" t="n"/>
      <c r="L3" s="918" t="n"/>
      <c r="M3" s="918" t="n"/>
      <c r="N3" s="918" t="n"/>
      <c r="O3" s="918" t="n"/>
      <c r="P3" s="918" t="n"/>
    </row>
    <row r="4" ht="38" customHeight="1" s="1025">
      <c r="A4" s="936" t="inlineStr">
        <is>
          <t>需求名称</t>
        </is>
      </c>
      <c r="B4" s="936" t="inlineStr">
        <is>
          <t>子需求名称</t>
        </is>
      </c>
      <c r="C4" s="936" t="inlineStr">
        <is>
          <t>故事名称</t>
        </is>
      </c>
      <c r="D4" s="936" t="inlineStr">
        <is>
          <t>任务名称</t>
        </is>
      </c>
      <c r="E4" s="936" t="inlineStr">
        <is>
          <t>基础单元名称</t>
        </is>
      </c>
      <c r="F4" s="936" t="inlineStr">
        <is>
          <t>任务族</t>
        </is>
      </c>
      <c r="G4" s="936" t="inlineStr">
        <is>
          <t>工作模式</t>
        </is>
      </c>
      <c r="H4" s="936" t="inlineStr">
        <is>
          <t>工作模式理由</t>
        </is>
      </c>
      <c r="I4" s="936" t="inlineStr">
        <is>
          <t>复杂度</t>
        </is>
      </c>
      <c r="J4" s="936" t="inlineStr">
        <is>
          <t>复杂度理由</t>
        </is>
      </c>
      <c r="K4" s="936" t="inlineStr">
        <is>
          <t>关联现状条目</t>
        </is>
      </c>
      <c r="L4" s="936" t="inlineStr">
        <is>
          <t>判断依据与备注</t>
        </is>
      </c>
      <c r="M4" s="936" t="inlineStr">
        <is>
          <t>基础人天</t>
        </is>
      </c>
      <c r="N4" s="936" t="inlineStr">
        <is>
          <t>复杂度倍率</t>
        </is>
      </c>
      <c r="O4" s="936" t="inlineStr">
        <is>
          <t>人天小计</t>
        </is>
      </c>
    </row>
    <row r="5" ht="38" customHeight="1" s="1025">
      <c r="A5" s="944">
        <f>IF(C5="","",IFERROR(INDEX(SOWStoryTable[需求名称],MATCH(C5,SOWStoryTable[故事名称],0)),"来源未匹配"))</f>
        <v/>
      </c>
      <c r="B5" s="944">
        <f>IF(C5="","",IFERROR(INDEX(SOWStoryTable[子需求名称],MATCH(C5,SOWStoryTable[故事名称],0)),"来源未匹配"))</f>
        <v/>
      </c>
      <c r="C5" s="1060" t="inlineStr">
        <is>
          <t>创建并查看客户档案</t>
        </is>
      </c>
      <c r="D5" s="1060" t="inlineStr">
        <is>
          <t>调整客户档案页面和状态</t>
        </is>
      </c>
      <c r="E5" s="1060" t="inlineStr">
        <is>
          <t>界面与交互</t>
        </is>
      </c>
      <c r="F5" s="945">
        <f>IF(E5="","",IFERROR(INDEX(BaseUnitCatalogTable[任务族名称],MATCH(E5,BaseUnitCatalogTable[基础单元名称],0)),""))</f>
        <v/>
      </c>
      <c r="G5" s="1061" t="inlineStr">
        <is>
          <t>调整</t>
        </is>
      </c>
      <c r="H5" s="1060" t="inlineStr">
        <is>
          <t>沿用可复用的客户档案框架及其页面入口，修改本次交付范围内的界面状态和校验。</t>
        </is>
      </c>
      <c r="I5" s="1061" t="inlineStr">
        <is>
          <t>S</t>
        </is>
      </c>
      <c r="J5" s="1060" t="inlineStr">
        <is>
          <t>仅一个界面和单一路径，使用成熟组件，无复杂权限或跨界面状态恢复。</t>
        </is>
      </c>
      <c r="K5" s="1060" t="inlineStr">
        <is>
          <t>可复用的客户档案框架</t>
        </is>
      </c>
      <c r="L5" s="1060" t="inlineStr">
        <is>
          <t>调整一个可独立验收的客户档案界面实例。</t>
        </is>
      </c>
      <c r="M5" s="945">
        <f>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f>
        <v/>
      </c>
      <c r="N5" s="945">
        <f>IF(OR(D5="",I5=""),"",IFERROR(INDEX(ProjectParameterTable[值],MATCH("K_COMPLEXITY_"&amp;I5,ProjectParameterTable[参数代码],0)),""))</f>
        <v/>
      </c>
      <c r="O5" s="945">
        <f>IF(OR(D5="",NOT(ISNUMBER(M5)),NOT(ISNUMBER(N5))),"",ROUND(M5*N5,1))</f>
        <v/>
      </c>
    </row>
    <row r="6" ht="38" customHeight="1" s="1025">
      <c r="A6" s="944">
        <f>IF(C6="","",IFERROR(INDEX(SOWStoryTable[需求名称],MATCH(C6,SOWStoryTable[故事名称],0)),"来源未匹配"))</f>
        <v/>
      </c>
      <c r="B6" s="944">
        <f>IF(C6="","",IFERROR(INDEX(SOWStoryTable[子需求名称],MATCH(C6,SOWStoryTable[故事名称],0)),"来源未匹配"))</f>
        <v/>
      </c>
      <c r="C6" s="1060" t="inlineStr">
        <is>
          <t>提供客户档案操作</t>
        </is>
      </c>
      <c r="D6" s="1060" t="inlineStr">
        <is>
          <t>调整客户档案业务服务与接口</t>
        </is>
      </c>
      <c r="E6" s="1060" t="inlineStr">
        <is>
          <t>业务服务与接口</t>
        </is>
      </c>
      <c r="F6" s="945">
        <f>IF(E6="","",IFERROR(INDEX(BaseUnitCatalogTable[任务族名称],MATCH(E6,BaseUnitCatalogTable[基础单元名称],0)),""))</f>
        <v/>
      </c>
      <c r="G6" s="1061" t="inlineStr">
        <is>
          <t>调整</t>
        </is>
      </c>
      <c r="H6" s="1060" t="inlineStr">
        <is>
          <t>保留可复用的客户档案框架对应的服务边界，扩展创建和检索规则及接口。</t>
        </is>
      </c>
      <c r="I6" s="1061" t="inlineStr">
        <is>
          <t>M</t>
        </is>
      </c>
      <c r="J6" s="1060" t="inlineStr"/>
      <c r="K6" s="1060" t="inlineStr">
        <is>
          <t>可复用的客户档案框架</t>
        </is>
      </c>
      <c r="L6" s="1060" t="inlineStr">
        <is>
          <t>一组围绕客户档案操作的紧密相关接口，符合单实例计数口径。</t>
        </is>
      </c>
      <c r="M6" s="945">
        <f>IF(OR(D6="",E6="",G6=""),"",IFERROR(IF(G6="新建",INDEX(BaseUnitCatalogTable[新建M档人天],MATCH(E6,BaseUnitCatalogTable[基础单元名称],0)),IF(G6="调整",INDEX(BaseUnitCatalogTable[调整M档人天],MATCH(E6,BaseUnitCatalogTable[基础单元名称],0)),IF(G6="接入复用",INDEX(BaseUnitCatalogTable[接入复用M档人天],MATCH(E6,BaseUnitCatalogTable[基础单元名称],0)),""))),""))</f>
        <v/>
      </c>
      <c r="N6" s="945">
        <f>IF(OR(D6="",I6=""),"",IFERROR(INDEX(ProjectParameterTable[值],MATCH("K_COMPLEXITY_"&amp;I6,ProjectParameterTable[参数代码],0)),""))</f>
        <v/>
      </c>
      <c r="O6" s="945">
        <f>IF(OR(D6="",NOT(ISNUMBER(M6)),NOT(ISNUMBER(N6))),"",ROUND(M6*N6,1))</f>
        <v/>
      </c>
    </row>
    <row r="7" ht="38" customHeight="1" s="1025">
      <c r="A7" s="944">
        <f>IF(C7="","",IFERROR(INDEX(SOWStoryTable[需求名称],MATCH(C7,SOWStoryTable[故事名称],0)),"来源未匹配"))</f>
        <v/>
      </c>
      <c r="B7" s="944">
        <f>IF(C7="","",IFERROR(INDEX(SOWStoryTable[子需求名称],MATCH(C7,SOWStoryTable[故事名称],0)),"来源未匹配"))</f>
        <v/>
      </c>
      <c r="C7" s="1060" t="inlineStr">
        <is>
          <t>集成会员主数据查询</t>
        </is>
      </c>
      <c r="D7" s="1060" t="inlineStr">
        <is>
          <t>接入内部客户档案 API</t>
        </is>
      </c>
      <c r="E7" s="1060" t="inlineStr">
        <is>
          <t>内部系统对接</t>
        </is>
      </c>
      <c r="F7" s="945">
        <f>IF(E7="","",IFERROR(INDEX(BaseUnitCatalogTable[任务族名称],MATCH(E7,BaseUnitCatalogTable[基础单元名称],0)),""))</f>
        <v/>
      </c>
      <c r="G7" s="1061" t="inlineStr">
        <is>
          <t>接入复用</t>
        </is>
      </c>
      <c r="H7" s="1060" t="inlineStr">
        <is>
          <t>可复用的客户档案框架保持不变；本项目负责并交付：认证、映射、适配。</t>
        </is>
      </c>
      <c r="I7" s="1061" t="inlineStr">
        <is>
          <t>S</t>
        </is>
      </c>
      <c r="J7" s="1060" t="inlineStr">
        <is>
          <t>同组织稳定接口、单向查询和简单字段映射，不涉及对端改造。</t>
        </is>
      </c>
      <c r="K7" s="1060" t="inlineStr">
        <is>
          <t>可复用的客户档案框架</t>
        </is>
      </c>
      <c r="L7" s="1060" t="inlineStr">
        <is>
          <t>实现一个已登记的内部出站集成，不包含另行开展的 SIT。</t>
        </is>
      </c>
      <c r="M7" s="945">
        <f>IF(OR(D7="",E7="",G7=""),"",IFERROR(IF(G7="新建",INDEX(BaseUnitCatalogTable[新建M档人天],MATCH(E7,BaseUnitCatalogTable[基础单元名称],0)),IF(G7="调整",INDEX(BaseUnitCatalogTable[调整M档人天],MATCH(E7,BaseUnitCatalogTable[基础单元名称],0)),IF(G7="接入复用",INDEX(BaseUnitCatalogTable[接入复用M档人天],MATCH(E7,BaseUnitCatalogTable[基础单元名称],0)),""))),""))</f>
        <v/>
      </c>
      <c r="N7" s="945">
        <f>IF(OR(D7="",I7=""),"",IFERROR(INDEX(ProjectParameterTable[值],MATCH("K_COMPLEXITY_"&amp;I7,ProjectParameterTable[参数代码],0)),""))</f>
        <v/>
      </c>
      <c r="O7" s="945">
        <f>IF(OR(D7="",NOT(ISNUMBER(M7)),NOT(ISNUMBER(N7))),"",ROUND(M7*N7,1))</f>
        <v/>
      </c>
    </row>
    <row r="8" ht="38" customHeight="1" s="1025">
      <c r="A8" s="944">
        <f>IF(C8="","",IFERROR(INDEX(SOWStoryTable[需求名称],MATCH(C8,SOWStoryTable[故事名称],0)),"来源未匹配"))</f>
        <v/>
      </c>
      <c r="B8" s="944">
        <f>IF(C8="","",IFERROR(INDEX(SOWStoryTable[子需求名称],MATCH(C8,SOWStoryTable[故事名称],0)),"来源未匹配"))</f>
        <v/>
      </c>
      <c r="C8" s="1060" t="inlineStr">
        <is>
          <t>创建并查看客户档案</t>
        </is>
      </c>
      <c r="D8" s="1060" t="inlineStr">
        <is>
          <t>调整可复用的客户档案框架字段模型</t>
        </is>
      </c>
      <c r="E8" s="1060" t="inlineStr">
        <is>
          <t>数据模型与存储结构</t>
        </is>
      </c>
      <c r="F8" s="945">
        <f>IF(E8="","",IFERROR(INDEX(BaseUnitCatalogTable[任务族名称],MATCH(E8,BaseUnitCatalogTable[基础单元名称],0)),""))</f>
        <v/>
      </c>
      <c r="G8" s="1061" t="inlineStr">
        <is>
          <t>调整</t>
        </is>
      </c>
      <c r="H8" s="1060" t="inlineStr">
        <is>
          <t>在可复用的客户档案框架中增加一期顺延字段、授权标识和变更审计列。</t>
        </is>
      </c>
      <c r="I8" s="1061" t="inlineStr">
        <is>
          <t>M</t>
        </is>
      </c>
      <c r="J8" s="1060" t="inlineStr"/>
      <c r="K8" s="1060" t="inlineStr">
        <is>
          <t>可复用的客户档案框架</t>
        </is>
      </c>
      <c r="L8" s="1060" t="inlineStr">
        <is>
          <t>一个客户档案数据模型实例，覆盖字段、约束和审计列。</t>
        </is>
      </c>
      <c r="M8" s="945">
        <f>IF(OR(D8="",E8="",G8=""),"",IFERROR(IF(G8="新建",INDEX(BaseUnitCatalogTable[新建M档人天],MATCH(E8,BaseUnitCatalogTable[基础单元名称],0)),IF(G8="调整",INDEX(BaseUnitCatalogTable[调整M档人天],MATCH(E8,BaseUnitCatalogTable[基础单元名称],0)),IF(G8="接入复用",INDEX(BaseUnitCatalogTable[接入复用M档人天],MATCH(E8,BaseUnitCatalogTable[基础单元名称],0)),""))),""))</f>
        <v/>
      </c>
      <c r="N8" s="945">
        <f>IF(OR(D8="",I8=""),"",IFERROR(INDEX(ProjectParameterTable[值],MATCH("K_COMPLEXITY_"&amp;I8,ProjectParameterTable[参数代码],0)),""))</f>
        <v/>
      </c>
      <c r="O8" s="945">
        <f>IF(OR(D8="",NOT(ISNUMBER(M8)),NOT(ISNUMBER(N8))),"",ROUND(M8*N8,1))</f>
        <v/>
      </c>
    </row>
    <row r="9" ht="38" customHeight="1" s="1025">
      <c r="A9" s="944">
        <f>IF(C9="","",IFERROR(INDEX(SOWStoryTable[需求名称],MATCH(C9,SOWStoryTable[故事名称],0)),"来源未匹配"))</f>
        <v/>
      </c>
      <c r="B9" s="944">
        <f>IF(C9="","",IFERROR(INDEX(SOWStoryTable[子需求名称],MATCH(C9,SOWStoryTable[故事名称],0)),"来源未匹配"))</f>
        <v/>
      </c>
      <c r="C9" s="1060" t="inlineStr">
        <is>
          <t>提供客户档案操作</t>
        </is>
      </c>
      <c r="D9" s="1060" t="inlineStr">
        <is>
          <t>建立档案 API 身份与字段权限</t>
        </is>
      </c>
      <c r="E9" s="1060" t="inlineStr">
        <is>
          <t>身份与权限管理</t>
        </is>
      </c>
      <c r="F9" s="945">
        <f>IF(E9="","",IFERROR(INDEX(BaseUnitCatalogTable[任务族名称],MATCH(E9,BaseUnitCatalogTable[基础单元名称],0)),""))</f>
        <v/>
      </c>
      <c r="G9" s="1061" t="inlineStr">
        <is>
          <t>新建</t>
        </is>
      </c>
      <c r="H9" s="1060" t="inlineStr">
        <is>
          <t>为档案 API 新增角色、权限范围和敏感字段过滤规则。</t>
        </is>
      </c>
      <c r="I9" s="1061" t="inlineStr">
        <is>
          <t>M</t>
        </is>
      </c>
      <c r="J9" s="1060" t="inlineStr"/>
      <c r="K9" s="1060" t="inlineStr"/>
      <c r="L9" s="1060" t="inlineStr">
        <is>
          <t>一个档案 API 权限控制实例，覆盖门店、客服和会员三类主体。</t>
        </is>
      </c>
      <c r="M9" s="945">
        <f>IF(OR(D9="",E9="",G9=""),"",IFERROR(IF(G9="新建",INDEX(BaseUnitCatalogTable[新建M档人天],MATCH(E9,BaseUnitCatalogTable[基础单元名称],0)),IF(G9="调整",INDEX(BaseUnitCatalogTable[调整M档人天],MATCH(E9,BaseUnitCatalogTable[基础单元名称],0)),IF(G9="接入复用",INDEX(BaseUnitCatalogTable[接入复用M档人天],MATCH(E9,BaseUnitCatalogTable[基础单元名称],0)),""))),""))</f>
        <v/>
      </c>
      <c r="N9" s="945">
        <f>IF(OR(D9="",I9=""),"",IFERROR(INDEX(ProjectParameterTable[值],MATCH("K_COMPLEXITY_"&amp;I9,ProjectParameterTable[参数代码],0)),""))</f>
        <v/>
      </c>
      <c r="O9" s="945">
        <f>IF(OR(D9="",NOT(ISNUMBER(M9)),NOT(ISNUMBER(N9))),"",ROUND(M9*N9,1))</f>
        <v/>
      </c>
    </row>
    <row r="10" ht="38" customHeight="1" s="1025">
      <c r="A10" s="944">
        <f>IF(C10="","",IFERROR(INDEX(SOWStoryTable[需求名称],MATCH(C10,SOWStoryTable[故事名称],0)),"来源未匹配"))</f>
        <v/>
      </c>
      <c r="B10" s="944">
        <f>IF(C10="","",IFERROR(INDEX(SOWStoryTable[子需求名称],MATCH(C10,SOWStoryTable[故事名称],0)),"来源未匹配"))</f>
        <v/>
      </c>
      <c r="C10" s="1060" t="inlineStr">
        <is>
          <t>计算并追溯会员等级</t>
        </is>
      </c>
      <c r="D10" s="1060" t="inlineStr">
        <is>
          <t>调整既有会员主数据模型的等级计算服务</t>
        </is>
      </c>
      <c r="E10" s="1060" t="inlineStr">
        <is>
          <t>业务服务与接口</t>
        </is>
      </c>
      <c r="F10" s="945">
        <f>IF(E10="","",IFERROR(INDEX(BaseUnitCatalogTable[任务族名称],MATCH(E10,BaseUnitCatalogTable[基础单元名称],0)),""))</f>
        <v/>
      </c>
      <c r="G10" s="1061" t="inlineStr">
        <is>
          <t>调整</t>
        </is>
      </c>
      <c r="H10" s="1060" t="inlineStr">
        <is>
          <t>基于既有会员主数据模型新增等级试算、生效和查询操作。</t>
        </is>
      </c>
      <c r="I10" s="1061" t="inlineStr">
        <is>
          <t>M</t>
        </is>
      </c>
      <c r="J10" s="1060" t="inlineStr"/>
      <c r="K10" s="1060" t="inlineStr">
        <is>
          <t>既有会员主数据模型</t>
        </is>
      </c>
      <c r="L10" s="1060" t="inlineStr">
        <is>
          <t>一组围绕等级规则生效的紧密相关业务操作。</t>
        </is>
      </c>
      <c r="M10" s="945">
        <f>IF(OR(D10="",E10="",G10=""),"",IFERROR(IF(G10="新建",INDEX(BaseUnitCatalogTable[新建M档人天],MATCH(E10,BaseUnitCatalogTable[基础单元名称],0)),IF(G10="调整",INDEX(BaseUnitCatalogTable[调整M档人天],MATCH(E10,BaseUnitCatalogTable[基础单元名称],0)),IF(G10="接入复用",INDEX(BaseUnitCatalogTable[接入复用M档人天],MATCH(E10,BaseUnitCatalogTable[基础单元名称],0)),""))),""))</f>
        <v/>
      </c>
      <c r="N10" s="945">
        <f>IF(OR(D10="",I10=""),"",IFERROR(INDEX(ProjectParameterTable[值],MATCH("K_COMPLEXITY_"&amp;I10,ProjectParameterTable[参数代码],0)),""))</f>
        <v/>
      </c>
      <c r="O10" s="945">
        <f>IF(OR(D10="",NOT(ISNUMBER(M10)),NOT(ISNUMBER(N10))),"",ROUND(M10*N10,1))</f>
        <v/>
      </c>
    </row>
    <row r="11" ht="38" customHeight="1" s="1025">
      <c r="A11" s="944">
        <f>IF(C11="","",IFERROR(INDEX(SOWStoryTable[需求名称],MATCH(C11,SOWStoryTable[故事名称],0)),"来源未匹配"))</f>
        <v/>
      </c>
      <c r="B11" s="944">
        <f>IF(C11="","",IFERROR(INDEX(SOWStoryTable[子需求名称],MATCH(C11,SOWStoryTable[故事名称],0)),"来源未匹配"))</f>
        <v/>
      </c>
      <c r="C11" s="1060" t="inlineStr">
        <is>
          <t>计算并追溯会员等级</t>
        </is>
      </c>
      <c r="D11" s="1060" t="inlineStr">
        <is>
          <t>调整既有会员主数据模型的等级历史</t>
        </is>
      </c>
      <c r="E11" s="1060" t="inlineStr">
        <is>
          <t>数据模型与存储结构</t>
        </is>
      </c>
      <c r="F11" s="945">
        <f>IF(E11="","",IFERROR(INDEX(BaseUnitCatalogTable[任务族名称],MATCH(E11,BaseUnitCatalogTable[基础单元名称],0)),""))</f>
        <v/>
      </c>
      <c r="G11" s="1061" t="inlineStr">
        <is>
          <t>调整</t>
        </is>
      </c>
      <c r="H11" s="1060" t="inlineStr">
        <is>
          <t>扩展既有会员主数据模型，增加规则版本、生效区间和等级变更历史。</t>
        </is>
      </c>
      <c r="I11" s="1061" t="inlineStr">
        <is>
          <t>S</t>
        </is>
      </c>
      <c r="J11" s="1060" t="inlineStr">
        <is>
          <t>新增两张关系清晰的历史表和唯一性约束，不涉及分区或跨库事务。</t>
        </is>
      </c>
      <c r="K11" s="1060" t="inlineStr">
        <is>
          <t>既有会员主数据模型</t>
        </is>
      </c>
      <c r="L11" s="1060" t="inlineStr">
        <is>
          <t>一个会员等级数据模型实例。</t>
        </is>
      </c>
      <c r="M11" s="945">
        <f>IF(OR(D11="",E11="",G11=""),"",IFERROR(IF(G11="新建",INDEX(BaseUnitCatalogTable[新建M档人天],MATCH(E11,BaseUnitCatalogTable[基础单元名称],0)),IF(G11="调整",INDEX(BaseUnitCatalogTable[调整M档人天],MATCH(E11,BaseUnitCatalogTable[基础单元名称],0)),IF(G11="接入复用",INDEX(BaseUnitCatalogTable[接入复用M档人天],MATCH(E11,BaseUnitCatalogTable[基础单元名称],0)),""))),""))</f>
        <v/>
      </c>
      <c r="N11" s="945">
        <f>IF(OR(D11="",I11=""),"",IFERROR(INDEX(ProjectParameterTable[值],MATCH("K_COMPLEXITY_"&amp;I11,ProjectParameterTable[参数代码],0)),""))</f>
        <v/>
      </c>
      <c r="O11" s="945">
        <f>IF(OR(D11="",NOT(ISNUMBER(M11)),NOT(ISNUMBER(N11))),"",ROUND(M11*N11,1))</f>
        <v/>
      </c>
    </row>
    <row r="12" ht="38" customHeight="1" s="1025">
      <c r="A12" s="944">
        <f>IF(C12="","",IFERROR(INDEX(SOWStoryTable[需求名称],MATCH(C12,SOWStoryTable[故事名称],0)),"来源未匹配"))</f>
        <v/>
      </c>
      <c r="B12" s="944">
        <f>IF(C12="","",IFERROR(INDEX(SOWStoryTable[子需求名称],MATCH(C12,SOWStoryTable[故事名称],0)),"来源未匹配"))</f>
        <v/>
      </c>
      <c r="C12" s="1060" t="inlineStr">
        <is>
          <t>统一创建全渠道订单</t>
        </is>
      </c>
      <c r="D12" s="1060" t="inlineStr">
        <is>
          <t>新建全渠道订单创建交互</t>
        </is>
      </c>
      <c r="E12" s="1060" t="inlineStr">
        <is>
          <t>界面与交互</t>
        </is>
      </c>
      <c r="F12" s="945">
        <f>IF(E12="","",IFERROR(INDEX(BaseUnitCatalogTable[任务族名称],MATCH(E12,BaseUnitCatalogTable[基础单元名称],0)),""))</f>
        <v/>
      </c>
      <c r="G12" s="1061" t="inlineStr">
        <is>
          <t>新建</t>
        </is>
      </c>
      <c r="H12" s="1060" t="inlineStr">
        <is>
          <t>新增门店与线上共用的价格、权益和履约方式校验交互。</t>
        </is>
      </c>
      <c r="I12" s="1061" t="inlineStr">
        <is>
          <t>M</t>
        </is>
      </c>
      <c r="J12" s="1060" t="inlineStr"/>
      <c r="K12" s="1060" t="inlineStr"/>
      <c r="L12" s="1060" t="inlineStr">
        <is>
          <t>一个订单创建主流程界面实例，包含统一校验和错误反馈。</t>
        </is>
      </c>
      <c r="M12" s="945">
        <f>IF(OR(D12="",E12="",G12=""),"",IFERROR(IF(G12="新建",INDEX(BaseUnitCatalogTable[新建M档人天],MATCH(E12,BaseUnitCatalogTable[基础单元名称],0)),IF(G12="调整",INDEX(BaseUnitCatalogTable[调整M档人天],MATCH(E12,BaseUnitCatalogTable[基础单元名称],0)),IF(G12="接入复用",INDEX(BaseUnitCatalogTable[接入复用M档人天],MATCH(E12,BaseUnitCatalogTable[基础单元名称],0)),""))),""))</f>
        <v/>
      </c>
      <c r="N12" s="945">
        <f>IF(OR(D12="",I12=""),"",IFERROR(INDEX(ProjectParameterTable[值],MATCH("K_COMPLEXITY_"&amp;I12,ProjectParameterTable[参数代码],0)),""))</f>
        <v/>
      </c>
      <c r="O12" s="945">
        <f>IF(OR(D12="",NOT(ISNUMBER(M12)),NOT(ISNUMBER(N12))),"",ROUND(M12*N12,1))</f>
        <v/>
      </c>
    </row>
    <row r="13" ht="38" customHeight="1" s="1025">
      <c r="A13" s="944">
        <f>IF(C13="","",IFERROR(INDEX(SOWStoryTable[需求名称],MATCH(C13,SOWStoryTable[故事名称],0)),"来源未匹配"))</f>
        <v/>
      </c>
      <c r="B13" s="944">
        <f>IF(C13="","",IFERROR(INDEX(SOWStoryTable[子需求名称],MATCH(C13,SOWStoryTable[故事名称],0)),"来源未匹配"))</f>
        <v/>
      </c>
      <c r="C13" s="1060" t="inlineStr">
        <is>
          <t>统一创建全渠道订单</t>
        </is>
      </c>
      <c r="D13" s="1060" t="inlineStr">
        <is>
          <t>新建全渠道订单创建服务</t>
        </is>
      </c>
      <c r="E13" s="1060" t="inlineStr">
        <is>
          <t>业务服务与接口</t>
        </is>
      </c>
      <c r="F13" s="945">
        <f>IF(E13="","",IFERROR(INDEX(BaseUnitCatalogTable[任务族名称],MATCH(E13,BaseUnitCatalogTable[基础单元名称],0)),""))</f>
        <v/>
      </c>
      <c r="G13" s="1061" t="inlineStr">
        <is>
          <t>新建</t>
        </is>
      </c>
      <c r="H13" s="1060" t="inlineStr">
        <is>
          <t>新增跨渠道订单创建、价格快照、权益核验和幂等控制。</t>
        </is>
      </c>
      <c r="I13" s="1061" t="inlineStr">
        <is>
          <t>L</t>
        </is>
      </c>
      <c r="J13" s="1060" t="inlineStr">
        <is>
          <t>涉及门店与线上两类渠道、四项业务校验、跨域价格权益快照和并发幂等。</t>
        </is>
      </c>
      <c r="K13" s="1060" t="inlineStr"/>
      <c r="L13" s="1060" t="inlineStr">
        <is>
          <t>一个全渠道订单创建服务实例。</t>
        </is>
      </c>
      <c r="M13" s="945">
        <f>IF(OR(D13="",E13="",G13=""),"",IFERROR(IF(G13="新建",INDEX(BaseUnitCatalogTable[新建M档人天],MATCH(E13,BaseUnitCatalogTable[基础单元名称],0)),IF(G13="调整",INDEX(BaseUnitCatalogTable[调整M档人天],MATCH(E13,BaseUnitCatalogTable[基础单元名称],0)),IF(G13="接入复用",INDEX(BaseUnitCatalogTable[接入复用M档人天],MATCH(E13,BaseUnitCatalogTable[基础单元名称],0)),""))),""))</f>
        <v/>
      </c>
      <c r="N13" s="945">
        <f>IF(OR(D13="",I13=""),"",IFERROR(INDEX(ProjectParameterTable[值],MATCH("K_COMPLEXITY_"&amp;I13,ProjectParameterTable[参数代码],0)),""))</f>
        <v/>
      </c>
      <c r="O13" s="945">
        <f>IF(OR(D13="",NOT(ISNUMBER(M13)),NOT(ISNUMBER(N13))),"",ROUND(M13*N13,1))</f>
        <v/>
      </c>
    </row>
    <row r="14" ht="38" customHeight="1" s="1025">
      <c r="A14" s="944">
        <f>IF(C14="","",IFERROR(INDEX(SOWStoryTable[需求名称],MATCH(C14,SOWStoryTable[故事名称],0)),"来源未匹配"))</f>
        <v/>
      </c>
      <c r="B14" s="944">
        <f>IF(C14="","",IFERROR(INDEX(SOWStoryTable[子需求名称],MATCH(C14,SOWStoryTable[故事名称],0)),"来源未匹配"))</f>
        <v/>
      </c>
      <c r="C14" s="1060" t="inlineStr">
        <is>
          <t>驱动订单状态与事件</t>
        </is>
      </c>
      <c r="D14" s="1060" t="inlineStr">
        <is>
          <t>调整既有订单服务与状态机</t>
        </is>
      </c>
      <c r="E14" s="1060" t="inlineStr">
        <is>
          <t>业务服务与接口</t>
        </is>
      </c>
      <c r="F14" s="945">
        <f>IF(E14="","",IFERROR(INDEX(BaseUnitCatalogTable[任务族名称],MATCH(E14,BaseUnitCatalogTable[基础单元名称],0)),""))</f>
        <v/>
      </c>
      <c r="G14" s="1061" t="inlineStr">
        <is>
          <t>调整</t>
        </is>
      </c>
      <c r="H14" s="1060" t="inlineStr">
        <is>
          <t>扩展既有订单服务与状态机，增加门店接单、退货、退款和开票状态。</t>
        </is>
      </c>
      <c r="I14" s="1061" t="inlineStr">
        <is>
          <t>M</t>
        </is>
      </c>
      <c r="J14" s="1060" t="inlineStr"/>
      <c r="K14" s="1060" t="inlineStr">
        <is>
          <t>既有订单服务与状态机</t>
        </is>
      </c>
      <c r="L14" s="1060" t="inlineStr">
        <is>
          <t>一个订单状态机调整实例，包含新增状态、命令和合法迁移。</t>
        </is>
      </c>
      <c r="M14" s="945">
        <f>IF(OR(D14="",E14="",G14=""),"",IFERROR(IF(G14="新建",INDEX(BaseUnitCatalogTable[新建M档人天],MATCH(E14,BaseUnitCatalogTable[基础单元名称],0)),IF(G14="调整",INDEX(BaseUnitCatalogTable[调整M档人天],MATCH(E14,BaseUnitCatalogTable[基础单元名称],0)),IF(G14="接入复用",INDEX(BaseUnitCatalogTable[接入复用M档人天],MATCH(E14,BaseUnitCatalogTable[基础单元名称],0)),""))),""))</f>
        <v/>
      </c>
      <c r="N14" s="945">
        <f>IF(OR(D14="",I14=""),"",IFERROR(INDEX(ProjectParameterTable[值],MATCH("K_COMPLEXITY_"&amp;I14,ProjectParameterTable[参数代码],0)),""))</f>
        <v/>
      </c>
      <c r="O14" s="945">
        <f>IF(OR(D14="",NOT(ISNUMBER(M14)),NOT(ISNUMBER(N14))),"",ROUND(M14*N14,1))</f>
        <v/>
      </c>
    </row>
    <row r="15" ht="38" customHeight="1" s="1025">
      <c r="A15" s="944">
        <f>IF(C15="","",IFERROR(INDEX(SOWStoryTable[需求名称],MATCH(C15,SOWStoryTable[故事名称],0)),"来源未匹配"))</f>
        <v/>
      </c>
      <c r="B15" s="944">
        <f>IF(C15="","",IFERROR(INDEX(SOWStoryTable[子需求名称],MATCH(C15,SOWStoryTable[故事名称],0)),"来源未匹配"))</f>
        <v/>
      </c>
      <c r="C15" s="1060" t="inlineStr">
        <is>
          <t>驱动订单状态与事件</t>
        </is>
      </c>
      <c r="D15" s="1060" t="inlineStr">
        <is>
          <t>新建订单状态事件处理</t>
        </is>
      </c>
      <c r="E15" s="1060" t="inlineStr">
        <is>
          <t>事件与消息处理</t>
        </is>
      </c>
      <c r="F15" s="945">
        <f>IF(E15="","",IFERROR(INDEX(BaseUnitCatalogTable[任务族名称],MATCH(E15,BaseUnitCatalogTable[基础单元名称],0)),""))</f>
        <v/>
      </c>
      <c r="G15" s="1061" t="inlineStr">
        <is>
          <t>新建</t>
        </is>
      </c>
      <c r="H15" s="1060" t="inlineStr">
        <is>
          <t>新增带事件编号、业务键和重放保护的订单状态事件。</t>
        </is>
      </c>
      <c r="I15" s="1061" t="inlineStr">
        <is>
          <t>L</t>
        </is>
      </c>
      <c r="J15" s="1060" t="inlineStr">
        <is>
          <t>覆盖九类状态事件、顺序保证、重复消费和失败重放，并被多个下游订阅。</t>
        </is>
      </c>
      <c r="K15" s="1060" t="inlineStr"/>
      <c r="L15" s="1060" t="inlineStr">
        <is>
          <t>一个订单状态事件主题及其生产消费处理实例。</t>
        </is>
      </c>
      <c r="M15" s="945">
        <f>IF(OR(D15="",E15="",G15=""),"",IFERROR(IF(G15="新建",INDEX(BaseUnitCatalogTable[新建M档人天],MATCH(E15,BaseUnitCatalogTable[基础单元名称],0)),IF(G15="调整",INDEX(BaseUnitCatalogTable[调整M档人天],MATCH(E15,BaseUnitCatalogTable[基础单元名称],0)),IF(G15="接入复用",INDEX(BaseUnitCatalogTable[接入复用M档人天],MATCH(E15,BaseUnitCatalogTable[基础单元名称],0)),""))),""))</f>
        <v/>
      </c>
      <c r="N15" s="945">
        <f>IF(OR(D15="",I15=""),"",IFERROR(INDEX(ProjectParameterTable[值],MATCH("K_COMPLEXITY_"&amp;I15,ProjectParameterTable[参数代码],0)),""))</f>
        <v/>
      </c>
      <c r="O15" s="945">
        <f>IF(OR(D15="",NOT(ISNUMBER(M15)),NOT(ISNUMBER(N15))),"",ROUND(M15*N15,1))</f>
        <v/>
      </c>
    </row>
    <row r="16" ht="38" customHeight="1" s="1025">
      <c r="A16" s="944">
        <f>IF(C16="","",IFERROR(INDEX(SOWStoryTable[需求名称],MATCH(C16,SOWStoryTable[故事名称],0)),"来源未匹配"))</f>
        <v/>
      </c>
      <c r="B16" s="944">
        <f>IF(C16="","",IFERROR(INDEX(SOWStoryTable[子需求名称],MATCH(C16,SOWStoryTable[故事名称],0)),"来源未匹配"))</f>
        <v/>
      </c>
      <c r="C16" s="1060" t="inlineStr">
        <is>
          <t>预占和释放 ERP 库存</t>
        </is>
      </c>
      <c r="D16" s="1060" t="inlineStr">
        <is>
          <t>接入既有 ERP 库存接口</t>
        </is>
      </c>
      <c r="E16" s="1060" t="inlineStr">
        <is>
          <t>内部系统对接</t>
        </is>
      </c>
      <c r="F16" s="945">
        <f>IF(E16="","",IFERROR(INDEX(BaseUnitCatalogTable[任务族名称],MATCH(E16,BaseUnitCatalogTable[基础单元名称],0)),""))</f>
        <v/>
      </c>
      <c r="G16" s="1061" t="inlineStr">
        <is>
          <t>接入复用</t>
        </is>
      </c>
      <c r="H16" s="1060" t="inlineStr">
        <is>
          <t>既有 ERP 库存接口保持不变；本项目负责并交付：映射、适配、认证、专项验证。</t>
        </is>
      </c>
      <c r="I16" s="1061" t="inlineStr">
        <is>
          <t>M</t>
        </is>
      </c>
      <c r="J16" s="1060" t="inlineStr"/>
      <c r="K16" s="1060" t="inlineStr">
        <is>
          <t>既有 ERP 库存接口</t>
        </is>
      </c>
      <c r="L16" s="1060" t="inlineStr">
        <is>
          <t>实现一个已登记的内部 ERP 库存集成，SIT 人天由集成表公式另计。</t>
        </is>
      </c>
      <c r="M16" s="945">
        <f>IF(OR(D16="",E16="",G16=""),"",IFERROR(IF(G16="新建",INDEX(BaseUnitCatalogTable[新建M档人天],MATCH(E16,BaseUnitCatalogTable[基础单元名称],0)),IF(G16="调整",INDEX(BaseUnitCatalogTable[调整M档人天],MATCH(E16,BaseUnitCatalogTable[基础单元名称],0)),IF(G16="接入复用",INDEX(BaseUnitCatalogTable[接入复用M档人天],MATCH(E16,BaseUnitCatalogTable[基础单元名称],0)),""))),""))</f>
        <v/>
      </c>
      <c r="N16" s="945">
        <f>IF(OR(D16="",I16=""),"",IFERROR(INDEX(ProjectParameterTable[值],MATCH("K_COMPLEXITY_"&amp;I16,ProjectParameterTable[参数代码],0)),""))</f>
        <v/>
      </c>
      <c r="O16" s="945">
        <f>IF(OR(D16="",NOT(ISNUMBER(M16)),NOT(ISNUMBER(N16))),"",ROUND(M16*N16,1))</f>
        <v/>
      </c>
    </row>
    <row r="17" ht="38" customHeight="1" s="1025">
      <c r="A17" s="944">
        <f>IF(C17="","",IFERROR(INDEX(SOWStoryTable[需求名称],MATCH(C17,SOWStoryTable[故事名称],0)),"来源未匹配"))</f>
        <v/>
      </c>
      <c r="B17" s="944">
        <f>IF(C17="","",IFERROR(INDEX(SOWStoryTable[子需求名称],MATCH(C17,SOWStoryTable[故事名称],0)),"来源未匹配"))</f>
        <v/>
      </c>
      <c r="C17" s="1060" t="inlineStr">
        <is>
          <t>预占和释放 ERP 库存</t>
        </is>
      </c>
      <c r="D17" s="1060" t="inlineStr">
        <is>
          <t>验证库存预占幂等与补偿</t>
        </is>
      </c>
      <c r="E17" s="1060" t="inlineStr">
        <is>
          <t>人工测试</t>
        </is>
      </c>
      <c r="F17" s="945">
        <f>IF(E17="","",IFERROR(INDEX(BaseUnitCatalogTable[任务族名称],MATCH(E17,BaseUnitCatalogTable[基础单元名称],0)),""))</f>
        <v/>
      </c>
      <c r="G17" s="1061" t="inlineStr">
        <is>
          <t>新建</t>
        </is>
      </c>
      <c r="H17" s="1060" t="inlineStr">
        <is>
          <t>新增 ERP 超时、重试、重复请求和释放失败的人工验证场景。</t>
        </is>
      </c>
      <c r="I17" s="1061" t="inlineStr">
        <is>
          <t>S</t>
        </is>
      </c>
      <c r="J17" s="1060" t="inlineStr">
        <is>
          <t>集中验证四个已定义异常场景，数据准备简单且无需跨设备矩阵。</t>
        </is>
      </c>
      <c r="K17" s="1060" t="inlineStr"/>
      <c r="L17" s="1060" t="inlineStr">
        <is>
          <t>一个库存集成专项人工测试实例，不替代集成支持 SIT 公式。</t>
        </is>
      </c>
      <c r="M17" s="945">
        <f>IF(OR(D17="",E17="",G17=""),"",IFERROR(IF(G17="新建",INDEX(BaseUnitCatalogTable[新建M档人天],MATCH(E17,BaseUnitCatalogTable[基础单元名称],0)),IF(G17="调整",INDEX(BaseUnitCatalogTable[调整M档人天],MATCH(E17,BaseUnitCatalogTable[基础单元名称],0)),IF(G17="接入复用",INDEX(BaseUnitCatalogTable[接入复用M档人天],MATCH(E17,BaseUnitCatalogTable[基础单元名称],0)),""))),""))</f>
        <v/>
      </c>
      <c r="N17" s="945">
        <f>IF(OR(D17="",I17=""),"",IFERROR(INDEX(ProjectParameterTable[值],MATCH("K_COMPLEXITY_"&amp;I17,ProjectParameterTable[参数代码],0)),""))</f>
        <v/>
      </c>
      <c r="O17" s="945">
        <f>IF(OR(D17="",NOT(ISNUMBER(M17)),NOT(ISNUMBER(N17))),"",ROUND(M17*N17,1))</f>
        <v/>
      </c>
    </row>
    <row r="18" ht="38" customHeight="1" s="1025">
      <c r="A18" s="944">
        <f>IF(C18="","",IFERROR(INDEX(SOWStoryTable[需求名称],MATCH(C18,SOWStoryTable[故事名称],0)),"来源未匹配"))</f>
        <v/>
      </c>
      <c r="B18" s="944">
        <f>IF(C18="","",IFERROR(INDEX(SOWStoryTable[子需求名称],MATCH(C18,SOWStoryTable[故事名称],0)),"来源未匹配"))</f>
        <v/>
      </c>
      <c r="C18" s="1060" t="inlineStr">
        <is>
          <t>提交并审核退货申请</t>
        </is>
      </c>
      <c r="D18" s="1060" t="inlineStr">
        <is>
          <t>新建退货申请与审核交互</t>
        </is>
      </c>
      <c r="E18" s="1060" t="inlineStr">
        <is>
          <t>界面与交互</t>
        </is>
      </c>
      <c r="F18" s="945">
        <f>IF(E18="","",IFERROR(INDEX(BaseUnitCatalogTable[任务族名称],MATCH(E18,BaseUnitCatalogTable[基础单元名称],0)),""))</f>
        <v/>
      </c>
      <c r="G18" s="1061" t="inlineStr">
        <is>
          <t>新建</t>
        </is>
      </c>
      <c r="H18" s="1060" t="inlineStr">
        <is>
          <t>新增门店和客服使用的退货明细、可退校验和审核反馈。</t>
        </is>
      </c>
      <c r="I18" s="1061" t="inlineStr">
        <is>
          <t>M</t>
        </is>
      </c>
      <c r="J18" s="1060" t="inlineStr"/>
      <c r="K18" s="1060" t="inlineStr"/>
      <c r="L18" s="1060" t="inlineStr">
        <is>
          <t>一个退货申请与审核主流程界面实例。</t>
        </is>
      </c>
      <c r="M18" s="945">
        <f>IF(OR(D18="",E18="",G18=""),"",IFERROR(IF(G18="新建",INDEX(BaseUnitCatalogTable[新建M档人天],MATCH(E18,BaseUnitCatalogTable[基础单元名称],0)),IF(G18="调整",INDEX(BaseUnitCatalogTable[调整M档人天],MATCH(E18,BaseUnitCatalogTable[基础单元名称],0)),IF(G18="接入复用",INDEX(BaseUnitCatalogTable[接入复用M档人天],MATCH(E18,BaseUnitCatalogTable[基础单元名称],0)),""))),""))</f>
        <v/>
      </c>
      <c r="N18" s="945">
        <f>IF(OR(D18="",I18=""),"",IFERROR(INDEX(ProjectParameterTable[值],MATCH("K_COMPLEXITY_"&amp;I18,ProjectParameterTable[参数代码],0)),""))</f>
        <v/>
      </c>
      <c r="O18" s="945">
        <f>IF(OR(D18="",NOT(ISNUMBER(M18)),NOT(ISNUMBER(N18))),"",ROUND(M18*N18,1))</f>
        <v/>
      </c>
    </row>
    <row r="19" ht="38" customHeight="1" s="1025">
      <c r="A19" s="944">
        <f>IF(C19="","",IFERROR(INDEX(SOWStoryTable[需求名称],MATCH(C19,SOWStoryTable[故事名称],0)),"来源未匹配"))</f>
        <v/>
      </c>
      <c r="B19" s="944">
        <f>IF(C19="","",IFERROR(INDEX(SOWStoryTable[子需求名称],MATCH(C19,SOWStoryTable[故事名称],0)),"来源未匹配"))</f>
        <v/>
      </c>
      <c r="C19" s="1060" t="inlineStr">
        <is>
          <t>提交并审核退货申请</t>
        </is>
      </c>
      <c r="D19" s="1060" t="inlineStr">
        <is>
          <t>调整既有订单服务与状态机的退货规则</t>
        </is>
      </c>
      <c r="E19" s="1060" t="inlineStr">
        <is>
          <t>业务服务与接口</t>
        </is>
      </c>
      <c r="F19" s="945">
        <f>IF(E19="","",IFERROR(INDEX(BaseUnitCatalogTable[任务族名称],MATCH(E19,BaseUnitCatalogTable[基础单元名称],0)),""))</f>
        <v/>
      </c>
      <c r="G19" s="1061" t="inlineStr">
        <is>
          <t>调整</t>
        </is>
      </c>
      <c r="H19" s="1060" t="inlineStr">
        <is>
          <t>在既有订单服务与状态机中增加可退数量、退货审核和退货单状态。</t>
        </is>
      </c>
      <c r="I19" s="1061" t="inlineStr">
        <is>
          <t>M</t>
        </is>
      </c>
      <c r="J19" s="1060" t="inlineStr"/>
      <c r="K19" s="1060" t="inlineStr">
        <is>
          <t>既有订单服务与状态机</t>
        </is>
      </c>
      <c r="L19" s="1060" t="inlineStr">
        <is>
          <t>一个退货领域服务调整实例。</t>
        </is>
      </c>
      <c r="M19" s="945">
        <f>IF(OR(D19="",E19="",G19=""),"",IFERROR(IF(G19="新建",INDEX(BaseUnitCatalogTable[新建M档人天],MATCH(E19,BaseUnitCatalogTable[基础单元名称],0)),IF(G19="调整",INDEX(BaseUnitCatalogTable[调整M档人天],MATCH(E19,BaseUnitCatalogTable[基础单元名称],0)),IF(G19="接入复用",INDEX(BaseUnitCatalogTable[接入复用M档人天],MATCH(E19,BaseUnitCatalogTable[基础单元名称],0)),""))),""))</f>
        <v/>
      </c>
      <c r="N19" s="945">
        <f>IF(OR(D19="",I19=""),"",IFERROR(INDEX(ProjectParameterTable[值],MATCH("K_COMPLEXITY_"&amp;I19,ProjectParameterTable[参数代码],0)),""))</f>
        <v/>
      </c>
      <c r="O19" s="945">
        <f>IF(OR(D19="",NOT(ISNUMBER(M19)),NOT(ISNUMBER(N19))),"",ROUND(M19*N19,1))</f>
        <v/>
      </c>
    </row>
    <row r="20" ht="38" customHeight="1" s="1025">
      <c r="A20" s="944">
        <f>IF(C20="","",IFERROR(INDEX(SOWStoryTable[需求名称],MATCH(C20,SOWStoryTable[故事名称],0)),"来源未匹配"))</f>
        <v/>
      </c>
      <c r="B20" s="944">
        <f>IF(C20="","",IFERROR(INDEX(SOWStoryTable[子需求名称],MATCH(C20,SOWStoryTable[故事名称],0)),"来源未匹配"))</f>
        <v/>
      </c>
      <c r="C20" s="1060" t="inlineStr">
        <is>
          <t>发起退款并回写结果</t>
        </is>
      </c>
      <c r="D20" s="1060" t="inlineStr">
        <is>
          <t>接入既有支付网关租户</t>
        </is>
      </c>
      <c r="E20" s="1060" t="inlineStr">
        <is>
          <t>外部系统对接</t>
        </is>
      </c>
      <c r="F20" s="945">
        <f>IF(E20="","",IFERROR(INDEX(BaseUnitCatalogTable[任务族名称],MATCH(E20,BaseUnitCatalogTable[基础单元名称],0)),""))</f>
        <v/>
      </c>
      <c r="G20" s="1061" t="inlineStr">
        <is>
          <t>接入复用</t>
        </is>
      </c>
      <c r="H20" s="1060" t="inlineStr">
        <is>
          <t>既有支付网关租户保持不变；本项目负责并交付：配置、映射、适配、认证、专项验证。</t>
        </is>
      </c>
      <c r="I20" s="1061" t="inlineStr">
        <is>
          <t>L</t>
        </is>
      </c>
      <c r="J20" s="1060" t="inlineStr">
        <is>
          <t>涉及外部认证、同步申请与异步回调、金额幂等、供应商错误码和认证窗口。</t>
        </is>
      </c>
      <c r="K20" s="1060" t="inlineStr">
        <is>
          <t>既有支付网关租户</t>
        </is>
      </c>
      <c r="L20" s="1060" t="inlineStr">
        <is>
          <t>实现一个已登记的外部支付退款集成，外部支持成本在集成表单列展示。</t>
        </is>
      </c>
      <c r="M20" s="945">
        <f>IF(OR(D20="",E20="",G20=""),"",IFERROR(IF(G20="新建",INDEX(BaseUnitCatalogTable[新建M档人天],MATCH(E20,BaseUnitCatalogTable[基础单元名称],0)),IF(G20="调整",INDEX(BaseUnitCatalogTable[调整M档人天],MATCH(E20,BaseUnitCatalogTable[基础单元名称],0)),IF(G20="接入复用",INDEX(BaseUnitCatalogTable[接入复用M档人天],MATCH(E20,BaseUnitCatalogTable[基础单元名称],0)),""))),""))</f>
        <v/>
      </c>
      <c r="N20" s="945">
        <f>IF(OR(D20="",I20=""),"",IFERROR(INDEX(ProjectParameterTable[值],MATCH("K_COMPLEXITY_"&amp;I20,ProjectParameterTable[参数代码],0)),""))</f>
        <v/>
      </c>
      <c r="O20" s="945">
        <f>IF(OR(D20="",NOT(ISNUMBER(M20)),NOT(ISNUMBER(N20))),"",ROUND(M20*N20,1))</f>
        <v/>
      </c>
    </row>
    <row r="21" ht="38" customHeight="1" s="1025">
      <c r="A21" s="944">
        <f>IF(C21="","",IFERROR(INDEX(SOWStoryTable[需求名称],MATCH(C21,SOWStoryTable[故事名称],0)),"来源未匹配"))</f>
        <v/>
      </c>
      <c r="B21" s="944">
        <f>IF(C21="","",IFERROR(INDEX(SOWStoryTable[子需求名称],MATCH(C21,SOWStoryTable[故事名称],0)),"来源未匹配"))</f>
        <v/>
      </c>
      <c r="C21" s="1060" t="inlineStr">
        <is>
          <t>发起退款并回写结果</t>
        </is>
      </c>
      <c r="D21" s="1060" t="inlineStr">
        <is>
          <t>验证退款签名与隐私保护</t>
        </is>
      </c>
      <c r="E21" s="1060" t="inlineStr">
        <is>
          <t>安全与隐私测试</t>
        </is>
      </c>
      <c r="F21" s="945">
        <f>IF(E21="","",IFERROR(INDEX(BaseUnitCatalogTable[任务族名称],MATCH(E21,BaseUnitCatalogTable[基础单元名称],0)),""))</f>
        <v/>
      </c>
      <c r="G21" s="1061" t="inlineStr">
        <is>
          <t>新建</t>
        </is>
      </c>
      <c r="H21" s="1060" t="inlineStr">
        <is>
          <t>新增退款回调签名、重放攻击、敏感字段和越权场景验证。</t>
        </is>
      </c>
      <c r="I21" s="1061" t="inlineStr">
        <is>
          <t>M</t>
        </is>
      </c>
      <c r="J21" s="1060" t="inlineStr"/>
      <c r="K21" s="1060" t="inlineStr"/>
      <c r="L21" s="1060" t="inlineStr">
        <is>
          <t>一个退款链路安全与隐私测试实例。</t>
        </is>
      </c>
      <c r="M21" s="945">
        <f>IF(OR(D21="",E21="",G21=""),"",IFERROR(IF(G21="新建",INDEX(BaseUnitCatalogTable[新建M档人天],MATCH(E21,BaseUnitCatalogTable[基础单元名称],0)),IF(G21="调整",INDEX(BaseUnitCatalogTable[调整M档人天],MATCH(E21,BaseUnitCatalogTable[基础单元名称],0)),IF(G21="接入复用",INDEX(BaseUnitCatalogTable[接入复用M档人天],MATCH(E21,BaseUnitCatalogTable[基础单元名称],0)),""))),""))</f>
        <v/>
      </c>
      <c r="N21" s="945">
        <f>IF(OR(D21="",I21=""),"",IFERROR(INDEX(ProjectParameterTable[值],MATCH("K_COMPLEXITY_"&amp;I21,ProjectParameterTable[参数代码],0)),""))</f>
        <v/>
      </c>
      <c r="O21" s="945">
        <f>IF(OR(D21="",NOT(ISNUMBER(M21)),NOT(ISNUMBER(N21))),"",ROUND(M21*N21,1))</f>
        <v/>
      </c>
    </row>
    <row r="22" ht="38" customHeight="1" s="1025">
      <c r="A22" s="944">
        <f>IF(C22="","",IFERROR(INDEX(SOWStoryTable[需求名称],MATCH(C22,SOWStoryTable[故事名称],0)),"来源未匹配"))</f>
        <v/>
      </c>
      <c r="B22" s="944">
        <f>IF(C22="","",IFERROR(INDEX(SOWStoryTable[子需求名称],MATCH(C22,SOWStoryTable[故事名称],0)),"来源未匹配"))</f>
        <v/>
      </c>
      <c r="C22" s="1060" t="inlineStr">
        <is>
          <t>门店处理订单与交接</t>
        </is>
      </c>
      <c r="D22" s="1060" t="inlineStr">
        <is>
          <t>新建门店订单队列与交接界面</t>
        </is>
      </c>
      <c r="E22" s="1060" t="inlineStr">
        <is>
          <t>界面与交互</t>
        </is>
      </c>
      <c r="F22" s="945">
        <f>IF(E22="","",IFERROR(INDEX(BaseUnitCatalogTable[任务族名称],MATCH(E22,BaseUnitCatalogTable[基础单元名称],0)),""))</f>
        <v/>
      </c>
      <c r="G22" s="1061" t="inlineStr">
        <is>
          <t>新建</t>
        </is>
      </c>
      <c r="H22" s="1060" t="inlineStr">
        <is>
          <t>新增门店待处理队列、缺货替代、备注和班次交接交互。</t>
        </is>
      </c>
      <c r="I22" s="1061" t="inlineStr">
        <is>
          <t>M</t>
        </is>
      </c>
      <c r="J22" s="1060" t="inlineStr"/>
      <c r="K22" s="1060" t="inlineStr"/>
      <c r="L22" s="1060" t="inlineStr">
        <is>
          <t>一个门店接单工作台主界面实例。</t>
        </is>
      </c>
      <c r="M22" s="945">
        <f>IF(OR(D22="",E22="",G22=""),"",IFERROR(IF(G22="新建",INDEX(BaseUnitCatalogTable[新建M档人天],MATCH(E22,BaseUnitCatalogTable[基础单元名称],0)),IF(G22="调整",INDEX(BaseUnitCatalogTable[调整M档人天],MATCH(E22,BaseUnitCatalogTable[基础单元名称],0)),IF(G22="接入复用",INDEX(BaseUnitCatalogTable[接入复用M档人天],MATCH(E22,BaseUnitCatalogTable[基础单元名称],0)),""))),""))</f>
        <v/>
      </c>
      <c r="N22" s="945">
        <f>IF(OR(D22="",I22=""),"",IFERROR(INDEX(ProjectParameterTable[值],MATCH("K_COMPLEXITY_"&amp;I22,ProjectParameterTable[参数代码],0)),""))</f>
        <v/>
      </c>
      <c r="O22" s="945">
        <f>IF(OR(D22="",NOT(ISNUMBER(M22)),NOT(ISNUMBER(N22))),"",ROUND(M22*N22,1))</f>
        <v/>
      </c>
    </row>
    <row r="23" ht="38" customHeight="1" s="1025">
      <c r="A23" s="944">
        <f>IF(C23="","",IFERROR(INDEX(SOWStoryTable[需求名称],MATCH(C23,SOWStoryTable[故事名称],0)),"来源未匹配"))</f>
        <v/>
      </c>
      <c r="B23" s="944">
        <f>IF(C23="","",IFERROR(INDEX(SOWStoryTable[子需求名称],MATCH(C23,SOWStoryTable[故事名称],0)),"来源未匹配"))</f>
        <v/>
      </c>
      <c r="C23" s="1060" t="inlineStr">
        <is>
          <t>门店处理订单与交接</t>
        </is>
      </c>
      <c r="D23" s="1060" t="inlineStr">
        <is>
          <t>新建门店接单与交接服务</t>
        </is>
      </c>
      <c r="E23" s="1060" t="inlineStr">
        <is>
          <t>业务服务与接口</t>
        </is>
      </c>
      <c r="F23" s="945">
        <f>IF(E23="","",IFERROR(INDEX(BaseUnitCatalogTable[任务族名称],MATCH(E23,BaseUnitCatalogTable[基础单元名称],0)),""))</f>
        <v/>
      </c>
      <c r="G23" s="1061" t="inlineStr">
        <is>
          <t>新建</t>
        </is>
      </c>
      <c r="H23" s="1060" t="inlineStr">
        <is>
          <t>交付一期顺延的门店接单、缺货替代、权限校验和交接操作。</t>
        </is>
      </c>
      <c r="I23" s="1061" t="inlineStr">
        <is>
          <t>L</t>
        </is>
      </c>
      <c r="J23" s="1060" t="inlineStr">
        <is>
          <t>涉及门店数据隔离、并发抢单、缺货替代和跨班次交接四类复杂规则。</t>
        </is>
      </c>
      <c r="K23" s="1060" t="inlineStr"/>
      <c r="L23" s="1060" t="inlineStr">
        <is>
          <t>一个门店接单领域服务实例。</t>
        </is>
      </c>
      <c r="M23" s="945">
        <f>IF(OR(D23="",E23="",G23=""),"",IFERROR(IF(G23="新建",INDEX(BaseUnitCatalogTable[新建M档人天],MATCH(E23,BaseUnitCatalogTable[基础单元名称],0)),IF(G23="调整",INDEX(BaseUnitCatalogTable[调整M档人天],MATCH(E23,BaseUnitCatalogTable[基础单元名称],0)),IF(G23="接入复用",INDEX(BaseUnitCatalogTable[接入复用M档人天],MATCH(E23,BaseUnitCatalogTable[基础单元名称],0)),""))),""))</f>
        <v/>
      </c>
      <c r="N23" s="945">
        <f>IF(OR(D23="",I23=""),"",IFERROR(INDEX(ProjectParameterTable[值],MATCH("K_COMPLEXITY_"&amp;I23,ProjectParameterTable[参数代码],0)),""))</f>
        <v/>
      </c>
      <c r="O23" s="945">
        <f>IF(OR(D23="",NOT(ISNUMBER(M23)),NOT(ISNUMBER(N23))),"",ROUND(M23*N23,1))</f>
        <v/>
      </c>
    </row>
    <row r="24" ht="38" customHeight="1" s="1025">
      <c r="A24" s="944">
        <f>IF(C24="","",IFERROR(INDEX(SOWStoryTable[需求名称],MATCH(C24,SOWStoryTable[故事名称],0)),"来源未匹配"))</f>
        <v/>
      </c>
      <c r="B24" s="944">
        <f>IF(C24="","",IFERROR(INDEX(SOWStoryTable[子需求名称],MATCH(C24,SOWStoryTable[故事名称],0)),"来源未匹配"))</f>
        <v/>
      </c>
      <c r="C24" s="1060" t="inlineStr">
        <is>
          <t>查看统一履约轨迹</t>
        </is>
      </c>
      <c r="D24" s="1060" t="inlineStr">
        <is>
          <t>新建统一订单履约轨迹</t>
        </is>
      </c>
      <c r="E24" s="1060" t="inlineStr">
        <is>
          <t>界面与交互</t>
        </is>
      </c>
      <c r="F24" s="945">
        <f>IF(E24="","",IFERROR(INDEX(BaseUnitCatalogTable[任务族名称],MATCH(E24,BaseUnitCatalogTable[基础单元名称],0)),""))</f>
        <v/>
      </c>
      <c r="G24" s="1061" t="inlineStr">
        <is>
          <t>新建</t>
        </is>
      </c>
      <c r="H24" s="1060" t="inlineStr">
        <is>
          <t>新增顾客与客服共用的状态、履约节点和异常原因时间轴。</t>
        </is>
      </c>
      <c r="I24" s="1061" t="inlineStr">
        <is>
          <t>S</t>
        </is>
      </c>
      <c r="J24" s="1060" t="inlineStr">
        <is>
          <t>单一只读时间轴，复用现有列表组件且无复杂编辑状态。</t>
        </is>
      </c>
      <c r="K24" s="1060" t="inlineStr"/>
      <c r="L24" s="1060" t="inlineStr">
        <is>
          <t>一个订单履约轨迹界面实例。</t>
        </is>
      </c>
      <c r="M24" s="945">
        <f>IF(OR(D24="",E24="",G24=""),"",IFERROR(IF(G24="新建",INDEX(BaseUnitCatalogTable[新建M档人天],MATCH(E24,BaseUnitCatalogTable[基础单元名称],0)),IF(G24="调整",INDEX(BaseUnitCatalogTable[调整M档人天],MATCH(E24,BaseUnitCatalogTable[基础单元名称],0)),IF(G24="接入复用",INDEX(BaseUnitCatalogTable[接入复用M档人天],MATCH(E24,BaseUnitCatalogTable[基础单元名称],0)),""))),""))</f>
        <v/>
      </c>
      <c r="N24" s="945">
        <f>IF(OR(D24="",I24=""),"",IFERROR(INDEX(ProjectParameterTable[值],MATCH("K_COMPLEXITY_"&amp;I24,ProjectParameterTable[参数代码],0)),""))</f>
        <v/>
      </c>
      <c r="O24" s="945">
        <f>IF(OR(D24="",NOT(ISNUMBER(M24)),NOT(ISNUMBER(N24))),"",ROUND(M24*N24,1))</f>
        <v/>
      </c>
    </row>
    <row r="25" ht="38" customHeight="1" s="1025">
      <c r="A25" s="944">
        <f>IF(C25="","",IFERROR(INDEX(SOWStoryTable[需求名称],MATCH(C25,SOWStoryTable[故事名称],0)),"来源未匹配"))</f>
        <v/>
      </c>
      <c r="B25" s="944">
        <f>IF(C25="","",IFERROR(INDEX(SOWStoryTable[子需求名称],MATCH(C25,SOWStoryTable[故事名称],0)),"来源未匹配"))</f>
        <v/>
      </c>
      <c r="C25" s="1060" t="inlineStr">
        <is>
          <t>查看统一履约轨迹</t>
        </is>
      </c>
      <c r="D25" s="1060" t="inlineStr">
        <is>
          <t>新建履约轨迹事件投影</t>
        </is>
      </c>
      <c r="E25" s="1060" t="inlineStr">
        <is>
          <t>事件与消息处理</t>
        </is>
      </c>
      <c r="F25" s="945">
        <f>IF(E25="","",IFERROR(INDEX(BaseUnitCatalogTable[任务族名称],MATCH(E25,BaseUnitCatalogTable[基础单元名称],0)),""))</f>
        <v/>
      </c>
      <c r="G25" s="1061" t="inlineStr">
        <is>
          <t>新建</t>
        </is>
      </c>
      <c r="H25" s="1060" t="inlineStr">
        <is>
          <t>新增订单状态事件到渠道可读轨迹的投影与延迟补偿。</t>
        </is>
      </c>
      <c r="I25" s="1061" t="inlineStr">
        <is>
          <t>M</t>
        </is>
      </c>
      <c r="J25" s="1060" t="inlineStr"/>
      <c r="K25" s="1060" t="inlineStr"/>
      <c r="L25" s="1060" t="inlineStr">
        <is>
          <t>一个履约轨迹事件消费和投影实例。</t>
        </is>
      </c>
      <c r="M25" s="945">
        <f>IF(OR(D25="",E25="",G25=""),"",IFERROR(IF(G25="新建",INDEX(BaseUnitCatalogTable[新建M档人天],MATCH(E25,BaseUnitCatalogTable[基础单元名称],0)),IF(G25="调整",INDEX(BaseUnitCatalogTable[调整M档人天],MATCH(E25,BaseUnitCatalogTable[基础单元名称],0)),IF(G25="接入复用",INDEX(BaseUnitCatalogTable[接入复用M档人天],MATCH(E25,BaseUnitCatalogTable[基础单元名称],0)),""))),""))</f>
        <v/>
      </c>
      <c r="N25" s="945">
        <f>IF(OR(D25="",I25=""),"",IFERROR(INDEX(ProjectParameterTable[值],MATCH("K_COMPLEXITY_"&amp;I25,ProjectParameterTable[参数代码],0)),""))</f>
        <v/>
      </c>
      <c r="O25" s="945">
        <f>IF(OR(D25="",NOT(ISNUMBER(M25)),NOT(ISNUMBER(N25))),"",ROUND(M25*N25,1))</f>
        <v/>
      </c>
    </row>
    <row r="26" ht="38" customHeight="1" s="1025">
      <c r="A26" s="944">
        <f>IF(C26="","",IFERROR(INDEX(SOWStoryTable[需求名称],MATCH(C26,SOWStoryTable[故事名称],0)),"来源未匹配"))</f>
        <v/>
      </c>
      <c r="B26" s="944">
        <f>IF(C26="","",IFERROR(INDEX(SOWStoryTable[子需求名称],MATCH(C26,SOWStoryTable[故事名称],0)),"来源未匹配"))</f>
        <v/>
      </c>
      <c r="C26" s="1060" t="inlineStr">
        <is>
          <t>执行支付退款日结对账</t>
        </is>
      </c>
      <c r="D26" s="1060" t="inlineStr">
        <is>
          <t>新建支付退款日结作业</t>
        </is>
      </c>
      <c r="E26" s="1060" t="inlineStr">
        <is>
          <t>后台任务</t>
        </is>
      </c>
      <c r="F26" s="945">
        <f>IF(E26="","",IFERROR(INDEX(BaseUnitCatalogTable[任务族名称],MATCH(E26,BaseUnitCatalogTable[基础单元名称],0)),""))</f>
        <v/>
      </c>
      <c r="G26" s="1061" t="inlineStr">
        <is>
          <t>新建</t>
        </is>
      </c>
      <c r="H26" s="1060" t="inlineStr">
        <is>
          <t>新增每日交易归集、手续费计算、差异识别和失败重跑作业。</t>
        </is>
      </c>
      <c r="I26" s="1061" t="inlineStr">
        <is>
          <t>M</t>
        </is>
      </c>
      <c r="J26" s="1060" t="inlineStr"/>
      <c r="K26" s="1060" t="inlineStr"/>
      <c r="L26" s="1060" t="inlineStr">
        <is>
          <t>一个按自然日调度的支付对账后台作业实例。</t>
        </is>
      </c>
      <c r="M26" s="945">
        <f>IF(OR(D26="",E26="",G26=""),"",IFERROR(IF(G26="新建",INDEX(BaseUnitCatalogTable[新建M档人天],MATCH(E26,BaseUnitCatalogTable[基础单元名称],0)),IF(G26="调整",INDEX(BaseUnitCatalogTable[调整M档人天],MATCH(E26,BaseUnitCatalogTable[基础单元名称],0)),IF(G26="接入复用",INDEX(BaseUnitCatalogTable[接入复用M档人天],MATCH(E26,BaseUnitCatalogTable[基础单元名称],0)),""))),""))</f>
        <v/>
      </c>
      <c r="N26" s="945">
        <f>IF(OR(D26="",I26=""),"",IFERROR(INDEX(ProjectParameterTable[值],MATCH("K_COMPLEXITY_"&amp;I26,ProjectParameterTable[参数代码],0)),""))</f>
        <v/>
      </c>
      <c r="O26" s="945">
        <f>IF(OR(D26="",NOT(ISNUMBER(M26)),NOT(ISNUMBER(N26))),"",ROUND(M26*N26,1))</f>
        <v/>
      </c>
    </row>
    <row r="27" ht="38" customHeight="1" s="1025">
      <c r="A27" s="944">
        <f>IF(C27="","",IFERROR(INDEX(SOWStoryTable[需求名称],MATCH(C27,SOWStoryTable[故事名称],0)),"来源未匹配"))</f>
        <v/>
      </c>
      <c r="B27" s="944">
        <f>IF(C27="","",IFERROR(INDEX(SOWStoryTable[子需求名称],MATCH(C27,SOWStoryTable[故事名称],0)),"来源未匹配"))</f>
        <v/>
      </c>
      <c r="C27" s="1060" t="inlineStr">
        <is>
          <t>执行支付退款日结对账</t>
        </is>
      </c>
      <c r="D27" s="1060" t="inlineStr">
        <is>
          <t>新建支付差异复核视图</t>
        </is>
      </c>
      <c r="E27" s="1060" t="inlineStr">
        <is>
          <t>报表与指标</t>
        </is>
      </c>
      <c r="F27" s="945">
        <f>IF(E27="","",IFERROR(INDEX(BaseUnitCatalogTable[任务族名称],MATCH(E27,BaseUnitCatalogTable[基础单元名称],0)),""))</f>
        <v/>
      </c>
      <c r="G27" s="1061" t="inlineStr">
        <is>
          <t>新建</t>
        </is>
      </c>
      <c r="H27" s="1060" t="inlineStr">
        <is>
          <t>新增按渠道、门店和订单查看实收、退款与手续费差异的财务视图。</t>
        </is>
      </c>
      <c r="I27" s="1061" t="inlineStr">
        <is>
          <t>M</t>
        </is>
      </c>
      <c r="J27" s="1060" t="inlineStr"/>
      <c r="K27" s="1060" t="inlineStr"/>
      <c r="L27" s="1060" t="inlineStr">
        <is>
          <t>一个支付日结差异报表实例。</t>
        </is>
      </c>
      <c r="M27" s="945">
        <f>IF(OR(D27="",E27="",G27=""),"",IFERROR(IF(G27="新建",INDEX(BaseUnitCatalogTable[新建M档人天],MATCH(E27,BaseUnitCatalogTable[基础单元名称],0)),IF(G27="调整",INDEX(BaseUnitCatalogTable[调整M档人天],MATCH(E27,BaseUnitCatalogTable[基础单元名称],0)),IF(G27="接入复用",INDEX(BaseUnitCatalogTable[接入复用M档人天],MATCH(E27,BaseUnitCatalogTable[基础单元名称],0)),""))),""))</f>
        <v/>
      </c>
      <c r="N27" s="945">
        <f>IF(OR(D27="",I27=""),"",IFERROR(INDEX(ProjectParameterTable[值],MATCH("K_COMPLEXITY_"&amp;I27,ProjectParameterTable[参数代码],0)),""))</f>
        <v/>
      </c>
      <c r="O27" s="945">
        <f>IF(OR(D27="",NOT(ISNUMBER(M27)),NOT(ISNUMBER(N27))),"",ROUND(M27*N27,1))</f>
        <v/>
      </c>
    </row>
    <row r="28" ht="38" customHeight="1" s="1025">
      <c r="A28" s="944">
        <f>IF(C28="","",IFERROR(INDEX(SOWStoryTable[需求名称],MATCH(C28,SOWStoryTable[故事名称],0)),"来源未匹配"))</f>
        <v/>
      </c>
      <c r="B28" s="944">
        <f>IF(C28="","",IFERROR(INDEX(SOWStoryTable[子需求名称],MATCH(C28,SOWStoryTable[故事名称],0)),"来源未匹配"))</f>
        <v/>
      </c>
      <c r="C28" s="1060" t="inlineStr">
        <is>
          <t>申请并追踪电子发票</t>
        </is>
      </c>
      <c r="D28" s="1060" t="inlineStr">
        <is>
          <t>接入既有电子发票通道</t>
        </is>
      </c>
      <c r="E28" s="1060" t="inlineStr">
        <is>
          <t>外部系统对接</t>
        </is>
      </c>
      <c r="F28" s="945">
        <f>IF(E28="","",IFERROR(INDEX(BaseUnitCatalogTable[任务族名称],MATCH(E28,BaseUnitCatalogTable[基础单元名称],0)),""))</f>
        <v/>
      </c>
      <c r="G28" s="1061" t="inlineStr">
        <is>
          <t>接入复用</t>
        </is>
      </c>
      <c r="H28" s="1060" t="inlineStr">
        <is>
          <t>既有电子发票通道保持不变；本项目负责并交付：配置、映射、适配、认证、租户设置、专项验证。</t>
        </is>
      </c>
      <c r="I28" s="1061" t="inlineStr">
        <is>
          <t>M</t>
        </is>
      </c>
      <c r="J28" s="1060" t="inlineStr"/>
      <c r="K28" s="1060" t="inlineStr">
        <is>
          <t>既有电子发票通道</t>
        </is>
      </c>
      <c r="L28" s="1060" t="inlineStr">
        <is>
          <t>实现一个已登记的外部电子发票集成，并单列外部支持成本。</t>
        </is>
      </c>
      <c r="M28" s="945">
        <f>IF(OR(D28="",E28="",G28=""),"",IFERROR(IF(G28="新建",INDEX(BaseUnitCatalogTable[新建M档人天],MATCH(E28,BaseUnitCatalogTable[基础单元名称],0)),IF(G28="调整",INDEX(BaseUnitCatalogTable[调整M档人天],MATCH(E28,BaseUnitCatalogTable[基础单元名称],0)),IF(G28="接入复用",INDEX(BaseUnitCatalogTable[接入复用M档人天],MATCH(E28,BaseUnitCatalogTable[基础单元名称],0)),""))),""))</f>
        <v/>
      </c>
      <c r="N28" s="945">
        <f>IF(OR(D28="",I28=""),"",IFERROR(INDEX(ProjectParameterTable[值],MATCH("K_COMPLEXITY_"&amp;I28,ProjectParameterTable[参数代码],0)),""))</f>
        <v/>
      </c>
      <c r="O28" s="945">
        <f>IF(OR(D28="",NOT(ISNUMBER(M28)),NOT(ISNUMBER(N28))),"",ROUND(M28*N28,1))</f>
        <v/>
      </c>
    </row>
    <row r="29" ht="38" customHeight="1" s="1025">
      <c r="A29" s="944">
        <f>IF(C29="","",IFERROR(INDEX(SOWStoryTable[需求名称],MATCH(C29,SOWStoryTable[故事名称],0)),"来源未匹配"))</f>
        <v/>
      </c>
      <c r="B29" s="944">
        <f>IF(C29="","",IFERROR(INDEX(SOWStoryTable[子需求名称],MATCH(C29,SOWStoryTable[故事名称],0)),"来源未匹配"))</f>
        <v/>
      </c>
      <c r="C29" s="1060" t="inlineStr">
        <is>
          <t>申请并追踪电子发票</t>
        </is>
      </c>
      <c r="D29" s="1060" t="inlineStr">
        <is>
          <t>新建发票状态补偿作业</t>
        </is>
      </c>
      <c r="E29" s="1060" t="inlineStr">
        <is>
          <t>后台任务</t>
        </is>
      </c>
      <c r="F29" s="945">
        <f>IF(E29="","",IFERROR(INDEX(BaseUnitCatalogTable[任务族名称],MATCH(E29,BaseUnitCatalogTable[基础单元名称],0)),""))</f>
        <v/>
      </c>
      <c r="G29" s="1061" t="inlineStr">
        <is>
          <t>新建</t>
        </is>
      </c>
      <c r="H29" s="1060" t="inlineStr">
        <is>
          <t>新增开票状态轮询、失败重试、重复申请拦截和结果回写作业。</t>
        </is>
      </c>
      <c r="I29" s="1061" t="inlineStr">
        <is>
          <t>M</t>
        </is>
      </c>
      <c r="J29" s="1060" t="inlineStr"/>
      <c r="K29" s="1060" t="inlineStr"/>
      <c r="L29" s="1060" t="inlineStr">
        <is>
          <t>一个电子发票状态补偿后台作业实例。</t>
        </is>
      </c>
      <c r="M29" s="945">
        <f>IF(OR(D29="",E29="",G29=""),"",IFERROR(IF(G29="新建",INDEX(BaseUnitCatalogTable[新建M档人天],MATCH(E29,BaseUnitCatalogTable[基础单元名称],0)),IF(G29="调整",INDEX(BaseUnitCatalogTable[调整M档人天],MATCH(E29,BaseUnitCatalogTable[基础单元名称],0)),IF(G29="接入复用",INDEX(BaseUnitCatalogTable[接入复用M档人天],MATCH(E29,BaseUnitCatalogTable[基础单元名称],0)),""))),""))</f>
        <v/>
      </c>
      <c r="N29" s="945">
        <f>IF(OR(D29="",I29=""),"",IFERROR(INDEX(ProjectParameterTable[值],MATCH("K_COMPLEXITY_"&amp;I29,ProjectParameterTable[参数代码],0)),""))</f>
        <v/>
      </c>
      <c r="O29" s="945">
        <f>IF(OR(D29="",NOT(ISNUMBER(M29)),NOT(ISNUMBER(N29))),"",ROUND(M29*N29,1))</f>
        <v/>
      </c>
    </row>
    <row r="30" ht="38" customHeight="1" s="1025">
      <c r="A30" s="944">
        <f>IF(C30="","",IFERROR(INDEX(SOWStoryTable[需求名称],MATCH(C30,SOWStoryTable[故事名称],0)),"来源未匹配"))</f>
        <v/>
      </c>
      <c r="B30" s="944">
        <f>IF(C30="","",IFERROR(INDEX(SOWStoryTable[子需求名称],MATCH(C30,SOWStoryTable[故事名称],0)),"来源未匹配"))</f>
        <v/>
      </c>
      <c r="C30" s="1060" t="inlineStr">
        <is>
          <t>查看财务经营日报</t>
        </is>
      </c>
      <c r="D30" s="1060" t="inlineStr">
        <is>
          <t>新建财务经营日报</t>
        </is>
      </c>
      <c r="E30" s="1060" t="inlineStr">
        <is>
          <t>报表与指标</t>
        </is>
      </c>
      <c r="F30" s="945">
        <f>IF(E30="","",IFERROR(INDEX(BaseUnitCatalogTable[任务族名称],MATCH(E30,BaseUnitCatalogTable[基础单元名称],0)),""))</f>
        <v/>
      </c>
      <c r="G30" s="1061" t="inlineStr">
        <is>
          <t>新建</t>
        </is>
      </c>
      <c r="H30" s="1060" t="inlineStr">
        <is>
          <t>新增销售、退款、优惠和未对账金额的多维指标与下钻。</t>
        </is>
      </c>
      <c r="I30" s="1061" t="inlineStr">
        <is>
          <t>L</t>
        </is>
      </c>
      <c r="J30" s="1060" t="inlineStr">
        <is>
          <t>包含四类金额、日期区域渠道三维切片、逐笔下钻和财务口径校验。</t>
        </is>
      </c>
      <c r="K30" s="1060" t="inlineStr"/>
      <c r="L30" s="1060" t="inlineStr">
        <is>
          <t>一个财务经营日报与指标集合实例。</t>
        </is>
      </c>
      <c r="M30" s="945">
        <f>IF(OR(D30="",E30="",G30=""),"",IFERROR(IF(G30="新建",INDEX(BaseUnitCatalogTable[新建M档人天],MATCH(E30,BaseUnitCatalogTable[基础单元名称],0)),IF(G30="调整",INDEX(BaseUnitCatalogTable[调整M档人天],MATCH(E30,BaseUnitCatalogTable[基础单元名称],0)),IF(G30="接入复用",INDEX(BaseUnitCatalogTable[接入复用M档人天],MATCH(E30,BaseUnitCatalogTable[基础单元名称],0)),""))),""))</f>
        <v/>
      </c>
      <c r="N30" s="945">
        <f>IF(OR(D30="",I30=""),"",IFERROR(INDEX(ProjectParameterTable[值],MATCH("K_COMPLEXITY_"&amp;I30,ProjectParameterTable[参数代码],0)),""))</f>
        <v/>
      </c>
      <c r="O30" s="945">
        <f>IF(OR(D30="",NOT(ISNUMBER(M30)),NOT(ISNUMBER(N30))),"",ROUND(M30*N30,1))</f>
        <v/>
      </c>
    </row>
    <row r="31" ht="38" customHeight="1" s="1025">
      <c r="A31" s="944">
        <f>IF(C31="","",IFERROR(INDEX(SOWStoryTable[需求名称],MATCH(C31,SOWStoryTable[故事名称],0)),"来源未匹配"))</f>
        <v/>
      </c>
      <c r="B31" s="944">
        <f>IF(C31="","",IFERROR(INDEX(SOWStoryTable[子需求名称],MATCH(C31,SOWStoryTable[故事名称],0)),"来源未匹配"))</f>
        <v/>
      </c>
      <c r="C31" s="1060" t="inlineStr">
        <is>
          <t>查看财务经营日报</t>
        </is>
      </c>
      <c r="D31" s="1060" t="inlineStr">
        <is>
          <t>新建财务指标处理流程</t>
        </is>
      </c>
      <c r="E31" s="1060" t="inlineStr">
        <is>
          <t>数据处理流程</t>
        </is>
      </c>
      <c r="F31" s="945">
        <f>IF(E31="","",IFERROR(INDEX(BaseUnitCatalogTable[任务族名称],MATCH(E31,BaseUnitCatalogTable[基础单元名称],0)),""))</f>
        <v/>
      </c>
      <c r="G31" s="1061" t="inlineStr">
        <is>
          <t>新建</t>
        </is>
      </c>
      <c r="H31" s="1060" t="inlineStr">
        <is>
          <t>新增订单、支付、退款和发票明细的清洗、关联与日汇总流程。</t>
        </is>
      </c>
      <c r="I31" s="1061" t="inlineStr">
        <is>
          <t>M</t>
        </is>
      </c>
      <c r="J31" s="1060" t="inlineStr"/>
      <c r="K31" s="1060" t="inlineStr"/>
      <c r="L31" s="1060" t="inlineStr">
        <is>
          <t>一个财务指标数据处理流程实例。</t>
        </is>
      </c>
      <c r="M31" s="945">
        <f>IF(OR(D31="",E31="",G31=""),"",IFERROR(IF(G31="新建",INDEX(BaseUnitCatalogTable[新建M档人天],MATCH(E31,BaseUnitCatalogTable[基础单元名称],0)),IF(G31="调整",INDEX(BaseUnitCatalogTable[调整M档人天],MATCH(E31,BaseUnitCatalogTable[基础单元名称],0)),IF(G31="接入复用",INDEX(BaseUnitCatalogTable[接入复用M档人天],MATCH(E31,BaseUnitCatalogTable[基础单元名称],0)),""))),""))</f>
        <v/>
      </c>
      <c r="N31" s="945">
        <f>IF(OR(D31="",I31=""),"",IFERROR(INDEX(ProjectParameterTable[值],MATCH("K_COMPLEXITY_"&amp;I31,ProjectParameterTable[参数代码],0)),""))</f>
        <v/>
      </c>
      <c r="O31" s="945">
        <f>IF(OR(D31="",NOT(ISNUMBER(M31)),NOT(ISNUMBER(N31))),"",ROUND(M31*N31,1))</f>
        <v/>
      </c>
    </row>
    <row r="32" ht="38" customHeight="1" s="1025">
      <c r="A32" s="944">
        <f>IF(C32="","",IFERROR(INDEX(SOWStoryTable[需求名称],MATCH(C32,SOWStoryTable[故事名称],0)),"来源未匹配"))</f>
        <v/>
      </c>
      <c r="B32" s="944">
        <f>IF(C32="","",IFERROR(INDEX(SOWStoryTable[子需求名称],MATCH(C32,SOWStoryTable[故事名称],0)),"来源未匹配"))</f>
        <v/>
      </c>
      <c r="C32" s="1060" t="inlineStr">
        <is>
          <t>准备生产环境和发布流水线</t>
        </is>
      </c>
      <c r="D32" s="1060" t="inlineStr">
        <is>
          <t>调整既有生产环境与发布流水线的运行配置</t>
        </is>
      </c>
      <c r="E32" s="1060" t="inlineStr">
        <is>
          <t>运行环境</t>
        </is>
      </c>
      <c r="F32" s="945">
        <f>IF(E32="","",IFERROR(INDEX(BaseUnitCatalogTable[任务族名称],MATCH(E32,BaseUnitCatalogTable[基础单元名称],0)),""))</f>
        <v/>
      </c>
      <c r="G32" s="1061" t="inlineStr">
        <is>
          <t>调整</t>
        </is>
      </c>
      <c r="H32" s="1060" t="inlineStr">
        <is>
          <t>在既有生产环境与发布流水线中增加会员、订单、批处理和外部证书配置。</t>
        </is>
      </c>
      <c r="I32" s="1061" t="inlineStr">
        <is>
          <t>M</t>
        </is>
      </c>
      <c r="J32" s="1060" t="inlineStr"/>
      <c r="K32" s="1060" t="inlineStr">
        <is>
          <t>既有生产环境与发布流水线</t>
        </is>
      </c>
      <c r="L32" s="1060" t="inlineStr">
        <is>
          <t>一个生产运行环境配置实例。</t>
        </is>
      </c>
      <c r="M32" s="945">
        <f>IF(OR(D32="",E32="",G32=""),"",IFERROR(IF(G32="新建",INDEX(BaseUnitCatalogTable[新建M档人天],MATCH(E32,BaseUnitCatalogTable[基础单元名称],0)),IF(G32="调整",INDEX(BaseUnitCatalogTable[调整M档人天],MATCH(E32,BaseUnitCatalogTable[基础单元名称],0)),IF(G32="接入复用",INDEX(BaseUnitCatalogTable[接入复用M档人天],MATCH(E32,BaseUnitCatalogTable[基础单元名称],0)),""))),""))</f>
        <v/>
      </c>
      <c r="N32" s="945">
        <f>IF(OR(D32="",I32=""),"",IFERROR(INDEX(ProjectParameterTable[值],MATCH("K_COMPLEXITY_"&amp;I32,ProjectParameterTable[参数代码],0)),""))</f>
        <v/>
      </c>
      <c r="O32" s="945">
        <f>IF(OR(D32="",NOT(ISNUMBER(M32)),NOT(ISNUMBER(N32))),"",ROUND(M32*N32,1))</f>
        <v/>
      </c>
    </row>
    <row r="33" ht="38" customHeight="1" s="1025">
      <c r="A33" s="944">
        <f>IF(C33="","",IFERROR(INDEX(SOWStoryTable[需求名称],MATCH(C33,SOWStoryTable[故事名称],0)),"来源未匹配"))</f>
        <v/>
      </c>
      <c r="B33" s="944">
        <f>IF(C33="","",IFERROR(INDEX(SOWStoryTable[子需求名称],MATCH(C33,SOWStoryTable[故事名称],0)),"来源未匹配"))</f>
        <v/>
      </c>
      <c r="C33" s="1060" t="inlineStr">
        <is>
          <t>准备生产环境和发布流水线</t>
        </is>
      </c>
      <c r="D33" s="1060" t="inlineStr">
        <is>
          <t>调整既有生产环境与发布流水线的部署步骤</t>
        </is>
      </c>
      <c r="E33" s="1060" t="inlineStr">
        <is>
          <t>构建与部署流水线</t>
        </is>
      </c>
      <c r="F33" s="945">
        <f>IF(E33="","",IFERROR(INDEX(BaseUnitCatalogTable[任务族名称],MATCH(E33,BaseUnitCatalogTable[基础单元名称],0)),""))</f>
        <v/>
      </c>
      <c r="G33" s="1061" t="inlineStr">
        <is>
          <t>调整</t>
        </is>
      </c>
      <c r="H33" s="1060" t="inlineStr">
        <is>
          <t>扩展既有生产环境与发布流水线，增加迁移前检查、分步发布和验证门禁。</t>
        </is>
      </c>
      <c r="I33" s="1061" t="inlineStr">
        <is>
          <t>M</t>
        </is>
      </c>
      <c r="J33" s="1060" t="inlineStr"/>
      <c r="K33" s="1060" t="inlineStr">
        <is>
          <t>既有生产环境与发布流水线</t>
        </is>
      </c>
      <c r="L33" s="1060" t="inlineStr">
        <is>
          <t>一个应用构建与部署流水线调整实例。</t>
        </is>
      </c>
      <c r="M33" s="945">
        <f>IF(OR(D33="",E33="",G33=""),"",IFERROR(IF(G33="新建",INDEX(BaseUnitCatalogTable[新建M档人天],MATCH(E33,BaseUnitCatalogTable[基础单元名称],0)),IF(G33="调整",INDEX(BaseUnitCatalogTable[调整M档人天],MATCH(E33,BaseUnitCatalogTable[基础单元名称],0)),IF(G33="接入复用",INDEX(BaseUnitCatalogTable[接入复用M档人天],MATCH(E33,BaseUnitCatalogTable[基础单元名称],0)),""))),""))</f>
        <v/>
      </c>
      <c r="N33" s="945">
        <f>IF(OR(D33="",I33=""),"",IFERROR(INDEX(ProjectParameterTable[值],MATCH("K_COMPLEXITY_"&amp;I33,ProjectParameterTable[参数代码],0)),""))</f>
        <v/>
      </c>
      <c r="O33" s="945">
        <f>IF(OR(D33="",NOT(ISNUMBER(M33)),NOT(ISNUMBER(N33))),"",ROUND(M33*N33,1))</f>
        <v/>
      </c>
    </row>
    <row r="34" ht="38" customHeight="1" s="1025">
      <c r="A34" s="944">
        <f>IF(C34="","",IFERROR(INDEX(SOWStoryTable[需求名称],MATCH(C34,SOWStoryTable[故事名称],0)),"来源未匹配"))</f>
        <v/>
      </c>
      <c r="B34" s="944">
        <f>IF(C34="","",IFERROR(INDEX(SOWStoryTable[子需求名称],MATCH(C34,SOWStoryTable[故事名称],0)),"来源未匹配"))</f>
        <v/>
      </c>
      <c r="C34" s="1060" t="inlineStr">
        <is>
          <t>准备生产环境和发布流水线</t>
        </is>
      </c>
      <c r="D34" s="1060" t="inlineStr">
        <is>
          <t>调整既有生产环境与发布流水线的功能开关</t>
        </is>
      </c>
      <c r="E34" s="1060" t="inlineStr">
        <is>
          <t>配置与功能开关</t>
        </is>
      </c>
      <c r="F34" s="945">
        <f>IF(E34="","",IFERROR(INDEX(BaseUnitCatalogTable[任务族名称],MATCH(E34,BaseUnitCatalogTable[基础单元名称],0)),""))</f>
        <v/>
      </c>
      <c r="G34" s="1061" t="inlineStr">
        <is>
          <t>调整</t>
        </is>
      </c>
      <c r="H34" s="1060" t="inlineStr">
        <is>
          <t>在既有生产环境与发布流水线中配置渠道切流、退款和开票功能开关。</t>
        </is>
      </c>
      <c r="I34" s="1061" t="inlineStr">
        <is>
          <t>S</t>
        </is>
      </c>
      <c r="J34" s="1060" t="inlineStr">
        <is>
          <t>三个独立布尔开关及默认值，沿用现有配置中心且无复杂灰度算法。</t>
        </is>
      </c>
      <c r="K34" s="1060" t="inlineStr">
        <is>
          <t>既有生产环境与发布流水线</t>
        </is>
      </c>
      <c r="L34" s="1060" t="inlineStr">
        <is>
          <t>一个上线功能开关配置实例。</t>
        </is>
      </c>
      <c r="M34" s="945">
        <f>IF(OR(D34="",E34="",G34=""),"",IFERROR(IF(G34="新建",INDEX(BaseUnitCatalogTable[新建M档人天],MATCH(E34,BaseUnitCatalogTable[基础单元名称],0)),IF(G34="调整",INDEX(BaseUnitCatalogTable[调整M档人天],MATCH(E34,BaseUnitCatalogTable[基础单元名称],0)),IF(G34="接入复用",INDEX(BaseUnitCatalogTable[接入复用M档人天],MATCH(E34,BaseUnitCatalogTable[基础单元名称],0)),""))),""))</f>
        <v/>
      </c>
      <c r="N34" s="945">
        <f>IF(OR(D34="",I34=""),"",IFERROR(INDEX(ProjectParameterTable[值],MATCH("K_COMPLEXITY_"&amp;I34,ProjectParameterTable[参数代码],0)),""))</f>
        <v/>
      </c>
      <c r="O34" s="945">
        <f>IF(OR(D34="",NOT(ISNUMBER(M34)),NOT(ISNUMBER(N34))),"",ROUND(M34*N34,1))</f>
        <v/>
      </c>
    </row>
    <row r="35" ht="38" customHeight="1" s="1025">
      <c r="A35" s="944">
        <f>IF(C35="","",IFERROR(INDEX(SOWStoryTable[需求名称],MATCH(C35,SOWStoryTable[故事名称],0)),"来源未匹配"))</f>
        <v/>
      </c>
      <c r="B35" s="944">
        <f>IF(C35="","",IFERROR(INDEX(SOWStoryTable[子需求名称],MATCH(C35,SOWStoryTable[故事名称],0)),"来源未匹配"))</f>
        <v/>
      </c>
      <c r="C35" s="1060" t="inlineStr">
        <is>
          <t>执行生产切换与回滚演练</t>
        </is>
      </c>
      <c r="D35" s="1060" t="inlineStr">
        <is>
          <t>执行生产切换与回滚</t>
        </is>
      </c>
      <c r="E35" s="1060" t="inlineStr">
        <is>
          <t>发布切换</t>
        </is>
      </c>
      <c r="F35" s="945">
        <f>IF(E35="","",IFERROR(INDEX(BaseUnitCatalogTable[任务族名称],MATCH(E35,BaseUnitCatalogTable[基础单元名称],0)),""))</f>
        <v/>
      </c>
      <c r="G35" s="1061" t="inlineStr">
        <is>
          <t>新建</t>
        </is>
      </c>
      <c r="H35" s="1060" t="inlineStr">
        <is>
          <t>基于既有生产环境与发布流水线编制并执行分步切流、检查点和回滚清单。</t>
        </is>
      </c>
      <c r="I35" s="1061" t="inlineStr">
        <is>
          <t>L</t>
        </is>
      </c>
      <c r="J35" s="1060" t="inlineStr">
        <is>
          <t>涉及会员、订单、四个集成链路、迁移窗口、三次继续回滚决策和多团队协同。</t>
        </is>
      </c>
      <c r="K35" s="1060" t="inlineStr">
        <is>
          <t>既有生产环境与发布流水线</t>
        </is>
      </c>
      <c r="L35" s="1060" t="inlineStr">
        <is>
          <t>一个批准上线窗口内的生产发布切换实例。</t>
        </is>
      </c>
      <c r="M35" s="945">
        <f>IF(OR(D35="",E35="",G35=""),"",IFERROR(IF(G35="新建",INDEX(BaseUnitCatalogTable[新建M档人天],MATCH(E35,BaseUnitCatalogTable[基础单元名称],0)),IF(G35="调整",INDEX(BaseUnitCatalogTable[调整M档人天],MATCH(E35,BaseUnitCatalogTable[基础单元名称],0)),IF(G35="接入复用",INDEX(BaseUnitCatalogTable[接入复用M档人天],MATCH(E35,BaseUnitCatalogTable[基础单元名称],0)),""))),""))</f>
        <v/>
      </c>
      <c r="N35" s="945">
        <f>IF(OR(D35="",I35=""),"",IFERROR(INDEX(ProjectParameterTable[值],MATCH("K_COMPLEXITY_"&amp;I35,ProjectParameterTable[参数代码],0)),""))</f>
        <v/>
      </c>
      <c r="O35" s="945">
        <f>IF(OR(D35="",NOT(ISNUMBER(M35)),NOT(ISNUMBER(N35))),"",ROUND(M35*N35,1))</f>
        <v/>
      </c>
    </row>
    <row r="36" ht="38" customHeight="1" s="1025">
      <c r="A36" s="944">
        <f>IF(C36="","",IFERROR(INDEX(SOWStoryTable[需求名称],MATCH(C36,SOWStoryTable[故事名称],0)),"来源未匹配"))</f>
        <v/>
      </c>
      <c r="B36" s="944">
        <f>IF(C36="","",IFERROR(INDEX(SOWStoryTable[子需求名称],MATCH(C36,SOWStoryTable[故事名称],0)),"来源未匹配"))</f>
        <v/>
      </c>
      <c r="C36" s="1060" t="inlineStr">
        <is>
          <t>执行生产切换与回滚演练</t>
        </is>
      </c>
      <c r="D36" s="1060" t="inlineStr">
        <is>
          <t>验证切换与回滚检查清单</t>
        </is>
      </c>
      <c r="E36" s="1060" t="inlineStr">
        <is>
          <t>人工测试</t>
        </is>
      </c>
      <c r="F36" s="945">
        <f>IF(E36="","",IFERROR(INDEX(BaseUnitCatalogTable[任务族名称],MATCH(E36,BaseUnitCatalogTable[基础单元名称],0)),""))</f>
        <v/>
      </c>
      <c r="G36" s="1061" t="inlineStr">
        <is>
          <t>新建</t>
        </is>
      </c>
      <c r="H36" s="1060" t="inlineStr">
        <is>
          <t>新增切换前置条件、检查点、回滚触发器和联系人桌面演练。</t>
        </is>
      </c>
      <c r="I36" s="1061" t="inlineStr">
        <is>
          <t>S</t>
        </is>
      </c>
      <c r="J36" s="1060" t="inlineStr">
        <is>
          <t>一次桌面演练和一套固定清单，不涉及额外环境或大规模数据准备。</t>
        </is>
      </c>
      <c r="K36" s="1060" t="inlineStr"/>
      <c r="L36" s="1060" t="inlineStr">
        <is>
          <t>一个切换回滚清单验证实例。</t>
        </is>
      </c>
      <c r="M36" s="945">
        <f>IF(OR(D36="",E36="",G36=""),"",IFERROR(IF(G36="新建",INDEX(BaseUnitCatalogTable[新建M档人天],MATCH(E36,BaseUnitCatalogTable[基础单元名称],0)),IF(G36="调整",INDEX(BaseUnitCatalogTable[调整M档人天],MATCH(E36,BaseUnitCatalogTable[基础单元名称],0)),IF(G36="接入复用",INDEX(BaseUnitCatalogTable[接入复用M档人天],MATCH(E36,BaseUnitCatalogTable[基础单元名称],0)),""))),""))</f>
        <v/>
      </c>
      <c r="N36" s="945">
        <f>IF(OR(D36="",I36=""),"",IFERROR(INDEX(ProjectParameterTable[值],MATCH("K_COMPLEXITY_"&amp;I36,ProjectParameterTable[参数代码],0)),""))</f>
        <v/>
      </c>
      <c r="O36" s="945">
        <f>IF(OR(D36="",NOT(ISNUMBER(M36)),NOT(ISNUMBER(N36))),"",ROUND(M36*N36,1))</f>
        <v/>
      </c>
    </row>
    <row r="37" ht="38" customHeight="1" s="1025">
      <c r="A37" s="944">
        <f>IF(C37="","",IFERROR(INDEX(SOWStoryTable[需求名称],MATCH(C37,SOWStoryTable[故事名称],0)),"来源未匹配"))</f>
        <v/>
      </c>
      <c r="B37" s="944">
        <f>IF(C37="","",IFERROR(INDEX(SOWStoryTable[子需求名称],MATCH(C37,SOWStoryTable[故事名称],0)),"来源未匹配"))</f>
        <v/>
      </c>
      <c r="C37" s="1060" t="inlineStr">
        <is>
          <t>完成生产烟测与业务确认</t>
        </is>
      </c>
      <c r="D37" s="1060" t="inlineStr">
        <is>
          <t>执行核心查询性能验证</t>
        </is>
      </c>
      <c r="E37" s="1060" t="inlineStr">
        <is>
          <t>性能与容量测试</t>
        </is>
      </c>
      <c r="F37" s="945">
        <f>IF(E37="","",IFERROR(INDEX(BaseUnitCatalogTable[任务族名称],MATCH(E37,BaseUnitCatalogTable[基础单元名称],0)),""))</f>
        <v/>
      </c>
      <c r="G37" s="1061" t="inlineStr">
        <is>
          <t>新建</t>
        </is>
      </c>
      <c r="H37" s="1060" t="inlineStr">
        <is>
          <t>新增档案查询、订单创建和轨迹查询的峰值负载与稳定性验证。</t>
        </is>
      </c>
      <c r="I37" s="1061" t="inlineStr">
        <is>
          <t>L</t>
        </is>
      </c>
      <c r="J37" s="1060" t="inlineStr">
        <is>
          <t>三条核心链路、500 TPS 峰值、两小时稳定性和容量拐点分析需要多轮调优。</t>
        </is>
      </c>
      <c r="K37" s="1060" t="inlineStr"/>
      <c r="L37" s="1060" t="inlineStr">
        <is>
          <t>一个生产前性能与容量测试实例。</t>
        </is>
      </c>
      <c r="M37" s="945">
        <f>IF(OR(D37="",E37="",G37=""),"",IFERROR(IF(G37="新建",INDEX(BaseUnitCatalogTable[新建M档人天],MATCH(E37,BaseUnitCatalogTable[基础单元名称],0)),IF(G37="调整",INDEX(BaseUnitCatalogTable[调整M档人天],MATCH(E37,BaseUnitCatalogTable[基础单元名称],0)),IF(G37="接入复用",INDEX(BaseUnitCatalogTable[接入复用M档人天],MATCH(E37,BaseUnitCatalogTable[基础单元名称],0)),""))),""))</f>
        <v/>
      </c>
      <c r="N37" s="945">
        <f>IF(OR(D37="",I37=""),"",IFERROR(INDEX(ProjectParameterTable[值],MATCH("K_COMPLEXITY_"&amp;I37,ProjectParameterTable[参数代码],0)),""))</f>
        <v/>
      </c>
      <c r="O37" s="945">
        <f>IF(OR(D37="",NOT(ISNUMBER(M37)),NOT(ISNUMBER(N37))),"",ROUND(M37*N37,1))</f>
        <v/>
      </c>
    </row>
    <row r="38" ht="38" customHeight="1" s="1025">
      <c r="A38" s="944">
        <f>IF(C38="","",IFERROR(INDEX(SOWStoryTable[需求名称],MATCH(C38,SOWStoryTable[故事名称],0)),"来源未匹配"))</f>
        <v/>
      </c>
      <c r="B38" s="944">
        <f>IF(C38="","",IFERROR(INDEX(SOWStoryTable[子需求名称],MATCH(C38,SOWStoryTable[故事名称],0)),"来源未匹配"))</f>
        <v/>
      </c>
      <c r="C38" s="1060" t="inlineStr">
        <is>
          <t>完成生产烟测与业务确认</t>
        </is>
      </c>
      <c r="D38" s="1060" t="inlineStr">
        <is>
          <t>执行生产权限与证书验证</t>
        </is>
      </c>
      <c r="E38" s="1060" t="inlineStr">
        <is>
          <t>安全与隐私测试</t>
        </is>
      </c>
      <c r="F38" s="945">
        <f>IF(E38="","",IFERROR(INDEX(BaseUnitCatalogTable[任务族名称],MATCH(E38,BaseUnitCatalogTable[基础单元名称],0)),""))</f>
        <v/>
      </c>
      <c r="G38" s="1061" t="inlineStr">
        <is>
          <t>新建</t>
        </is>
      </c>
      <c r="H38" s="1060" t="inlineStr">
        <is>
          <t>新增生产角色最小权限、外部证书、密钥轮换和敏感字段脱敏检查。</t>
        </is>
      </c>
      <c r="I38" s="1061" t="inlineStr">
        <is>
          <t>M</t>
        </is>
      </c>
      <c r="J38" s="1060" t="inlineStr"/>
      <c r="K38" s="1060" t="inlineStr"/>
      <c r="L38" s="1060" t="inlineStr">
        <is>
          <t>一个生产安全与隐私验证实例。</t>
        </is>
      </c>
      <c r="M38" s="945">
        <f>IF(OR(D38="",E38="",G38=""),"",IFERROR(IF(G38="新建",INDEX(BaseUnitCatalogTable[新建M档人天],MATCH(E38,BaseUnitCatalogTable[基础单元名称],0)),IF(G38="调整",INDEX(BaseUnitCatalogTable[调整M档人天],MATCH(E38,BaseUnitCatalogTable[基础单元名称],0)),IF(G38="接入复用",INDEX(BaseUnitCatalogTable[接入复用M档人天],MATCH(E38,BaseUnitCatalogTable[基础单元名称],0)),""))),""))</f>
        <v/>
      </c>
      <c r="N38" s="945">
        <f>IF(OR(D38="",I38=""),"",IFERROR(INDEX(ProjectParameterTable[值],MATCH("K_COMPLEXITY_"&amp;I38,ProjectParameterTable[参数代码],0)),""))</f>
        <v/>
      </c>
      <c r="O38" s="945">
        <f>IF(OR(D38="",NOT(ISNUMBER(M38)),NOT(ISNUMBER(N38))),"",ROUND(M38*N38,1))</f>
        <v/>
      </c>
    </row>
    <row r="39" ht="38" customHeight="1" s="1025">
      <c r="A39" s="944">
        <f>IF(C39="","",IFERROR(INDEX(SOWStoryTable[需求名称],MATCH(C39,SOWStoryTable[故事名称],0)),"来源未匹配"))</f>
        <v/>
      </c>
      <c r="B39" s="944">
        <f>IF(C39="","",IFERROR(INDEX(SOWStoryTable[子需求名称],MATCH(C39,SOWStoryTable[故事名称],0)),"来源未匹配"))</f>
        <v/>
      </c>
      <c r="C39" s="1060" t="inlineStr">
        <is>
          <t>完成生产烟测与业务确认</t>
        </is>
      </c>
      <c r="D39" s="1060" t="inlineStr">
        <is>
          <t>执行五条生产业务烟测</t>
        </is>
      </c>
      <c r="E39" s="1060" t="inlineStr">
        <is>
          <t>人工测试</t>
        </is>
      </c>
      <c r="F39" s="945">
        <f>IF(E39="","",IFERROR(INDEX(BaseUnitCatalogTable[任务族名称],MATCH(E39,BaseUnitCatalogTable[基础单元名称],0)),""))</f>
        <v/>
      </c>
      <c r="G39" s="1061" t="inlineStr">
        <is>
          <t>新建</t>
        </is>
      </c>
      <c r="H39" s="1060" t="inlineStr">
        <is>
          <t>新增档案、下单、退款、开票和对账五条生产烟测并留存证据。</t>
        </is>
      </c>
      <c r="I39" s="1061" t="inlineStr">
        <is>
          <t>M</t>
        </is>
      </c>
      <c r="J39" s="1060" t="inlineStr"/>
      <c r="K39" s="1060" t="inlineStr"/>
      <c r="L39" s="1060" t="inlineStr">
        <is>
          <t>一个生产关键业务链路烟测实例。</t>
        </is>
      </c>
      <c r="M39" s="945">
        <f>IF(OR(D39="",E39="",G39=""),"",IFERROR(IF(G39="新建",INDEX(BaseUnitCatalogTable[新建M档人天],MATCH(E39,BaseUnitCatalogTable[基础单元名称],0)),IF(G39="调整",INDEX(BaseUnitCatalogTable[调整M档人天],MATCH(E39,BaseUnitCatalogTable[基础单元名称],0)),IF(G39="接入复用",INDEX(BaseUnitCatalogTable[接入复用M档人天],MATCH(E39,BaseUnitCatalogTable[基础单元名称],0)),""))),""))</f>
        <v/>
      </c>
      <c r="N39" s="945">
        <f>IF(OR(D39="",I39=""),"",IFERROR(INDEX(ProjectParameterTable[值],MATCH("K_COMPLEXITY_"&amp;I39,ProjectParameterTable[参数代码],0)),""))</f>
        <v/>
      </c>
      <c r="O39" s="945">
        <f>IF(OR(D39="",NOT(ISNUMBER(M39)),NOT(ISNUMBER(N39))),"",ROUND(M39*N39,1))</f>
        <v/>
      </c>
    </row>
    <row r="40" ht="38" customHeight="1" s="1025">
      <c r="A40" s="944">
        <f>IF(C40="","",IFERROR(INDEX(SOWStoryTable[需求名称],MATCH(C40,SOWStoryTable[故事名称],0)),"来源未匹配"))</f>
        <v/>
      </c>
      <c r="B40" s="944">
        <f>IF(C40="","",IFERROR(INDEX(SOWStoryTable[子需求名称],MATCH(C40,SOWStoryTable[故事名称],0)),"来源未匹配"))</f>
        <v/>
      </c>
      <c r="C40" s="1060" t="inlineStr">
        <is>
          <t>迁移会员与历史订单数据</t>
        </is>
      </c>
      <c r="D40" s="1060" t="inlineStr">
        <is>
          <t>迁移会员与两年历史订单</t>
        </is>
      </c>
      <c r="E40" s="1060" t="inlineStr">
        <is>
          <t>数据迁移</t>
        </is>
      </c>
      <c r="F40" s="945">
        <f>IF(E40="","",IFERROR(INDEX(BaseUnitCatalogTable[任务族名称],MATCH(E40,BaseUnitCatalogTable[基础单元名称],0)),""))</f>
        <v/>
      </c>
      <c r="G40" s="1061" t="inlineStr">
        <is>
          <t>新建</t>
        </is>
      </c>
      <c r="H40" s="1060" t="inlineStr">
        <is>
          <t>从既有会员主数据模型和既有订单服务与状态机抽取数据，执行映射、加载、校验和补偿。</t>
        </is>
      </c>
      <c r="I40" s="1061" t="inlineStr">
        <is>
          <t>L</t>
        </is>
      </c>
      <c r="J40" s="1060" t="inlineStr">
        <is>
          <t>涉及两类源数据、约 1200 万订单行、历史状态映射、增量窗口和失败补偿。</t>
        </is>
      </c>
      <c r="K40" s="1060" t="inlineStr">
        <is>
          <t>既有会员主数据模型</t>
        </is>
      </c>
      <c r="L40" s="1060" t="inlineStr">
        <is>
          <t>一个会员与订单迁移批次方案实例，与发布切换分别估算。</t>
        </is>
      </c>
      <c r="M40" s="945">
        <f>IF(OR(D40="",E40="",G40=""),"",IFERROR(IF(G40="新建",INDEX(BaseUnitCatalogTable[新建M档人天],MATCH(E40,BaseUnitCatalogTable[基础单元名称],0)),IF(G40="调整",INDEX(BaseUnitCatalogTable[调整M档人天],MATCH(E40,BaseUnitCatalogTable[基础单元名称],0)),IF(G40="接入复用",INDEX(BaseUnitCatalogTable[接入复用M档人天],MATCH(E40,BaseUnitCatalogTable[基础单元名称],0)),""))),""))</f>
        <v/>
      </c>
      <c r="N40" s="945">
        <f>IF(OR(D40="",I40=""),"",IFERROR(INDEX(ProjectParameterTable[值],MATCH("K_COMPLEXITY_"&amp;I40,ProjectParameterTable[参数代码],0)),""))</f>
        <v/>
      </c>
      <c r="O40" s="945">
        <f>IF(OR(D40="",NOT(ISNUMBER(M40)),NOT(ISNUMBER(N40))),"",ROUND(M40*N40,1))</f>
        <v/>
      </c>
    </row>
    <row r="41" ht="38" customHeight="1" s="1025">
      <c r="A41" s="944">
        <f>IF(C41="","",IFERROR(INDEX(SOWStoryTable[需求名称],MATCH(C41,SOWStoryTable[故事名称],0)),"来源未匹配"))</f>
        <v/>
      </c>
      <c r="B41" s="944">
        <f>IF(C41="","",IFERROR(INDEX(SOWStoryTable[子需求名称],MATCH(C41,SOWStoryTable[故事名称],0)),"来源未匹配"))</f>
        <v/>
      </c>
      <c r="C41" s="1060" t="inlineStr">
        <is>
          <t>迁移会员与历史订单数据</t>
        </is>
      </c>
      <c r="D41" s="1060" t="inlineStr">
        <is>
          <t>新建迁移抽取转换流程</t>
        </is>
      </c>
      <c r="E41" s="1060" t="inlineStr">
        <is>
          <t>数据处理流程</t>
        </is>
      </c>
      <c r="F41" s="945">
        <f>IF(E41="","",IFERROR(INDEX(BaseUnitCatalogTable[任务族名称],MATCH(E41,BaseUnitCatalogTable[基础单元名称],0)),""))</f>
        <v/>
      </c>
      <c r="G41" s="1061" t="inlineStr">
        <is>
          <t>新建</t>
        </is>
      </c>
      <c r="H41" s="1060" t="inlineStr">
        <is>
          <t>新增全量与增量抽取、字段标准化、状态映射和失败重放流程。</t>
        </is>
      </c>
      <c r="I41" s="1061" t="inlineStr">
        <is>
          <t>L</t>
        </is>
      </c>
      <c r="J41" s="1060" t="inlineStr">
        <is>
          <t>包含全量与增量两条路径、跨版本状态映射、断点续传和可重复执行控制。</t>
        </is>
      </c>
      <c r="K41" s="1060" t="inlineStr"/>
      <c r="L41" s="1060" t="inlineStr">
        <is>
          <t>一个可重复执行的数据迁移处理流程实例。</t>
        </is>
      </c>
      <c r="M41" s="945">
        <f>IF(OR(D41="",E41="",G41=""),"",IFERROR(IF(G41="新建",INDEX(BaseUnitCatalogTable[新建M档人天],MATCH(E41,BaseUnitCatalogTable[基础单元名称],0)),IF(G41="调整",INDEX(BaseUnitCatalogTable[调整M档人天],MATCH(E41,BaseUnitCatalogTable[基础单元名称],0)),IF(G41="接入复用",INDEX(BaseUnitCatalogTable[接入复用M档人天],MATCH(E41,BaseUnitCatalogTable[基础单元名称],0)),""))),""))</f>
        <v/>
      </c>
      <c r="N41" s="945">
        <f>IF(OR(D41="",I41=""),"",IFERROR(INDEX(ProjectParameterTable[值],MATCH("K_COMPLEXITY_"&amp;I41,ProjectParameterTable[参数代码],0)),""))</f>
        <v/>
      </c>
      <c r="O41" s="945">
        <f>IF(OR(D41="",NOT(ISNUMBER(M41)),NOT(ISNUMBER(N41))),"",ROUND(M41*N41,1))</f>
        <v/>
      </c>
    </row>
    <row r="42" ht="38" customHeight="1" s="1025">
      <c r="A42" s="944">
        <f>IF(C42="","",IFERROR(INDEX(SOWStoryTable[需求名称],MATCH(C42,SOWStoryTable[故事名称],0)),"来源未匹配"))</f>
        <v/>
      </c>
      <c r="B42" s="944">
        <f>IF(C42="","",IFERROR(INDEX(SOWStoryTable[子需求名称],MATCH(C42,SOWStoryTable[故事名称],0)),"来源未匹配"))</f>
        <v/>
      </c>
      <c r="C42" s="1060" t="inlineStr">
        <is>
          <t>迁移会员与历史订单数据</t>
        </is>
      </c>
      <c r="D42" s="1060" t="inlineStr">
        <is>
          <t>验证迁移数量与关键字段</t>
        </is>
      </c>
      <c r="E42" s="1060" t="inlineStr">
        <is>
          <t>人工测试</t>
        </is>
      </c>
      <c r="F42" s="945">
        <f>IF(E42="","",IFERROR(INDEX(BaseUnitCatalogTable[任务族名称],MATCH(E42,BaseUnitCatalogTable[基础单元名称],0)),""))</f>
        <v/>
      </c>
      <c r="G42" s="1061" t="inlineStr">
        <is>
          <t>新建</t>
        </is>
      </c>
      <c r="H42" s="1060" t="inlineStr">
        <is>
          <t>新增数量、金额、业务主键、抽样字段和失败补偿核对场景。</t>
        </is>
      </c>
      <c r="I42" s="1061" t="inlineStr">
        <is>
          <t>M</t>
        </is>
      </c>
      <c r="J42" s="1060" t="inlineStr"/>
      <c r="K42" s="1060" t="inlineStr"/>
      <c r="L42" s="1060" t="inlineStr">
        <is>
          <t>一个迁移核对与业务签署测试实例。</t>
        </is>
      </c>
      <c r="M42" s="945">
        <f>IF(OR(D42="",E42="",G42=""),"",IFERROR(IF(G42="新建",INDEX(BaseUnitCatalogTable[新建M档人天],MATCH(E42,BaseUnitCatalogTable[基础单元名称],0)),IF(G42="调整",INDEX(BaseUnitCatalogTable[调整M档人天],MATCH(E42,BaseUnitCatalogTable[基础单元名称],0)),IF(G42="接入复用",INDEX(BaseUnitCatalogTable[接入复用M档人天],MATCH(E42,BaseUnitCatalogTable[基础单元名称],0)),""))),""))</f>
        <v/>
      </c>
      <c r="N42" s="945">
        <f>IF(OR(D42="",I42=""),"",IFERROR(INDEX(ProjectParameterTable[值],MATCH("K_COMPLEXITY_"&amp;I42,ProjectParameterTable[参数代码],0)),""))</f>
        <v/>
      </c>
      <c r="O42" s="945">
        <f>IF(OR(D42="",NOT(ISNUMBER(M42)),NOT(ISNUMBER(N42))),"",ROUND(M42*N42,1))</f>
        <v/>
      </c>
    </row>
    <row r="43" ht="38" customHeight="1" s="1025">
      <c r="A43" s="944">
        <f>IF(C43="","",IFERROR(INDEX(SOWStoryTable[需求名称],MATCH(C43,SOWStoryTable[故事名称],0)),"来源未匹配"))</f>
        <v/>
      </c>
      <c r="B43" s="944">
        <f>IF(C43="","",IFERROR(INDEX(SOWStoryTable[子需求名称],MATCH(C43,SOWStoryTable[故事名称],0)),"来源未匹配"))</f>
        <v/>
      </c>
      <c r="C43" s="1060" t="inlineStr">
        <is>
          <t>监控核心交易与财务作业</t>
        </is>
      </c>
      <c r="D43" s="1060" t="inlineStr">
        <is>
          <t>调整既有统一监控平台的交易与财务看板</t>
        </is>
      </c>
      <c r="E43" s="1060" t="inlineStr">
        <is>
          <t>监控、追踪与审计</t>
        </is>
      </c>
      <c r="F43" s="945">
        <f>IF(E43="","",IFERROR(INDEX(BaseUnitCatalogTable[任务族名称],MATCH(E43,BaseUnitCatalogTable[基础单元名称],0)),""))</f>
        <v/>
      </c>
      <c r="G43" s="1061" t="inlineStr">
        <is>
          <t>调整</t>
        </is>
      </c>
      <c r="H43" s="1060" t="inlineStr">
        <is>
          <t>在既有统一监控平台新增订单成功率、退款失败、开票积压和对账延迟指标。</t>
        </is>
      </c>
      <c r="I43" s="1061" t="inlineStr">
        <is>
          <t>M</t>
        </is>
      </c>
      <c r="J43" s="1060" t="inlineStr"/>
      <c r="K43" s="1060" t="inlineStr">
        <is>
          <t>既有统一监控平台</t>
        </is>
      </c>
      <c r="L43" s="1060" t="inlineStr">
        <is>
          <t>一个核心交易与财务作业可观测性实例。</t>
        </is>
      </c>
      <c r="M43" s="945">
        <f>IF(OR(D43="",E43="",G43=""),"",IFERROR(IF(G43="新建",INDEX(BaseUnitCatalogTable[新建M档人天],MATCH(E43,BaseUnitCatalogTable[基础单元名称],0)),IF(G43="调整",INDEX(BaseUnitCatalogTable[调整M档人天],MATCH(E43,BaseUnitCatalogTable[基础单元名称],0)),IF(G43="接入复用",INDEX(BaseUnitCatalogTable[接入复用M档人天],MATCH(E43,BaseUnitCatalogTable[基础单元名称],0)),""))),""))</f>
        <v/>
      </c>
      <c r="N43" s="945">
        <f>IF(OR(D43="",I43=""),"",IFERROR(INDEX(ProjectParameterTable[值],MATCH("K_COMPLEXITY_"&amp;I43,ProjectParameterTable[参数代码],0)),""))</f>
        <v/>
      </c>
      <c r="O43" s="945">
        <f>IF(OR(D43="",NOT(ISNUMBER(M43)),NOT(ISNUMBER(N43))),"",ROUND(M43*N43,1))</f>
        <v/>
      </c>
    </row>
    <row r="44" ht="38" customHeight="1" s="1025">
      <c r="A44" s="944">
        <f>IF(C44="","",IFERROR(INDEX(SOWStoryTable[需求名称],MATCH(C44,SOWStoryTable[故事名称],0)),"来源未匹配"))</f>
        <v/>
      </c>
      <c r="B44" s="944">
        <f>IF(C44="","",IFERROR(INDEX(SOWStoryTable[子需求名称],MATCH(C44,SOWStoryTable[故事名称],0)),"来源未匹配"))</f>
        <v/>
      </c>
      <c r="C44" s="1060" t="inlineStr">
        <is>
          <t>监控核心交易与财务作业</t>
        </is>
      </c>
      <c r="D44" s="1060" t="inlineStr">
        <is>
          <t>新建关键链路稳定性控制</t>
        </is>
      </c>
      <c r="E44" s="1060" t="inlineStr">
        <is>
          <t>性能与稳定性保障</t>
        </is>
      </c>
      <c r="F44" s="945">
        <f>IF(E44="","",IFERROR(INDEX(BaseUnitCatalogTable[任务族名称],MATCH(E44,BaseUnitCatalogTable[基础单元名称],0)),""))</f>
        <v/>
      </c>
      <c r="G44" s="1061" t="inlineStr">
        <is>
          <t>新建</t>
        </is>
      </c>
      <c r="H44" s="1060" t="inlineStr">
        <is>
          <t>新增 ERP、支付和发票调用的超时、限流、重试与熔断配置。</t>
        </is>
      </c>
      <c r="I44" s="1061" t="inlineStr">
        <is>
          <t>M</t>
        </is>
      </c>
      <c r="J44" s="1060" t="inlineStr"/>
      <c r="K44" s="1060" t="inlineStr"/>
      <c r="L44" s="1060" t="inlineStr">
        <is>
          <t>一个跨外部依赖的性能与稳定性保障实例。</t>
        </is>
      </c>
      <c r="M44" s="945">
        <f>IF(OR(D44="",E44="",G44=""),"",IFERROR(IF(G44="新建",INDEX(BaseUnitCatalogTable[新建M档人天],MATCH(E44,BaseUnitCatalogTable[基础单元名称],0)),IF(G44="调整",INDEX(BaseUnitCatalogTable[调整M档人天],MATCH(E44,BaseUnitCatalogTable[基础单元名称],0)),IF(G44="接入复用",INDEX(BaseUnitCatalogTable[接入复用M档人天],MATCH(E44,BaseUnitCatalogTable[基础单元名称],0)),""))),""))</f>
        <v/>
      </c>
      <c r="N44" s="945">
        <f>IF(OR(D44="",I44=""),"",IFERROR(INDEX(ProjectParameterTable[值],MATCH("K_COMPLEXITY_"&amp;I44,ProjectParameterTable[参数代码],0)),""))</f>
        <v/>
      </c>
      <c r="O44" s="945">
        <f>IF(OR(D44="",NOT(ISNUMBER(M44)),NOT(ISNUMBER(N44))),"",ROUND(M44*N44,1))</f>
        <v/>
      </c>
    </row>
    <row r="45" ht="38" customHeight="1" s="1025">
      <c r="A45" s="944">
        <f>IF(C45="","",IFERROR(INDEX(SOWStoryTable[需求名称],MATCH(C45,SOWStoryTable[故事名称],0)),"来源未匹配"))</f>
        <v/>
      </c>
      <c r="B45" s="944">
        <f>IF(C45="","",IFERROR(INDEX(SOWStoryTable[子需求名称],MATCH(C45,SOWStoryTable[故事名称],0)),"来源未匹配"))</f>
        <v/>
      </c>
      <c r="C45" s="1060" t="inlineStr">
        <is>
          <t>完成运维交接与演练</t>
        </is>
      </c>
      <c r="D45" s="1060" t="inlineStr">
        <is>
          <t>调整既有统一监控平台的运维手册与交接</t>
        </is>
      </c>
      <c r="E45" s="1060" t="inlineStr">
        <is>
          <t>运维交接与操作手册</t>
        </is>
      </c>
      <c r="F45" s="945">
        <f>IF(E45="","",IFERROR(INDEX(BaseUnitCatalogTable[任务族名称],MATCH(E45,BaseUnitCatalogTable[基础单元名称],0)),""))</f>
        <v/>
      </c>
      <c r="G45" s="1061" t="inlineStr">
        <is>
          <t>调整</t>
        </is>
      </c>
      <c r="H45" s="1060" t="inlineStr">
        <is>
          <t>基于既有统一监控平台补齐指标说明、责任人、通知渠道、排障和升级流程。</t>
        </is>
      </c>
      <c r="I45" s="1061" t="inlineStr">
        <is>
          <t>M</t>
        </is>
      </c>
      <c r="J45" s="1060" t="inlineStr"/>
      <c r="K45" s="1060" t="inlineStr">
        <is>
          <t>既有统一监控平台</t>
        </is>
      </c>
      <c r="L45" s="1060" t="inlineStr">
        <is>
          <t>一个运维交接包和一次故障演练实例。</t>
        </is>
      </c>
      <c r="M45" s="945">
        <f>IF(OR(D45="",E45="",G45=""),"",IFERROR(IF(G45="新建",INDEX(BaseUnitCatalogTable[新建M档人天],MATCH(E45,BaseUnitCatalogTable[基础单元名称],0)),IF(G45="调整",INDEX(BaseUnitCatalogTable[调整M档人天],MATCH(E45,BaseUnitCatalogTable[基础单元名称],0)),IF(G45="接入复用",INDEX(BaseUnitCatalogTable[接入复用M档人天],MATCH(E45,BaseUnitCatalogTable[基础单元名称],0)),""))),""))</f>
        <v/>
      </c>
      <c r="N45" s="945">
        <f>IF(OR(D45="",I45=""),"",IFERROR(INDEX(ProjectParameterTable[值],MATCH("K_COMPLEXITY_"&amp;I45,ProjectParameterTable[参数代码],0)),""))</f>
        <v/>
      </c>
      <c r="O45" s="945">
        <f>IF(OR(D45="",NOT(ISNUMBER(M45)),NOT(ISNUMBER(N45))),"",ROUND(M45*N45,1))</f>
        <v/>
      </c>
    </row>
    <row r="46" ht="38" customHeight="1" s="1025">
      <c r="A46" s="944">
        <f>IF(C46="","",IFERROR(INDEX(SOWStoryTable[需求名称],MATCH(C46,SOWStoryTable[故事名称],0)),"来源未匹配"))</f>
        <v/>
      </c>
      <c r="B46" s="944">
        <f>IF(C46="","",IFERROR(INDEX(SOWStoryTable[子需求名称],MATCH(C46,SOWStoryTable[故事名称],0)),"来源未匹配"))</f>
        <v/>
      </c>
      <c r="C46" s="1060" t="inlineStr">
        <is>
          <t>培训门店、客服和财务用户</t>
        </is>
      </c>
      <c r="D46" s="1060" t="inlineStr">
        <is>
          <t>交付门店客服财务培训</t>
        </is>
      </c>
      <c r="E46" s="1060" t="inlineStr">
        <is>
          <t>用户培训与使用材料</t>
        </is>
      </c>
      <c r="F46" s="945">
        <f>IF(E46="","",IFERROR(INDEX(BaseUnitCatalogTable[任务族名称],MATCH(E46,BaseUnitCatalogTable[基础单元名称],0)),""))</f>
        <v/>
      </c>
      <c r="G46" s="1061" t="inlineStr">
        <is>
          <t>新建</t>
        </is>
      </c>
      <c r="H46" s="1060" t="inlineStr">
        <is>
          <t>新增门店、客服和财务三类角色材料，并组织两场培训和反馈收集。</t>
        </is>
      </c>
      <c r="I46" s="1061" t="inlineStr">
        <is>
          <t>M</t>
        </is>
      </c>
      <c r="J46" s="1060" t="inlineStr"/>
      <c r="K46" s="1060" t="inlineStr"/>
      <c r="L46" s="1060" t="inlineStr">
        <is>
          <t>一个角色化用户培训与使用材料交付实例。</t>
        </is>
      </c>
      <c r="M46" s="945">
        <f>IF(OR(D46="",E46="",G46=""),"",IFERROR(IF(G46="新建",INDEX(BaseUnitCatalogTable[新建M档人天],MATCH(E46,BaseUnitCatalogTable[基础单元名称],0)),IF(G46="调整",INDEX(BaseUnitCatalogTable[调整M档人天],MATCH(E46,BaseUnitCatalogTable[基础单元名称],0)),IF(G46="接入复用",INDEX(BaseUnitCatalogTable[接入复用M档人天],MATCH(E46,BaseUnitCatalogTable[基础单元名称],0)),""))),""))</f>
        <v/>
      </c>
      <c r="N46" s="945">
        <f>IF(OR(D46="",I46=""),"",IFERROR(INDEX(ProjectParameterTable[值],MATCH("K_COMPLEXITY_"&amp;I46,ProjectParameterTable[参数代码],0)),""))</f>
        <v/>
      </c>
      <c r="O46" s="945">
        <f>IF(OR(D46="",NOT(ISNUMBER(M46)),NOT(ISNUMBER(N46))),"",ROUND(M46*N46,1))</f>
        <v/>
      </c>
    </row>
    <row r="47" ht="38" customHeight="1" s="1025">
      <c r="A47" s="944">
        <f>IF(C47="","",IFERROR(INDEX(SOWStoryTable[需求名称],MATCH(C47,SOWStoryTable[故事名称],0)),"来源未匹配"))</f>
        <v/>
      </c>
      <c r="B47" s="944">
        <f>IF(C47="","",IFERROR(INDEX(SOWStoryTable[子需求名称],MATCH(C47,SOWStoryTable[故事名称],0)),"来源未匹配"))</f>
        <v/>
      </c>
      <c r="C47" s="1060" t="inlineStr">
        <is>
          <t>扩展自动化与性能验证</t>
        </is>
      </c>
      <c r="D47" s="1060" t="inlineStr">
        <is>
          <t>调整既有回归测试资产的自动化框架</t>
        </is>
      </c>
      <c r="E47" s="1060" t="inlineStr">
        <is>
          <t>自动化测试框架</t>
        </is>
      </c>
      <c r="F47" s="945">
        <f>IF(E47="","",IFERROR(INDEX(BaseUnitCatalogTable[任务族名称],MATCH(E47,BaseUnitCatalogTable[基础单元名称],0)),""))</f>
        <v/>
      </c>
      <c r="G47" s="1061" t="inlineStr">
        <is>
          <t>调整</t>
        </is>
      </c>
      <c r="H47" s="1060" t="inlineStr">
        <is>
          <t>扩展既有回归测试资产的认证、测试数据、异步回调和报告能力。</t>
        </is>
      </c>
      <c r="I47" s="1061" t="inlineStr">
        <is>
          <t>M</t>
        </is>
      </c>
      <c r="J47" s="1060" t="inlineStr"/>
      <c r="K47" s="1060" t="inlineStr">
        <is>
          <t>既有回归测试资产</t>
        </is>
      </c>
      <c r="L47" s="1060" t="inlineStr">
        <is>
          <t>一个 API 自动化测试框架调整实例。</t>
        </is>
      </c>
      <c r="M47" s="945">
        <f>IF(OR(D47="",E47="",G47=""),"",IFERROR(IF(G47="新建",INDEX(BaseUnitCatalogTable[新建M档人天],MATCH(E47,BaseUnitCatalogTable[基础单元名称],0)),IF(G47="调整",INDEX(BaseUnitCatalogTable[调整M档人天],MATCH(E47,BaseUnitCatalogTable[基础单元名称],0)),IF(G47="接入复用",INDEX(BaseUnitCatalogTable[接入复用M档人天],MATCH(E47,BaseUnitCatalogTable[基础单元名称],0)),""))),""))</f>
        <v/>
      </c>
      <c r="N47" s="945">
        <f>IF(OR(D47="",I47=""),"",IFERROR(INDEX(ProjectParameterTable[值],MATCH("K_COMPLEXITY_"&amp;I47,ProjectParameterTable[参数代码],0)),""))</f>
        <v/>
      </c>
      <c r="O47" s="945">
        <f>IF(OR(D47="",NOT(ISNUMBER(M47)),NOT(ISNUMBER(N47))),"",ROUND(M47*N47,1))</f>
        <v/>
      </c>
    </row>
    <row r="48" ht="38" customHeight="1" s="1025">
      <c r="A48" s="944">
        <f>IF(C48="","",IFERROR(INDEX(SOWStoryTable[需求名称],MATCH(C48,SOWStoryTable[故事名称],0)),"来源未匹配"))</f>
        <v/>
      </c>
      <c r="B48" s="944">
        <f>IF(C48="","",IFERROR(INDEX(SOWStoryTable[子需求名称],MATCH(C48,SOWStoryTable[故事名称],0)),"来源未匹配"))</f>
        <v/>
      </c>
      <c r="C48" s="1060" t="inlineStr">
        <is>
          <t>扩展自动化与性能验证</t>
        </is>
      </c>
      <c r="D48" s="1060" t="inlineStr">
        <is>
          <t>调整既有回归测试资产的核心自动化用例</t>
        </is>
      </c>
      <c r="E48" s="1060" t="inlineStr">
        <is>
          <t>自动化测试用例</t>
        </is>
      </c>
      <c r="F48" s="945">
        <f>IF(E48="","",IFERROR(INDEX(BaseUnitCatalogTable[任务族名称],MATCH(E48,BaseUnitCatalogTable[基础单元名称],0)),""))</f>
        <v/>
      </c>
      <c r="G48" s="1061" t="inlineStr">
        <is>
          <t>调整</t>
        </is>
      </c>
      <c r="H48" s="1060" t="inlineStr">
        <is>
          <t>在既有回归测试资产中增加订单状态、库存、退款、开票和对账自动化用例。</t>
        </is>
      </c>
      <c r="I48" s="1061" t="inlineStr">
        <is>
          <t>L</t>
        </is>
      </c>
      <c r="J48" s="1060" t="inlineStr">
        <is>
          <t>覆盖五条跨系统链路、异步结果、失败补偿和财务金额断言，数据组合较多。</t>
        </is>
      </c>
      <c r="K48" s="1060" t="inlineStr">
        <is>
          <t>既有回归测试资产</t>
        </is>
      </c>
      <c r="L48" s="1060" t="inlineStr">
        <is>
          <t>一个核心业务自动化用例集实例。</t>
        </is>
      </c>
      <c r="M48" s="945">
        <f>IF(OR(D48="",E48="",G48=""),"",IFERROR(IF(G48="新建",INDEX(BaseUnitCatalogTable[新建M档人天],MATCH(E48,BaseUnitCatalogTable[基础单元名称],0)),IF(G48="调整",INDEX(BaseUnitCatalogTable[调整M档人天],MATCH(E48,BaseUnitCatalogTable[基础单元名称],0)),IF(G48="接入复用",INDEX(BaseUnitCatalogTable[接入复用M档人天],MATCH(E48,BaseUnitCatalogTable[基础单元名称],0)),""))),""))</f>
        <v/>
      </c>
      <c r="N48" s="945">
        <f>IF(OR(D48="",I48=""),"",IFERROR(INDEX(ProjectParameterTable[值],MATCH("K_COMPLEXITY_"&amp;I48,ProjectParameterTable[参数代码],0)),""))</f>
        <v/>
      </c>
      <c r="O48" s="945">
        <f>IF(OR(D48="",NOT(ISNUMBER(M48)),NOT(ISNUMBER(N48))),"",ROUND(M48*N48,1))</f>
        <v/>
      </c>
    </row>
    <row r="49" ht="38" customHeight="1" s="1025">
      <c r="A49" s="944">
        <f>IF(C49="","",IFERROR(INDEX(SOWStoryTable[需求名称],MATCH(C49,SOWStoryTable[故事名称],0)),"来源未匹配"))</f>
        <v/>
      </c>
      <c r="B49" s="944">
        <f>IF(C49="","",IFERROR(INDEX(SOWStoryTable[子需求名称],MATCH(C49,SOWStoryTable[故事名称],0)),"来源未匹配"))</f>
        <v/>
      </c>
      <c r="C49" s="1060" t="inlineStr">
        <is>
          <t>执行兼容性与工程回归</t>
        </is>
      </c>
      <c r="D49" s="1060" t="inlineStr">
        <is>
          <t>调整既有回归测试资产的兼容矩阵</t>
        </is>
      </c>
      <c r="E49" s="1060" t="inlineStr">
        <is>
          <t>兼容性与无障碍测试</t>
        </is>
      </c>
      <c r="F49" s="945">
        <f>IF(E49="","",IFERROR(INDEX(BaseUnitCatalogTable[任务族名称],MATCH(E49,BaseUnitCatalogTable[基础单元名称],0)),""))</f>
        <v/>
      </c>
      <c r="G49" s="1061" t="inlineStr">
        <is>
          <t>调整</t>
        </is>
      </c>
      <c r="H49" s="1060" t="inlineStr">
        <is>
          <t>根据既有回归测试资产更新浏览器、门店设备和无障碍检查范围。</t>
        </is>
      </c>
      <c r="I49" s="1061" t="inlineStr">
        <is>
          <t>S</t>
        </is>
      </c>
      <c r="J49" s="1060" t="inlineStr">
        <is>
          <t>仅验证两类浏览器和一种门店设备，沿用现有脚本且无新增终端。</t>
        </is>
      </c>
      <c r="K49" s="1060" t="inlineStr">
        <is>
          <t>既有回归测试资产</t>
        </is>
      </c>
      <c r="L49" s="1060" t="inlineStr">
        <is>
          <t>一个兼容性与无障碍测试矩阵实例。</t>
        </is>
      </c>
      <c r="M49" s="945">
        <f>IF(OR(D49="",E49="",G49=""),"",IFERROR(IF(G49="新建",INDEX(BaseUnitCatalogTable[新建M档人天],MATCH(E49,BaseUnitCatalogTable[基础单元名称],0)),IF(G49="调整",INDEX(BaseUnitCatalogTable[调整M档人天],MATCH(E49,BaseUnitCatalogTable[基础单元名称],0)),IF(G49="接入复用",INDEX(BaseUnitCatalogTable[接入复用M档人天],MATCH(E49,BaseUnitCatalogTable[基础单元名称],0)),""))),""))</f>
        <v/>
      </c>
      <c r="N49" s="945">
        <f>IF(OR(D49="",I49=""),"",IFERROR(INDEX(ProjectParameterTable[值],MATCH("K_COMPLEXITY_"&amp;I49,ProjectParameterTable[参数代码],0)),""))</f>
        <v/>
      </c>
      <c r="O49" s="945">
        <f>IF(OR(D49="",NOT(ISNUMBER(M49)),NOT(ISNUMBER(N49))),"",ROUND(M49*N49,1))</f>
        <v/>
      </c>
    </row>
    <row r="50" ht="38" customHeight="1" s="1025">
      <c r="A50" s="944">
        <f>IF(C50="","",IFERROR(INDEX(SOWStoryTable[需求名称],MATCH(C50,SOWStoryTable[故事名称],0)),"来源未匹配"))</f>
        <v/>
      </c>
      <c r="B50" s="944">
        <f>IF(C50="","",IFERROR(INDEX(SOWStoryTable[子需求名称],MATCH(C50,SOWStoryTable[故事名称],0)),"来源未匹配"))</f>
        <v/>
      </c>
      <c r="C50" s="1060" t="inlineStr">
        <is>
          <t>执行兼容性与工程回归</t>
        </is>
      </c>
      <c r="D50" s="1060" t="inlineStr">
        <is>
          <t>调整既有回归测试资产的工程回归范围</t>
        </is>
      </c>
      <c r="E50" s="1060" t="inlineStr">
        <is>
          <t>人工测试</t>
        </is>
      </c>
      <c r="F50" s="945">
        <f>IF(E50="","",IFERROR(INDEX(BaseUnitCatalogTable[任务族名称],MATCH(E50,BaseUnitCatalogTable[基础单元名称],0)),""))</f>
        <v/>
      </c>
      <c r="G50" s="1061" t="inlineStr">
        <is>
          <t>调整</t>
        </is>
      </c>
      <c r="H50" s="1060" t="inlineStr">
        <is>
          <t>基于既有回归测试资产补充配置、权限、作业恢复和日志审计检查。</t>
        </is>
      </c>
      <c r="I50" s="1061" t="inlineStr">
        <is>
          <t>S</t>
        </is>
      </c>
      <c r="J50" s="1060" t="inlineStr">
        <is>
          <t>四项工程检查均有现成步骤，只需补充新配置和日志断言。</t>
        </is>
      </c>
      <c r="K50" s="1060" t="inlineStr">
        <is>
          <t>既有回归测试资产</t>
        </is>
      </c>
      <c r="L50" s="1060" t="inlineStr">
        <is>
          <t>一个不计入 UAT 分母的工程回归测试实例。</t>
        </is>
      </c>
      <c r="M50" s="945">
        <f>IF(OR(D50="",E50="",G50=""),"",IFERROR(IF(G50="新建",INDEX(BaseUnitCatalogTable[新建M档人天],MATCH(E50,BaseUnitCatalogTable[基础单元名称],0)),IF(G50="调整",INDEX(BaseUnitCatalogTable[调整M档人天],MATCH(E50,BaseUnitCatalogTable[基础单元名称],0)),IF(G50="接入复用",INDEX(BaseUnitCatalogTable[接入复用M档人天],MATCH(E50,BaseUnitCatalogTable[基础单元名称],0)),""))),""))</f>
        <v/>
      </c>
      <c r="N50" s="945">
        <f>IF(OR(D50="",I50=""),"",IFERROR(INDEX(ProjectParameterTable[值],MATCH("K_COMPLEXITY_"&amp;I50,ProjectParameterTable[参数代码],0)),""))</f>
        <v/>
      </c>
      <c r="O50" s="945">
        <f>IF(OR(D50="",NOT(ISNUMBER(M50)),NOT(ISNUMBER(N50))),"",ROUND(M50*N50,1))</f>
        <v/>
      </c>
    </row>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row r="105" s="1025"/>
    <row r="106" s="1025"/>
    <row r="107" s="1025"/>
    <row r="108" s="1025"/>
    <row r="109" s="1025"/>
    <row r="110" s="1025"/>
    <row r="111" s="1025"/>
    <row r="112" s="1025"/>
    <row r="113" s="1025"/>
    <row r="114" s="1025"/>
    <row r="115" s="1025"/>
    <row r="116" s="1025"/>
    <row r="117" s="1025"/>
    <row r="118" s="1025"/>
    <row r="119" s="1025"/>
    <row r="120" s="1025"/>
    <row r="121" s="1025"/>
    <row r="122" s="1025"/>
    <row r="123" s="1025"/>
    <row r="124" s="1025"/>
    <row r="125" s="1025"/>
    <row r="126" s="1025"/>
    <row r="127" s="1025"/>
    <row r="128" s="1025"/>
    <row r="129" s="1025"/>
    <row r="130" s="1025"/>
    <row r="131" s="1025"/>
    <row r="132" s="1025"/>
    <row r="133" s="1025"/>
    <row r="134" s="1025"/>
    <row r="135" s="1025"/>
    <row r="136" s="1025"/>
    <row r="137" s="1025"/>
    <row r="138" s="1025"/>
    <row r="139" s="1025"/>
    <row r="140" s="1025"/>
    <row r="141" s="1025"/>
    <row r="142" s="1025"/>
    <row r="143" s="1025"/>
    <row r="144" s="1025"/>
    <row r="145" s="1025"/>
    <row r="146" s="1025"/>
    <row r="147" s="1025"/>
    <row r="148" s="1025"/>
    <row r="149" s="1025"/>
    <row r="150" s="1025"/>
    <row r="151" s="1025"/>
    <row r="152" s="1025"/>
    <row r="153" s="1025"/>
    <row r="154" s="1025"/>
    <row r="155" s="1025"/>
    <row r="156" s="1025"/>
    <row r="157" s="1025"/>
    <row r="158" s="1025"/>
    <row r="159" s="1025"/>
    <row r="160" s="1025"/>
    <row r="161" s="1025"/>
    <row r="162" s="1025"/>
    <row r="163" s="1025"/>
    <row r="164" s="1025"/>
    <row r="165" s="1025"/>
    <row r="166" s="1025"/>
    <row r="167" s="1025"/>
    <row r="168" s="1025"/>
    <row r="169" s="1025"/>
    <row r="170" s="1025"/>
    <row r="171" s="1025"/>
    <row r="172" s="1025"/>
    <row r="173" s="1025"/>
    <row r="174" s="1025"/>
    <row r="175" s="1025"/>
    <row r="176" s="1025"/>
    <row r="177" s="1025"/>
    <row r="178" s="1025"/>
    <row r="179" s="1025"/>
    <row r="180" s="1025"/>
    <row r="181" s="1025"/>
    <row r="182" s="1025"/>
    <row r="183" s="1025"/>
    <row r="184" s="1025"/>
    <row r="185" s="1025"/>
    <row r="186" s="1025"/>
    <row r="187" s="1025"/>
    <row r="188" s="1025"/>
    <row r="189" s="1025"/>
    <row r="190" s="1025"/>
    <row r="191" s="1025"/>
    <row r="192" s="1025"/>
    <row r="193" s="1025"/>
    <row r="194" s="1025"/>
    <row r="195" s="1025"/>
    <row r="196" s="1025"/>
    <row r="197" s="1025"/>
    <row r="198" s="1025"/>
    <row r="199" s="1025"/>
    <row r="200" s="1025"/>
    <row r="201" s="1025"/>
    <row r="202" s="1025"/>
    <row r="203" s="1025"/>
    <row r="204" s="1025"/>
    <row r="205" s="1025"/>
    <row r="206" s="1025"/>
    <row r="207" s="1025"/>
    <row r="208" s="1025"/>
    <row r="209" s="1025"/>
    <row r="210" s="1025"/>
    <row r="211" s="1025"/>
    <row r="212" s="1025"/>
    <row r="213" s="1025"/>
    <row r="214" s="1025"/>
    <row r="215" s="1025"/>
    <row r="216" s="1025"/>
    <row r="217" s="1025"/>
    <row r="218" s="1025"/>
    <row r="219" s="1025"/>
    <row r="220" s="1025"/>
    <row r="221" s="1025"/>
    <row r="222" s="1025"/>
    <row r="223" s="1025"/>
    <row r="224" s="1025"/>
    <row r="225" s="1025"/>
    <row r="226" s="1025"/>
    <row r="227" s="1025"/>
    <row r="228" s="1025"/>
    <row r="229" s="1025"/>
    <row r="230" s="1025"/>
    <row r="231" s="1025"/>
    <row r="232" s="1025"/>
    <row r="233" s="1025"/>
    <row r="234" s="1025"/>
    <row r="235" s="1025"/>
    <row r="236" s="1025"/>
    <row r="237" s="1025"/>
    <row r="238" s="1025"/>
    <row r="239" s="1025"/>
    <row r="240" s="1025"/>
    <row r="241" s="1025"/>
    <row r="242" s="1025"/>
    <row r="243" s="1025"/>
    <row r="244" s="1025"/>
    <row r="245" s="1025"/>
    <row r="246" s="1025"/>
    <row r="247" s="1025"/>
    <row r="248" s="1025"/>
    <row r="249" s="1025"/>
    <row r="250" s="1025"/>
    <row r="251" s="1025"/>
    <row r="252" s="1025"/>
    <row r="253" s="1025"/>
    <row r="254" s="1025"/>
    <row r="255" s="1025"/>
    <row r="256" s="1025"/>
    <row r="257" s="1025"/>
    <row r="258" s="1025"/>
    <row r="259" s="1025"/>
    <row r="260" s="1025"/>
    <row r="261" s="1025"/>
    <row r="262" s="1025"/>
    <row r="263" s="1025"/>
    <row r="264" s="1025"/>
    <row r="265" s="1025"/>
    <row r="266" s="1025"/>
    <row r="267" s="1025"/>
    <row r="268" s="1025"/>
    <row r="269" s="1025"/>
    <row r="270" s="1025"/>
    <row r="271" s="1025"/>
    <row r="272" s="1025"/>
    <row r="273" s="1025"/>
    <row r="274" s="1025"/>
    <row r="275" s="1025"/>
    <row r="276" s="1025"/>
    <row r="277" s="1025"/>
    <row r="278" s="1025"/>
    <row r="279" s="1025"/>
    <row r="280" s="1025"/>
    <row r="281" s="1025"/>
    <row r="282" s="1025"/>
    <row r="283" s="1025"/>
    <row r="284" s="1025"/>
    <row r="285" s="1025"/>
    <row r="286" s="1025"/>
    <row r="287" s="1025"/>
    <row r="288" s="1025"/>
    <row r="289" s="1025"/>
    <row r="290" s="1025"/>
    <row r="291" s="1025"/>
    <row r="292" s="1025"/>
    <row r="293" s="1025"/>
    <row r="294" s="1025"/>
    <row r="295" s="1025"/>
    <row r="296" s="1025"/>
    <row r="297" s="1025"/>
    <row r="298" s="1025"/>
    <row r="299" s="1025"/>
    <row r="300" s="1025"/>
    <row r="301" s="1025"/>
    <row r="302" s="1025"/>
    <row r="303" s="1025"/>
    <row r="304" s="1025"/>
    <row r="305" s="1025"/>
    <row r="306" s="1025"/>
    <row r="307" s="1025"/>
    <row r="308" s="1025"/>
    <row r="309" s="1025"/>
    <row r="310" s="1025"/>
    <row r="311" s="1025"/>
    <row r="312" s="1025"/>
    <row r="313" s="1025"/>
    <row r="314" s="1025"/>
    <row r="315" s="1025"/>
    <row r="316" s="1025"/>
    <row r="317" s="1025"/>
    <row r="318" s="1025"/>
    <row r="319" s="1025"/>
    <row r="320" s="1025"/>
    <row r="321" s="1025"/>
    <row r="322" s="1025"/>
    <row r="323" s="1025"/>
    <row r="324" s="1025"/>
    <row r="325" s="1025"/>
    <row r="326" s="1025"/>
    <row r="327" s="1025"/>
    <row r="328" s="1025"/>
    <row r="329" s="1025"/>
    <row r="330" s="1025"/>
    <row r="331" s="1025"/>
    <row r="332" s="1025"/>
    <row r="333" s="1025"/>
    <row r="334" s="1025"/>
    <row r="335" s="1025"/>
    <row r="336" s="1025"/>
    <row r="337" s="1025"/>
    <row r="338" s="1025"/>
    <row r="339" s="1025"/>
    <row r="340" s="1025"/>
    <row r="341" s="1025"/>
    <row r="342" s="1025"/>
    <row r="343" s="1025"/>
    <row r="344" s="1025"/>
    <row r="345" s="1025"/>
    <row r="346" s="1025"/>
    <row r="347" s="1025"/>
    <row r="348" s="1025"/>
    <row r="349" s="1025"/>
    <row r="350" s="1025"/>
    <row r="351" s="1025"/>
    <row r="352" s="1025"/>
    <row r="353" s="1025"/>
    <row r="354" s="1025"/>
    <row r="355" s="1025"/>
    <row r="356" s="1025"/>
    <row r="357" s="1025"/>
    <row r="358" s="1025"/>
    <row r="359" s="1025"/>
    <row r="360" s="1025"/>
    <row r="361" s="1025"/>
    <row r="362" s="1025"/>
    <row r="363" s="1025"/>
    <row r="364" s="1025"/>
    <row r="365" s="1025"/>
    <row r="366" s="1025"/>
    <row r="367" s="1025"/>
    <row r="368" s="1025"/>
    <row r="369" s="1025"/>
    <row r="370" s="1025"/>
    <row r="371" s="1025"/>
    <row r="372" s="1025"/>
    <row r="373" s="1025"/>
    <row r="374" s="1025"/>
    <row r="375" s="1025"/>
    <row r="376" s="1025"/>
    <row r="377" s="1025"/>
    <row r="378" s="1025"/>
    <row r="379" s="1025"/>
    <row r="380" s="1025"/>
    <row r="381" s="1025"/>
    <row r="382" s="1025"/>
    <row r="383" s="1025"/>
    <row r="384" s="1025"/>
    <row r="385" s="1025"/>
    <row r="386" s="1025"/>
    <row r="387" s="1025"/>
    <row r="388" s="1025"/>
    <row r="389" s="1025"/>
    <row r="390" s="1025"/>
    <row r="391" s="1025"/>
    <row r="392" s="1025"/>
    <row r="393" s="1025"/>
    <row r="394" s="1025"/>
    <row r="395" s="1025"/>
    <row r="396" s="1025"/>
    <row r="397" s="1025"/>
    <row r="398" s="1025"/>
    <row r="399" s="1025"/>
    <row r="400" s="1025"/>
    <row r="401" s="1025"/>
    <row r="402" s="1025"/>
    <row r="403" s="1025"/>
    <row r="404" s="1025"/>
    <row r="405" s="1025"/>
    <row r="406" s="1025"/>
    <row r="407" s="1025"/>
    <row r="408" s="1025"/>
    <row r="409" s="1025"/>
    <row r="410" s="1025"/>
    <row r="411" s="1025"/>
    <row r="412" s="1025"/>
    <row r="413" s="1025"/>
    <row r="414" s="1025"/>
    <row r="415" s="1025"/>
    <row r="416" s="1025"/>
    <row r="417" s="1025"/>
    <row r="418" s="1025"/>
    <row r="419" s="1025"/>
    <row r="420" s="1025"/>
    <row r="421" s="1025"/>
    <row r="422" s="1025"/>
    <row r="423" s="1025"/>
    <row r="424" s="1025"/>
    <row r="425" s="1025"/>
    <row r="426" s="1025"/>
    <row r="427" s="1025"/>
    <row r="428" s="1025"/>
    <row r="429" s="1025"/>
    <row r="430" s="1025"/>
    <row r="431" s="1025"/>
    <row r="432" s="1025"/>
    <row r="433" s="1025"/>
    <row r="434" s="1025"/>
    <row r="435" s="1025"/>
    <row r="436" s="1025"/>
    <row r="437" s="1025"/>
    <row r="438" s="1025"/>
    <row r="439" s="1025"/>
    <row r="440" s="1025"/>
    <row r="441" s="1025"/>
    <row r="442" s="1025"/>
    <row r="443" s="1025"/>
    <row r="444" s="1025"/>
    <row r="445" s="1025"/>
    <row r="446" s="1025"/>
    <row r="447" s="1025"/>
    <row r="448" s="1025"/>
    <row r="449" s="1025"/>
    <row r="450" s="1025"/>
    <row r="451" s="1025"/>
    <row r="452" s="1025"/>
    <row r="453" s="1025"/>
    <row r="454" s="1025"/>
    <row r="455" s="1025"/>
    <row r="456" s="1025"/>
    <row r="457" s="1025"/>
    <row r="458" s="1025"/>
    <row r="459" s="1025"/>
    <row r="460" s="1025"/>
    <row r="461" s="1025"/>
    <row r="462" s="1025"/>
    <row r="463" s="1025"/>
    <row r="464" s="1025"/>
    <row r="465" s="1025"/>
    <row r="466" s="1025"/>
    <row r="467" s="1025"/>
    <row r="468" s="1025"/>
    <row r="469" s="1025"/>
    <row r="470" s="1025"/>
    <row r="471" s="1025"/>
    <row r="472" s="1025"/>
    <row r="473" s="1025"/>
    <row r="474" s="1025"/>
    <row r="475" s="1025"/>
    <row r="476" s="1025"/>
    <row r="477" s="1025"/>
    <row r="478" s="1025"/>
    <row r="479" s="1025"/>
    <row r="480" s="1025"/>
    <row r="481" s="1025"/>
    <row r="482" s="1025"/>
    <row r="483" s="1025"/>
    <row r="484" s="1025"/>
    <row r="485" s="1025"/>
    <row r="486" s="1025"/>
    <row r="487" s="1025"/>
    <row r="488" s="1025"/>
    <row r="489" s="1025"/>
    <row r="490" s="1025"/>
    <row r="491" s="1025"/>
    <row r="492" s="1025"/>
    <row r="493" s="1025"/>
    <row r="494" s="1025"/>
    <row r="495" s="1025"/>
    <row r="496" s="1025"/>
    <row r="497" s="1025"/>
    <row r="498" s="1025"/>
    <row r="499" s="1025"/>
    <row r="500" s="1025"/>
    <row r="501" s="1025"/>
    <row r="502" s="1025"/>
    <row r="503" s="1025"/>
    <row r="504" s="1025"/>
  </sheetData>
  <sheetProtection selectLockedCells="0" selectUnlockedCells="0" sheet="1" objects="0" insertRows="1" insertHyperlinks="1" autoFilter="1" scenarios="0" formatColumns="1" deleteColumns="1" insertColumns="1" pivotTables="1" deleteRows="1" formatCells="1" formatRows="1" sort="1"/>
  <mergeCells count="2">
    <mergeCell ref="A1:P1"/>
    <mergeCell ref="A2:P2"/>
  </mergeCells>
  <dataValidations count="5">
    <dataValidation sqref="C5:C504" showDropDown="0" showInputMessage="0" showErrorMessage="0" allowBlank="1" type="list">
      <formula1>INDIRECT("'03-SOW主表'!$C$5:$C$104")</formula1>
    </dataValidation>
    <dataValidation sqref="E5:E504" showDropDown="0" showInputMessage="0" showErrorMessage="0" allowBlank="1" type="list">
      <formula1>INDIRECT("'92-基础人天'!$D$5:$D$41")</formula1>
    </dataValidation>
    <dataValidation sqref="G5:G504" showDropDown="0" showInputMessage="0" showErrorMessage="0" allowBlank="1" type="list">
      <formula1>"新建,调整,接入复用"</formula1>
    </dataValidation>
    <dataValidation sqref="I5:I504" showDropDown="0" showInputMessage="0" showErrorMessage="0" allowBlank="1" type="list">
      <formula1>"S,M,L"</formula1>
    </dataValidation>
    <dataValidation sqref="K5:K504" showDropDown="0" showInputMessage="1" showErrorMessage="1" allowBlank="1" errorTitle="现状条目无效" error="请选择 90-系统现状 明细表中的现状条目名称。" promptTitle="关联现状条目" prompt="来源：90-系统现状 &gt; 现状条目名称" type="list" errorStyle="stop">
      <formula1>INDIRECT("AsIsDetailTable[现状条目名称]")</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O1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34" customWidth="1" style="1025" min="4" max="4"/>
    <col width="20" customWidth="1" style="1025" min="5" max="5"/>
    <col width="20" customWidth="1" style="1025" min="6" max="6"/>
    <col width="26" customWidth="1" style="1025" min="7" max="7"/>
    <col width="10" customWidth="1" style="1025" min="8" max="8"/>
    <col width="28" customWidth="1" style="1025" min="9" max="9"/>
    <col width="12" customWidth="1" style="1025" min="10" max="10"/>
    <col width="30" customWidth="1" style="1025" min="11" max="11"/>
    <col width="12" customWidth="1" style="1025" min="12" max="12"/>
    <col width="10" customWidth="1" style="1025" min="13" max="13"/>
    <col width="12" customWidth="1" style="1025" min="14" max="14"/>
    <col width="12" customWidth="1" style="1025" min="15" max="15"/>
  </cols>
  <sheetData>
    <row r="1" ht="31" customHeight="1" s="1025">
      <c r="A1" s="914" t="inlineStr">
        <is>
          <t>集成点</t>
        </is>
      </c>
      <c r="B1" s="635" t="n"/>
      <c r="C1" s="635" t="n"/>
      <c r="D1" s="635" t="n"/>
      <c r="E1" s="635" t="n"/>
      <c r="F1" s="635" t="n"/>
      <c r="G1" s="635" t="n"/>
      <c r="H1" s="635" t="n"/>
      <c r="I1" s="635" t="n"/>
      <c r="J1" s="635" t="n"/>
      <c r="K1" s="635" t="n"/>
      <c r="L1" s="635" t="n"/>
      <c r="M1" s="635" t="n"/>
      <c r="N1" s="635" t="n"/>
      <c r="O1" s="635" t="n"/>
    </row>
    <row r="2" ht="34" customHeight="1" s="1025">
      <c r="A2" s="916" t="inlineStr">
        <is>
          <t>故事名称与集成任务名称由系统集成任务自动带出；只需补充来源、目标、触发条件、方向、业务目的和责任边界。</t>
        </is>
      </c>
      <c r="B2" s="636" t="n"/>
      <c r="C2" s="636" t="n"/>
      <c r="D2" s="636" t="n"/>
      <c r="E2" s="636" t="n"/>
      <c r="F2" s="636" t="n"/>
      <c r="G2" s="636" t="n"/>
      <c r="H2" s="636" t="n"/>
      <c r="I2" s="636" t="n"/>
      <c r="J2" s="636" t="n"/>
      <c r="K2" s="636" t="n"/>
      <c r="L2" s="636" t="n"/>
      <c r="M2" s="636" t="n"/>
      <c r="N2" s="636" t="n"/>
      <c r="O2" s="636" t="n"/>
    </row>
    <row r="3" ht="9" customHeight="1" s="1025">
      <c r="A3" s="918" t="n"/>
      <c r="B3" s="918" t="n"/>
      <c r="C3" s="918" t="n"/>
      <c r="D3" s="918" t="n"/>
      <c r="E3" s="918" t="n"/>
      <c r="F3" s="918" t="n"/>
      <c r="G3" s="918" t="n"/>
      <c r="H3" s="918" t="n"/>
      <c r="I3" s="918" t="n"/>
      <c r="J3" s="918" t="n"/>
      <c r="K3" s="918" t="n"/>
      <c r="L3" s="918" t="n"/>
      <c r="M3" s="918" t="n"/>
      <c r="N3" s="918" t="n"/>
      <c r="O3" s="918" t="n"/>
    </row>
    <row r="4" ht="38" customHeight="1" s="1025">
      <c r="A4" s="936" t="inlineStr">
        <is>
          <t>需求名称</t>
        </is>
      </c>
      <c r="B4" s="936" t="inlineStr">
        <is>
          <t>子需求名称</t>
        </is>
      </c>
      <c r="C4" s="936" t="inlineStr">
        <is>
          <t>故事名称</t>
        </is>
      </c>
      <c r="D4" s="936" t="inlineStr">
        <is>
          <t>集成任务名称</t>
        </is>
      </c>
      <c r="E4" s="936" t="inlineStr">
        <is>
          <t>来源</t>
        </is>
      </c>
      <c r="F4" s="936" t="inlineStr">
        <is>
          <t>目标</t>
        </is>
      </c>
      <c r="G4" s="936" t="inlineStr">
        <is>
          <t>触发条件</t>
        </is>
      </c>
      <c r="H4" s="936" t="inlineStr">
        <is>
          <t>方向</t>
        </is>
      </c>
      <c r="I4" s="936" t="inlineStr">
        <is>
          <t>业务目的</t>
        </is>
      </c>
      <c r="J4" s="936" t="inlineStr">
        <is>
          <t>责任边界</t>
        </is>
      </c>
      <c r="K4" s="936" t="inlineStr">
        <is>
          <t>工作模式</t>
        </is>
      </c>
      <c r="L4" s="936" t="inlineStr">
        <is>
          <t>复杂度</t>
        </is>
      </c>
      <c r="M4" s="936" t="inlineStr">
        <is>
          <t>支持单价</t>
        </is>
      </c>
      <c r="N4" s="936" t="inlineStr">
        <is>
          <t>SIT人天</t>
        </is>
      </c>
    </row>
    <row r="5" ht="38" customHeight="1" s="1025">
      <c r="A5" s="944">
        <f>IF(C5="","",IFERROR(INDEX(SOWStoryTable[需求名称],MATCH(C5,SOWStoryTable[故事名称],0)),"来源未匹配"))</f>
        <v/>
      </c>
      <c r="B5" s="944">
        <f>IF(C5="","",IFERROR(INDEX(SOWStoryTable[子需求名称],MATCH(C5,SOWStoryTable[故事名称],0)),"来源未匹配"))</f>
        <v/>
      </c>
      <c r="C5" s="944" t="inlineStr">
        <is>
          <t>集成会员主数据查询</t>
        </is>
      </c>
      <c r="D5" s="944" t="inlineStr">
        <is>
          <t>接入内部客户档案 API</t>
        </is>
      </c>
      <c r="E5" s="1060" t="inlineStr">
        <is>
          <t>星云会员门户</t>
        </is>
      </c>
      <c r="F5" s="1060" t="inlineStr">
        <is>
          <t>会员主数据服务</t>
        </is>
      </c>
      <c r="G5" s="1060" t="inlineStr">
        <is>
          <t>收到客户档案查看请求</t>
        </is>
      </c>
      <c r="H5" s="1061" t="inlineStr">
        <is>
          <t>出站</t>
        </is>
      </c>
      <c r="I5" s="1060" t="inlineStr">
        <is>
          <t>检索统一会员号和授权范围内的客户档案</t>
        </is>
      </c>
      <c r="J5" s="1061" t="inlineStr">
        <is>
          <t>内部</t>
        </is>
      </c>
      <c r="K5" s="945">
        <f>IF(D5="","",IFERROR(INDEX(TaskTable[工作模式],MATCH(D5,TaskTable[任务名称],0)),""))</f>
        <v/>
      </c>
      <c r="L5" s="945">
        <f>IF(D5="","",IFERROR(INDEX(TaskTable[复杂度],MATCH(D5,TaskTable[任务名称],0)),""))</f>
        <v/>
      </c>
      <c r="M5" s="945">
        <f>IF(D5="","",IF(J5="内部",INDEX(ProjectParameterTable[值],MATCH("SIT_INT_SUPPORT",ProjectParameterTable[参数代码],0)),IF(J5="外部",INDEX(ProjectParameterTable[值],MATCH("SIT_EXT_SUPPORT",ProjectParameterTable[参数代码],0)),"")))</f>
        <v/>
      </c>
      <c r="N5" s="945">
        <f>IF(OR(D5="",M5=""),"",ROUND(M5*IFERROR(INDEX(TaskTable[复杂度倍率],MATCH(D5,TaskTable[任务名称],0)),0),1))</f>
        <v/>
      </c>
    </row>
    <row r="6" ht="38" customHeight="1" s="1025">
      <c r="A6" s="944">
        <f>IF(C6="","",IFERROR(INDEX(SOWStoryTable[需求名称],MATCH(C6,SOWStoryTable[故事名称],0)),"来源未匹配"))</f>
        <v/>
      </c>
      <c r="B6" s="944">
        <f>IF(C6="","",IFERROR(INDEX(SOWStoryTable[子需求名称],MATCH(C6,SOWStoryTable[故事名称],0)),"来源未匹配"))</f>
        <v/>
      </c>
      <c r="C6" s="944" t="inlineStr">
        <is>
          <t>预占和释放 ERP 库存</t>
        </is>
      </c>
      <c r="D6" s="944" t="inlineStr">
        <is>
          <t>接入既有 ERP 库存接口</t>
        </is>
      </c>
      <c r="E6" s="1060" t="inlineStr">
        <is>
          <t>订单服务</t>
        </is>
      </c>
      <c r="F6" s="1060" t="inlineStr">
        <is>
          <t>ERP</t>
        </is>
      </c>
      <c r="G6" s="1060" t="inlineStr">
        <is>
          <t>订单确认、取消或预占超时</t>
        </is>
      </c>
      <c r="H6" s="1061" t="inlineStr">
        <is>
          <t>出站</t>
        </is>
      </c>
      <c r="I6" s="1060" t="inlineStr">
        <is>
          <t>预占或释放门店与仓库库存</t>
        </is>
      </c>
      <c r="J6" s="1061" t="inlineStr">
        <is>
          <t>内部</t>
        </is>
      </c>
      <c r="K6" s="945">
        <f>IF(D6="","",IFERROR(INDEX(TaskTable[工作模式],MATCH(D6,TaskTable[任务名称],0)),""))</f>
        <v/>
      </c>
      <c r="L6" s="945">
        <f>IF(D6="","",IFERROR(INDEX(TaskTable[复杂度],MATCH(D6,TaskTable[任务名称],0)),""))</f>
        <v/>
      </c>
      <c r="M6" s="945">
        <f>IF(D6="","",IF(J6="内部",INDEX(ProjectParameterTable[值],MATCH("SIT_INT_SUPPORT",ProjectParameterTable[参数代码],0)),IF(J6="外部",INDEX(ProjectParameterTable[值],MATCH("SIT_EXT_SUPPORT",ProjectParameterTable[参数代码],0)),"")))</f>
        <v/>
      </c>
      <c r="N6" s="945">
        <f>IF(OR(D6="",M6=""),"",ROUND(M6*IFERROR(INDEX(TaskTable[复杂度倍率],MATCH(D6,TaskTable[任务名称],0)),0),1))</f>
        <v/>
      </c>
    </row>
    <row r="7" ht="38" customHeight="1" s="1025">
      <c r="A7" s="944">
        <f>IF(C7="","",IFERROR(INDEX(SOWStoryTable[需求名称],MATCH(C7,SOWStoryTable[故事名称],0)),"来源未匹配"))</f>
        <v/>
      </c>
      <c r="B7" s="944">
        <f>IF(C7="","",IFERROR(INDEX(SOWStoryTable[子需求名称],MATCH(C7,SOWStoryTable[故事名称],0)),"来源未匹配"))</f>
        <v/>
      </c>
      <c r="C7" s="944" t="inlineStr">
        <is>
          <t>发起退款并回写结果</t>
        </is>
      </c>
      <c r="D7" s="944" t="inlineStr">
        <is>
          <t>接入既有支付网关租户</t>
        </is>
      </c>
      <c r="E7" s="1060" t="inlineStr">
        <is>
          <t>订单服务</t>
        </is>
      </c>
      <c r="F7" s="1060" t="inlineStr">
        <is>
          <t>支付网关</t>
        </is>
      </c>
      <c r="G7" s="1060" t="inlineStr">
        <is>
          <t>退货审核通过</t>
        </is>
      </c>
      <c r="H7" s="1061" t="inlineStr">
        <is>
          <t>出站</t>
        </is>
      </c>
      <c r="I7" s="1060" t="inlineStr">
        <is>
          <t>发起退款并查询或接收退款结果</t>
        </is>
      </c>
      <c r="J7" s="1061" t="inlineStr">
        <is>
          <t>外部</t>
        </is>
      </c>
      <c r="K7" s="945">
        <f>IF(D7="","",IFERROR(INDEX(TaskTable[工作模式],MATCH(D7,TaskTable[任务名称],0)),""))</f>
        <v/>
      </c>
      <c r="L7" s="945">
        <f>IF(D7="","",IFERROR(INDEX(TaskTable[复杂度],MATCH(D7,TaskTable[任务名称],0)),""))</f>
        <v/>
      </c>
      <c r="M7" s="945">
        <f>IF(D7="","",IF(J7="内部",INDEX(ProjectParameterTable[值],MATCH("SIT_INT_SUPPORT",ProjectParameterTable[参数代码],0)),IF(J7="外部",INDEX(ProjectParameterTable[值],MATCH("SIT_EXT_SUPPORT",ProjectParameterTable[参数代码],0)),"")))</f>
        <v/>
      </c>
      <c r="N7" s="945">
        <f>IF(OR(D7="",M7=""),"",ROUND(M7*IFERROR(INDEX(TaskTable[复杂度倍率],MATCH(D7,TaskTable[任务名称],0)),0),1))</f>
        <v/>
      </c>
    </row>
    <row r="8" ht="38" customHeight="1" s="1025">
      <c r="A8" s="944">
        <f>IF(C8="","",IFERROR(INDEX(SOWStoryTable[需求名称],MATCH(C8,SOWStoryTable[故事名称],0)),"来源未匹配"))</f>
        <v/>
      </c>
      <c r="B8" s="944">
        <f>IF(C8="","",IFERROR(INDEX(SOWStoryTable[子需求名称],MATCH(C8,SOWStoryTable[故事名称],0)),"来源未匹配"))</f>
        <v/>
      </c>
      <c r="C8" s="944" t="inlineStr">
        <is>
          <t>申请并追踪电子发票</t>
        </is>
      </c>
      <c r="D8" s="944" t="inlineStr">
        <is>
          <t>接入既有电子发票通道</t>
        </is>
      </c>
      <c r="E8" s="1060" t="inlineStr">
        <is>
          <t>订单服务</t>
        </is>
      </c>
      <c r="F8" s="1060" t="inlineStr">
        <is>
          <t>电子发票平台</t>
        </is>
      </c>
      <c r="G8" s="1060" t="inlineStr">
        <is>
          <t>顾客对已完成订单提交开票申请</t>
        </is>
      </c>
      <c r="H8" s="1061" t="inlineStr">
        <is>
          <t>出站</t>
        </is>
      </c>
      <c r="I8" s="1060" t="inlineStr">
        <is>
          <t>申请电子发票并查询开票状态</t>
        </is>
      </c>
      <c r="J8" s="1061" t="inlineStr">
        <is>
          <t>外部</t>
        </is>
      </c>
      <c r="K8" s="945">
        <f>IF(D8="","",IFERROR(INDEX(TaskTable[工作模式],MATCH(D8,TaskTable[任务名称],0)),""))</f>
        <v/>
      </c>
      <c r="L8" s="945">
        <f>IF(D8="","",IFERROR(INDEX(TaskTable[复杂度],MATCH(D8,TaskTable[任务名称],0)),""))</f>
        <v/>
      </c>
      <c r="M8" s="945">
        <f>IF(D8="","",IF(J8="内部",INDEX(ProjectParameterTable[值],MATCH("SIT_INT_SUPPORT",ProjectParameterTable[参数代码],0)),IF(J8="外部",INDEX(ProjectParameterTable[值],MATCH("SIT_EXT_SUPPORT",ProjectParameterTable[参数代码],0)),"")))</f>
        <v/>
      </c>
      <c r="N8" s="945">
        <f>IF(OR(D8="",M8=""),"",ROUND(M8*IFERROR(INDEX(TaskTable[复杂度倍率],MATCH(D8,TaskTable[任务名称],0)),0),1))</f>
        <v/>
      </c>
    </row>
    <row r="9" s="1025"/>
    <row r="10" s="1025"/>
    <row r="11" s="1025"/>
    <row r="12" s="1025"/>
    <row r="13" s="1025"/>
    <row r="14" s="1025"/>
    <row r="15" s="1025"/>
    <row r="16" s="1025"/>
    <row r="17" s="1025"/>
    <row r="18" s="1025"/>
    <row r="19" s="1025"/>
    <row r="20" s="1025"/>
    <row r="21" s="1025"/>
    <row r="22" s="1025"/>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sheetProtection selectLockedCells="0" selectUnlockedCells="0" sheet="1" objects="0" insertRows="1" insertHyperlinks="1" autoFilter="1" scenarios="0" formatColumns="1" deleteColumns="1" insertColumns="1" pivotTables="1" deleteRows="1" formatCells="1" formatRows="1" sort="1"/>
  <mergeCells count="2">
    <mergeCell ref="A2:N2"/>
    <mergeCell ref="A1:N1"/>
  </mergeCells>
  <dataValidations count="2">
    <dataValidation sqref="H5:H104" showDropDown="0" showInputMessage="0" showErrorMessage="0" allowBlank="1" type="list">
      <formula1>"入站,出站"</formula1>
    </dataValidation>
    <dataValidation sqref="J5:J104" showDropDown="0" showInputMessage="0" showErrorMessage="0" allowBlank="1" type="list">
      <formula1>"内部,外部"</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30" customWidth="1" style="1025" min="1" max="1"/>
    <col width="12" customWidth="1" style="1025" min="2" max="2"/>
    <col width="24" customWidth="1" style="1025" min="3" max="3"/>
    <col width="26" customWidth="1" style="1025" min="4" max="4"/>
    <col width="14" customWidth="1" style="1025" min="5" max="5"/>
    <col width="36" customWidth="1" style="1025" min="6" max="6"/>
    <col width="26" customWidth="1" style="1025" min="7" max="7"/>
    <col width="12" customWidth="1" style="1025" min="8" max="8"/>
    <col width="34" customWidth="1" style="1025" min="9" max="9"/>
    <col width="14" customWidth="1" style="1025" min="10" max="10"/>
  </cols>
  <sheetData>
    <row r="1" ht="31" customHeight="1" s="1025">
      <c r="A1" s="914" t="inlineStr">
        <is>
          <t>假设与风险清单</t>
        </is>
      </c>
      <c r="B1" s="635" t="n"/>
      <c r="C1" s="635" t="n"/>
      <c r="D1" s="635" t="n"/>
      <c r="E1" s="635" t="n"/>
      <c r="F1" s="635" t="n"/>
    </row>
    <row r="2" ht="34" customHeight="1" s="1025">
      <c r="A2" s="916" t="inlineStr">
        <is>
          <t>每个假设或风险保留一行；故事在 SOW 主表中按名称选择一个条目。</t>
        </is>
      </c>
      <c r="B2" s="636" t="n"/>
      <c r="C2" s="636" t="n"/>
      <c r="D2" s="636" t="n"/>
      <c r="E2" s="636" t="n"/>
      <c r="F2" s="636" t="n"/>
    </row>
    <row r="3" ht="9" customHeight="1" s="1025">
      <c r="A3" s="918" t="n"/>
      <c r="B3" s="918" t="n"/>
      <c r="C3" s="918" t="n"/>
      <c r="D3" s="918" t="n"/>
      <c r="E3" s="918" t="n"/>
      <c r="F3" s="918" t="n"/>
    </row>
    <row r="4" ht="38" customHeight="1" s="1025">
      <c r="A4" s="936" t="inlineStr">
        <is>
          <t>假设/风险名称</t>
        </is>
      </c>
      <c r="B4" s="936" t="inlineStr">
        <is>
          <t>类型</t>
        </is>
      </c>
      <c r="C4" s="936" t="inlineStr">
        <is>
          <t>触发条件</t>
        </is>
      </c>
      <c r="D4" s="936" t="inlineStr">
        <is>
          <t>责任边界</t>
        </is>
      </c>
      <c r="E4" s="936" t="inlineStr">
        <is>
          <t>状态</t>
        </is>
      </c>
      <c r="F4" s="936" t="inlineStr">
        <is>
          <t>处理方式</t>
        </is>
      </c>
    </row>
    <row r="5" ht="38" customHeight="1" s="1025">
      <c r="A5" s="1060" t="inlineStr">
        <is>
          <t>会员主数据服务在联调期间可用</t>
        </is>
      </c>
      <c r="B5" s="1061" t="inlineStr">
        <is>
          <t>假设</t>
        </is>
      </c>
      <c r="C5" s="1060" t="inlineStr">
        <is>
          <t>客户档案内部集成测试开始</t>
        </is>
      </c>
      <c r="D5" s="1060" t="inlineStr">
        <is>
          <t>会员主数据团队提供稳定的 SIT 端点和测试账号</t>
        </is>
      </c>
      <c r="E5" s="1061" t="inlineStr">
        <is>
          <t>已明确</t>
        </is>
      </c>
      <c r="F5" s="1060" t="inlineStr">
        <is>
          <t>按已确认的联调窗口执行系统集成测试</t>
        </is>
      </c>
      <c r="G5" s="1049" t="n"/>
      <c r="H5" s="1049" t="n"/>
      <c r="I5" s="1049" t="n"/>
    </row>
    <row r="6" ht="38" customHeight="1" s="1025">
      <c r="A6" s="1060" t="inlineStr">
        <is>
          <t>生产告警通知渠道待确认</t>
        </is>
      </c>
      <c r="B6" s="1061" t="inlineStr">
        <is>
          <t>风险</t>
        </is>
      </c>
      <c r="C6" s="1060" t="inlineStr">
        <is>
          <t>生产准备评审前仍未登记最终通知渠道</t>
        </is>
      </c>
      <c r="D6" s="1060" t="inlineStr">
        <is>
          <t>运维团队确认邮件、工单或值班群以及接收人</t>
        </is>
      </c>
      <c r="E6" s="1061" t="inlineStr">
        <is>
          <t>待确认</t>
        </is>
      </c>
      <c r="F6" s="1060" t="inlineStr">
        <is>
          <t>上线前确认渠道并写入监控配置和运维手册</t>
        </is>
      </c>
      <c r="G6" s="1049" t="n"/>
      <c r="H6" s="1049" t="n"/>
      <c r="I6" s="1049" t="n"/>
    </row>
    <row r="7" ht="38" customHeight="1" s="1025">
      <c r="A7" s="1060" t="inlineStr">
        <is>
          <t>ERP SIT 环境按工作日窗口开放</t>
        </is>
      </c>
      <c r="B7" s="1061" t="inlineStr">
        <is>
          <t>假设</t>
        </is>
      </c>
      <c r="C7" s="1060" t="inlineStr">
        <is>
          <t>库存预占联调计划基线确认</t>
        </is>
      </c>
      <c r="D7" s="1060" t="inlineStr">
        <is>
          <t>ERP 团队保证工作日 09:00 至 18:00 可用并提前通知停机</t>
        </is>
      </c>
      <c r="E7" s="1061" t="inlineStr">
        <is>
          <t>已明确</t>
        </is>
      </c>
      <c r="F7" s="1060" t="inlineStr">
        <is>
          <t>联调和缺陷复测安排在已确认窗口内</t>
        </is>
      </c>
      <c r="G7" s="1049" t="n"/>
      <c r="H7" s="1049" t="n"/>
      <c r="I7" s="1049" t="n"/>
    </row>
    <row r="8" ht="38" customHeight="1" s="1025">
      <c r="A8" s="1060" t="inlineStr">
        <is>
          <t>支付网关退款认证可能延迟</t>
        </is>
      </c>
      <c r="B8" s="1061" t="inlineStr">
        <is>
          <t>风险</t>
        </is>
      </c>
      <c r="C8" s="1060" t="inlineStr">
        <is>
          <t>SIT 第 2 周开始时认证材料仍未通过</t>
        </is>
      </c>
      <c r="D8" s="1060" t="inlineStr">
        <is>
          <t>资金管理部提交企业材料，项目团队提供回调地址和测试证据</t>
        </is>
      </c>
      <c r="E8" s="1061" t="inlineStr">
        <is>
          <t>待确认</t>
        </is>
      </c>
      <c r="F8" s="1060" t="inlineStr">
        <is>
          <t>项目启动五个工作日内提交材料，延期时调整退款联调顺序</t>
        </is>
      </c>
      <c r="G8" s="1049" t="n"/>
      <c r="H8" s="1049" t="n"/>
      <c r="I8" s="1049" t="n"/>
    </row>
    <row r="9" ht="38" customHeight="1" s="1025">
      <c r="A9" s="1060" t="inlineStr">
        <is>
          <t>迁移冻结窗口为周六 00:00 至 04:00</t>
        </is>
      </c>
      <c r="B9" s="1061" t="inlineStr">
        <is>
          <t>假设</t>
        </is>
      </c>
      <c r="C9" s="1060" t="inlineStr">
        <is>
          <t>生产切换计划批准</t>
        </is>
      </c>
      <c r="D9" s="1060" t="inlineStr">
        <is>
          <t>业务负责人批准冻结，数据负责人提供最终增量范围</t>
        </is>
      </c>
      <c r="E9" s="1061" t="inlineStr">
        <is>
          <t>已明确</t>
        </is>
      </c>
      <c r="F9" s="1060" t="inlineStr">
        <is>
          <t>按四小时窗口编排增量迁移、校验和回滚检查点</t>
        </is>
      </c>
      <c r="G9" s="1049" t="n"/>
      <c r="H9" s="1049" t="n"/>
      <c r="I9" s="1049" t="n"/>
    </row>
    <row r="10" ht="38" customHeight="1" s="1025">
      <c r="A10" s="1060" t="inlineStr">
        <is>
          <t>电子发票生产证书与测试配额待确认</t>
        </is>
      </c>
      <c r="B10" s="1061" t="inlineStr">
        <is>
          <t>风险</t>
        </is>
      </c>
      <c r="C10" s="1060" t="inlineStr">
        <is>
          <t>生产准备评审时证书或每日 500 张测试配额未就绪</t>
        </is>
      </c>
      <c r="D10" s="1060" t="inlineStr">
        <is>
          <t>财务共享中心协调供应商下发证书并确认配额</t>
        </is>
      </c>
      <c r="E10" s="1061" t="inlineStr">
        <is>
          <t>待确认</t>
        </is>
      </c>
      <c r="F10" s="1060" t="inlineStr">
        <is>
          <t>联调前确认测试配额，生产切换前完成证书装载和连通性检查</t>
        </is>
      </c>
      <c r="G10" s="1049" t="n"/>
      <c r="H10" s="1049" t="n"/>
      <c r="I10" s="1049" t="n"/>
    </row>
    <row r="11" s="1025">
      <c r="G11" s="1049" t="n"/>
      <c r="H11" s="1049" t="n"/>
      <c r="I11" s="1049" t="n"/>
    </row>
    <row r="12" s="1025">
      <c r="G12" s="1049" t="n"/>
      <c r="H12" s="1049" t="n"/>
      <c r="I12" s="1049" t="n"/>
    </row>
    <row r="13" s="1025">
      <c r="G13" s="1049" t="n"/>
      <c r="H13" s="1049" t="n"/>
      <c r="I13" s="1049" t="n"/>
    </row>
    <row r="14" s="1025">
      <c r="G14" s="1049" t="n"/>
      <c r="H14" s="1049" t="n"/>
      <c r="I14" s="1049" t="n"/>
    </row>
    <row r="15" s="1025">
      <c r="G15" s="1049" t="n"/>
      <c r="H15" s="1049" t="n"/>
      <c r="I15" s="1049" t="n"/>
    </row>
    <row r="16" s="1025">
      <c r="G16" s="1049" t="n"/>
      <c r="H16" s="1049" t="n"/>
      <c r="I16" s="1049" t="n"/>
    </row>
    <row r="17" s="1025">
      <c r="G17" s="1049" t="n"/>
      <c r="H17" s="1049" t="n"/>
      <c r="I17" s="1049" t="n"/>
    </row>
    <row r="18" s="1025">
      <c r="G18" s="1049" t="n"/>
      <c r="H18" s="1049" t="n"/>
      <c r="I18" s="1049" t="n"/>
    </row>
    <row r="19" s="1025">
      <c r="G19" s="1049" t="n"/>
      <c r="H19" s="1049" t="n"/>
      <c r="I19" s="1049" t="n"/>
    </row>
    <row r="20" s="1025">
      <c r="G20" s="1049" t="n"/>
      <c r="H20" s="1049" t="n"/>
      <c r="I20" s="1049" t="n"/>
    </row>
    <row r="21" s="1025">
      <c r="G21" s="1049" t="n"/>
      <c r="H21" s="1049" t="n"/>
      <c r="I21" s="1049" t="n"/>
    </row>
    <row r="22" s="1025">
      <c r="G22" s="1049" t="n"/>
      <c r="H22" s="1049" t="n"/>
      <c r="I22" s="1049" t="n"/>
    </row>
    <row r="23" s="1025">
      <c r="G23" s="1049" t="n"/>
      <c r="H23" s="1049" t="n"/>
      <c r="I23" s="1049" t="n"/>
    </row>
    <row r="24" s="1025">
      <c r="G24" s="1049" t="n"/>
      <c r="H24" s="1049" t="n"/>
      <c r="I24" s="1049" t="n"/>
    </row>
    <row r="25" s="1025">
      <c r="G25" s="1049" t="n"/>
      <c r="H25" s="1049" t="n"/>
      <c r="I25" s="1049" t="n"/>
    </row>
    <row r="26" s="1025">
      <c r="G26" s="1049" t="n"/>
      <c r="H26" s="1049" t="n"/>
      <c r="I26" s="1049" t="n"/>
    </row>
    <row r="27" s="1025">
      <c r="G27" s="1049" t="n"/>
      <c r="H27" s="1049" t="n"/>
      <c r="I27" s="1049" t="n"/>
    </row>
    <row r="28" s="1025">
      <c r="G28" s="1049" t="n"/>
      <c r="H28" s="1049" t="n"/>
      <c r="I28" s="1049" t="n"/>
    </row>
    <row r="29" s="1025">
      <c r="G29" s="1049" t="n"/>
      <c r="H29" s="1049" t="n"/>
      <c r="I29" s="1049" t="n"/>
    </row>
    <row r="30" s="1025">
      <c r="G30" s="1049" t="n"/>
      <c r="H30" s="1049" t="n"/>
      <c r="I30" s="1049" t="n"/>
    </row>
    <row r="31" s="1025">
      <c r="G31" s="1049" t="n"/>
      <c r="H31" s="1049" t="n"/>
      <c r="I31" s="1049" t="n"/>
    </row>
    <row r="32" s="1025">
      <c r="G32" s="1049" t="n"/>
      <c r="H32" s="1049" t="n"/>
      <c r="I32" s="1049" t="n"/>
    </row>
    <row r="33" s="1025">
      <c r="G33" s="1049" t="n"/>
      <c r="H33" s="1049" t="n"/>
      <c r="I33" s="1049" t="n"/>
    </row>
    <row r="34" s="1025">
      <c r="G34" s="1049" t="n"/>
      <c r="H34" s="1049" t="n"/>
      <c r="I34" s="1049" t="n"/>
    </row>
    <row r="35" s="1025">
      <c r="G35" s="1049" t="n"/>
      <c r="H35" s="1049" t="n"/>
      <c r="I35" s="1049" t="n"/>
    </row>
    <row r="36" s="1025">
      <c r="G36" s="1049" t="n"/>
      <c r="H36" s="1049" t="n"/>
      <c r="I36" s="1049" t="n"/>
    </row>
    <row r="37" s="1025">
      <c r="G37" s="1049" t="n"/>
      <c r="H37" s="1049" t="n"/>
      <c r="I37" s="1049" t="n"/>
    </row>
    <row r="38" s="1025">
      <c r="G38" s="1049" t="n"/>
      <c r="H38" s="1049" t="n"/>
      <c r="I38" s="1049" t="n"/>
    </row>
    <row r="39" s="1025">
      <c r="G39" s="1049" t="n"/>
      <c r="H39" s="1049" t="n"/>
      <c r="I39" s="1049" t="n"/>
    </row>
    <row r="40" s="1025">
      <c r="G40" s="1049" t="n"/>
      <c r="H40" s="1049" t="n"/>
      <c r="I40" s="1049" t="n"/>
    </row>
    <row r="41" s="1025">
      <c r="G41" s="1049" t="n"/>
      <c r="H41" s="1049" t="n"/>
      <c r="I41" s="1049" t="n"/>
    </row>
    <row r="42" s="1025">
      <c r="G42" s="1049" t="n"/>
      <c r="H42" s="1049" t="n"/>
      <c r="I42" s="1049" t="n"/>
    </row>
    <row r="43" s="1025">
      <c r="G43" s="1049" t="n"/>
      <c r="H43" s="1049" t="n"/>
      <c r="I43" s="1049" t="n"/>
    </row>
    <row r="44" s="1025">
      <c r="G44" s="1049" t="n"/>
      <c r="H44" s="1049" t="n"/>
      <c r="I44" s="1049" t="n"/>
    </row>
    <row r="45" s="1025">
      <c r="G45" s="1049" t="n"/>
      <c r="H45" s="1049" t="n"/>
      <c r="I45" s="1049" t="n"/>
    </row>
    <row r="46" s="1025">
      <c r="G46" s="1049" t="n"/>
      <c r="H46" s="1049" t="n"/>
      <c r="I46" s="1049" t="n"/>
    </row>
    <row r="47" s="1025">
      <c r="G47" s="1049" t="n"/>
      <c r="H47" s="1049" t="n"/>
      <c r="I47" s="1049" t="n"/>
    </row>
    <row r="48" s="1025">
      <c r="G48" s="1049" t="n"/>
      <c r="H48" s="1049" t="n"/>
      <c r="I48" s="1049" t="n"/>
    </row>
    <row r="49" s="1025">
      <c r="G49" s="1049" t="n"/>
      <c r="H49" s="1049" t="n"/>
      <c r="I49" s="1049" t="n"/>
    </row>
    <row r="50" s="1025">
      <c r="G50" s="1049" t="n"/>
      <c r="H50" s="1049" t="n"/>
      <c r="I50" s="1049" t="n"/>
    </row>
    <row r="51" s="1025">
      <c r="G51" s="1049" t="n"/>
      <c r="H51" s="1049" t="n"/>
      <c r="I51" s="1049" t="n"/>
    </row>
    <row r="52" s="1025">
      <c r="G52" s="1049" t="n"/>
      <c r="H52" s="1049" t="n"/>
      <c r="I52" s="1049" t="n"/>
    </row>
    <row r="53" s="1025">
      <c r="G53" s="1049" t="n"/>
      <c r="H53" s="1049" t="n"/>
      <c r="I53" s="1049" t="n"/>
    </row>
    <row r="54" s="1025">
      <c r="G54" s="1049" t="n"/>
      <c r="H54" s="1049" t="n"/>
      <c r="I54" s="1049" t="n"/>
    </row>
    <row r="55" s="1025">
      <c r="G55" s="1049" t="n"/>
      <c r="H55" s="1049" t="n"/>
      <c r="I55" s="1049" t="n"/>
    </row>
    <row r="56" s="1025">
      <c r="G56" s="1049" t="n"/>
      <c r="H56" s="1049" t="n"/>
      <c r="I56" s="1049" t="n"/>
    </row>
    <row r="57" s="1025">
      <c r="G57" s="1049" t="n"/>
      <c r="H57" s="1049" t="n"/>
      <c r="I57" s="1049" t="n"/>
    </row>
    <row r="58" s="1025">
      <c r="G58" s="1049" t="n"/>
      <c r="H58" s="1049" t="n"/>
      <c r="I58" s="1049" t="n"/>
    </row>
    <row r="59" s="1025">
      <c r="G59" s="1049" t="n"/>
      <c r="H59" s="1049" t="n"/>
      <c r="I59" s="1049" t="n"/>
    </row>
    <row r="60" s="1025">
      <c r="G60" s="1049" t="n"/>
      <c r="H60" s="1049" t="n"/>
      <c r="I60" s="1049" t="n"/>
    </row>
    <row r="61" s="1025">
      <c r="G61" s="1049" t="n"/>
      <c r="H61" s="1049" t="n"/>
      <c r="I61" s="1049" t="n"/>
    </row>
    <row r="62" s="1025">
      <c r="G62" s="1049" t="n"/>
      <c r="H62" s="1049" t="n"/>
      <c r="I62" s="1049" t="n"/>
    </row>
    <row r="63" s="1025">
      <c r="G63" s="1049" t="n"/>
      <c r="H63" s="1049" t="n"/>
      <c r="I63" s="1049" t="n"/>
    </row>
    <row r="64" s="1025">
      <c r="G64" s="1049" t="n"/>
      <c r="H64" s="1049" t="n"/>
      <c r="I64" s="1049" t="n"/>
    </row>
    <row r="65" s="1025">
      <c r="G65" s="1049" t="n"/>
      <c r="H65" s="1049" t="n"/>
      <c r="I65" s="1049" t="n"/>
    </row>
    <row r="66" s="1025">
      <c r="G66" s="1049" t="n"/>
      <c r="H66" s="1049" t="n"/>
      <c r="I66" s="1049" t="n"/>
    </row>
    <row r="67" s="1025">
      <c r="G67" s="1049" t="n"/>
      <c r="H67" s="1049" t="n"/>
      <c r="I67" s="1049" t="n"/>
    </row>
    <row r="68" s="1025">
      <c r="G68" s="1049" t="n"/>
      <c r="H68" s="1049" t="n"/>
      <c r="I68" s="1049" t="n"/>
    </row>
    <row r="69" s="1025">
      <c r="G69" s="1049" t="n"/>
      <c r="H69" s="1049" t="n"/>
      <c r="I69" s="1049" t="n"/>
    </row>
    <row r="70" s="1025">
      <c r="G70" s="1049" t="n"/>
      <c r="H70" s="1049" t="n"/>
      <c r="I70" s="1049" t="n"/>
    </row>
    <row r="71" s="1025">
      <c r="G71" s="1049" t="n"/>
      <c r="H71" s="1049" t="n"/>
      <c r="I71" s="1049" t="n"/>
    </row>
    <row r="72" s="1025">
      <c r="G72" s="1049" t="n"/>
      <c r="H72" s="1049" t="n"/>
      <c r="I72" s="1049" t="n"/>
    </row>
    <row r="73" s="1025">
      <c r="G73" s="1049" t="n"/>
      <c r="H73" s="1049" t="n"/>
      <c r="I73" s="1049" t="n"/>
    </row>
    <row r="74" s="1025">
      <c r="G74" s="1049" t="n"/>
      <c r="H74" s="1049" t="n"/>
      <c r="I74" s="1049" t="n"/>
    </row>
    <row r="75" s="1025">
      <c r="G75" s="1049" t="n"/>
      <c r="H75" s="1049" t="n"/>
      <c r="I75" s="1049" t="n"/>
    </row>
    <row r="76" s="1025">
      <c r="G76" s="1049" t="n"/>
      <c r="H76" s="1049" t="n"/>
      <c r="I76" s="1049" t="n"/>
    </row>
    <row r="77" s="1025">
      <c r="G77" s="1049" t="n"/>
      <c r="H77" s="1049" t="n"/>
      <c r="I77" s="1049" t="n"/>
    </row>
    <row r="78" s="1025">
      <c r="G78" s="1049" t="n"/>
      <c r="H78" s="1049" t="n"/>
      <c r="I78" s="1049" t="n"/>
    </row>
    <row r="79" s="1025">
      <c r="G79" s="1049" t="n"/>
      <c r="H79" s="1049" t="n"/>
      <c r="I79" s="1049" t="n"/>
    </row>
    <row r="80" s="1025">
      <c r="G80" s="1049" t="n"/>
      <c r="H80" s="1049" t="n"/>
      <c r="I80" s="1049" t="n"/>
    </row>
    <row r="81" s="1025">
      <c r="G81" s="1049" t="n"/>
      <c r="H81" s="1049" t="n"/>
      <c r="I81" s="1049" t="n"/>
    </row>
    <row r="82" s="1025">
      <c r="G82" s="1049" t="n"/>
      <c r="H82" s="1049" t="n"/>
      <c r="I82" s="1049" t="n"/>
    </row>
    <row r="83" s="1025">
      <c r="G83" s="1049" t="n"/>
      <c r="H83" s="1049" t="n"/>
      <c r="I83" s="1049" t="n"/>
    </row>
    <row r="84" s="1025">
      <c r="G84" s="1049" t="n"/>
      <c r="H84" s="1049" t="n"/>
      <c r="I84" s="1049" t="n"/>
    </row>
    <row r="85" s="1025">
      <c r="G85" s="1049" t="n"/>
      <c r="H85" s="1049" t="n"/>
      <c r="I85" s="1049" t="n"/>
    </row>
    <row r="86" s="1025">
      <c r="G86" s="1049" t="n"/>
      <c r="H86" s="1049" t="n"/>
      <c r="I86" s="1049" t="n"/>
    </row>
    <row r="87" s="1025">
      <c r="G87" s="1049" t="n"/>
      <c r="H87" s="1049" t="n"/>
      <c r="I87" s="1049" t="n"/>
    </row>
    <row r="88" s="1025">
      <c r="G88" s="1049" t="n"/>
      <c r="H88" s="1049" t="n"/>
      <c r="I88" s="1049" t="n"/>
    </row>
    <row r="89" s="1025">
      <c r="G89" s="1049" t="n"/>
      <c r="H89" s="1049" t="n"/>
      <c r="I89" s="1049" t="n"/>
    </row>
    <row r="90" s="1025">
      <c r="G90" s="1049" t="n"/>
      <c r="H90" s="1049" t="n"/>
      <c r="I90" s="1049" t="n"/>
    </row>
    <row r="91" s="1025">
      <c r="G91" s="1049" t="n"/>
      <c r="H91" s="1049" t="n"/>
      <c r="I91" s="1049" t="n"/>
    </row>
    <row r="92" s="1025">
      <c r="G92" s="1049" t="n"/>
      <c r="H92" s="1049" t="n"/>
      <c r="I92" s="1049" t="n"/>
    </row>
    <row r="93" s="1025">
      <c r="G93" s="1049" t="n"/>
      <c r="H93" s="1049" t="n"/>
      <c r="I93" s="1049" t="n"/>
    </row>
    <row r="94" s="1025">
      <c r="G94" s="1049" t="n"/>
      <c r="H94" s="1049" t="n"/>
      <c r="I94" s="1049" t="n"/>
    </row>
    <row r="95" s="1025">
      <c r="G95" s="1049" t="n"/>
      <c r="H95" s="1049" t="n"/>
      <c r="I95" s="1049" t="n"/>
    </row>
    <row r="96" s="1025">
      <c r="G96" s="1049" t="n"/>
      <c r="H96" s="1049" t="n"/>
      <c r="I96" s="1049" t="n"/>
    </row>
    <row r="97" s="1025">
      <c r="G97" s="1049" t="n"/>
      <c r="H97" s="1049" t="n"/>
      <c r="I97" s="1049" t="n"/>
    </row>
    <row r="98" s="1025">
      <c r="G98" s="1049" t="n"/>
      <c r="H98" s="1049" t="n"/>
      <c r="I98" s="1049" t="n"/>
    </row>
    <row r="99" s="1025">
      <c r="G99" s="1049" t="n"/>
      <c r="H99" s="1049" t="n"/>
      <c r="I99" s="1049" t="n"/>
    </row>
    <row r="100" s="1025">
      <c r="G100" s="1049" t="n"/>
      <c r="H100" s="1049" t="n"/>
      <c r="I100" s="1049" t="n"/>
    </row>
    <row r="101" s="1025">
      <c r="G101" s="1049" t="n"/>
      <c r="H101" s="1049" t="n"/>
      <c r="I101" s="1049" t="n"/>
    </row>
    <row r="102" s="1025">
      <c r="G102" s="1049" t="n"/>
      <c r="H102" s="1049" t="n"/>
      <c r="I102" s="1049" t="n"/>
    </row>
    <row r="103" s="1025">
      <c r="G103" s="1049" t="n"/>
      <c r="H103" s="1049" t="n"/>
      <c r="I103" s="1049" t="n"/>
    </row>
    <row r="104" s="1025">
      <c r="G104" s="1049" t="n"/>
      <c r="H104" s="1049" t="n"/>
      <c r="I104" s="1049" t="n"/>
    </row>
  </sheetData>
  <mergeCells count="2">
    <mergeCell ref="A2:F2"/>
    <mergeCell ref="A1:F1"/>
  </mergeCells>
  <conditionalFormatting sqref="H5:H104">
    <cfRule type="cellIs" priority="3" operator="equal" dxfId="27">
      <formula>"已明确"</formula>
    </cfRule>
    <cfRule type="cellIs" priority="4" operator="equal" dxfId="28">
      <formula>"待确认"</formula>
    </cfRule>
  </conditionalFormatting>
  <dataValidations count="2">
    <dataValidation sqref="B5:B104" showDropDown="0" showInputMessage="0" showErrorMessage="0" allowBlank="1" type="list">
      <formula1>"假设,风险"</formula1>
    </dataValidation>
    <dataValidation sqref="E5:E104" showDropDown="0" showInputMessage="0" showErrorMessage="0" allowBlank="1" type="list">
      <formula1>"已明确,待确认"</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width="23" customWidth="1" style="1025" min="1" max="1"/>
    <col width="38" customWidth="1" style="1025" min="2" max="2"/>
    <col width="16" customWidth="1" style="1025" min="3" max="3"/>
    <col width="22" customWidth="1" style="1025" min="4" max="4"/>
    <col width="15" customWidth="1" style="1025" min="5" max="5"/>
    <col width="13" customWidth="1" style="1025" min="6" max="6"/>
  </cols>
  <sheetData>
    <row r="1" ht="31" customHeight="1" s="1025">
      <c r="A1" s="914" t="inlineStr">
        <is>
          <t>开发交付估算汇总</t>
        </is>
      </c>
      <c r="B1" s="635" t="n"/>
      <c r="C1" s="635" t="n"/>
      <c r="D1" s="635" t="n"/>
      <c r="E1" s="635" t="n"/>
      <c r="F1" s="635" t="n"/>
    </row>
    <row r="2" ht="38" customHeight="1" s="1025">
      <c r="A2" s="916" t="inlineStr">
        <is>
          <t>当前口径包含直接开发、SIT 支持、UAT 支持和关联待确认假设/风险的故事人天；不含人员迭代计划、敏捷活动以及业务分析、质量保障、技术负责人和项目经理人天。</t>
        </is>
      </c>
      <c r="B2" s="636" t="n"/>
      <c r="C2" s="636" t="n"/>
      <c r="D2" s="636" t="n"/>
      <c r="E2" s="636" t="n"/>
      <c r="F2" s="636" t="n"/>
    </row>
    <row r="3" ht="9" customHeight="1" s="1025">
      <c r="A3" s="918" t="n"/>
      <c r="B3" s="918" t="n"/>
      <c r="C3" s="948" t="n"/>
      <c r="D3" s="948" t="n"/>
      <c r="E3" s="948" t="n"/>
      <c r="F3" s="948" t="n"/>
    </row>
    <row r="4" ht="38" customHeight="1" s="1025">
      <c r="A4" s="949" t="inlineStr">
        <is>
          <t>项目行</t>
        </is>
      </c>
      <c r="B4" s="949" t="inlineStr">
        <is>
          <t>计算/分母</t>
        </is>
      </c>
      <c r="C4" s="949" t="inlineStr">
        <is>
          <t>取整前</t>
        </is>
      </c>
      <c r="D4" s="949" t="inlineStr">
        <is>
          <t>开发交付估算人天</t>
        </is>
      </c>
      <c r="E4" s="949" t="inlineStr">
        <is>
          <t>口径</t>
        </is>
      </c>
      <c r="F4" s="949" t="inlineStr">
        <is>
          <t>校验</t>
        </is>
      </c>
    </row>
    <row r="5" ht="28" customHeight="1" s="1025">
      <c r="A5" s="950" t="inlineStr">
        <is>
          <t>直接开发人天</t>
        </is>
      </c>
      <c r="B5" s="950" t="inlineStr">
        <is>
          <t>Σ 故事直接人天</t>
        </is>
      </c>
      <c r="C5" s="951">
        <f>SUM(SOWStoryTable[人天])</f>
        <v/>
      </c>
      <c r="D5" s="951">
        <f>C5</f>
        <v/>
      </c>
      <c r="E5" s="952" t="inlineStr">
        <is>
          <t>开发</t>
        </is>
      </c>
      <c r="F5" s="953">
        <f>IF(AND(C5&gt;=0,D5&gt;=0),"正常","检查")</f>
        <v/>
      </c>
    </row>
    <row r="6" ht="28" customHeight="1" s="1025">
      <c r="A6" s="950" t="inlineStr">
        <is>
          <t>内部SIT支持</t>
        </is>
      </c>
      <c r="B6" s="950" t="inlineStr">
        <is>
          <t>内部系统对接任务支持</t>
        </is>
      </c>
      <c r="C6" s="951">
        <f>SUMIFS(IntegrationTable[SIT人天],IntegrationTable[责任边界],"内部")</f>
        <v/>
      </c>
      <c r="D6" s="951">
        <f>CEILING(C6,INDEX(ProjectParameterTable[值],MATCH("ROUND_PROJECT",ProjectParameterTable[参数代码],0)))</f>
        <v/>
      </c>
      <c r="E6" s="952" t="inlineStr">
        <is>
          <t>开发</t>
        </is>
      </c>
      <c r="F6" s="953">
        <f>IF(AND(C6&gt;=0,D6&gt;=0),"正常","检查")</f>
        <v/>
      </c>
    </row>
    <row r="7" ht="28" customHeight="1" s="1025">
      <c r="A7" s="950" t="inlineStr">
        <is>
          <t>外部SIT支持</t>
        </is>
      </c>
      <c r="B7" s="950" t="inlineStr">
        <is>
          <t>外部系统对接任务支持</t>
        </is>
      </c>
      <c r="C7" s="951">
        <f>SUMIFS(IntegrationTable[SIT人天],IntegrationTable[责任边界],"外部")</f>
        <v/>
      </c>
      <c r="D7" s="951">
        <f>CEILING(C7,INDEX(ProjectParameterTable[值],MATCH("ROUND_PROJECT",ProjectParameterTable[参数代码],0)))</f>
        <v/>
      </c>
      <c r="E7" s="952" t="inlineStr">
        <is>
          <t>开发</t>
        </is>
      </c>
      <c r="F7" s="953">
        <f>IF(AND(C7&gt;=0,D7&gt;=0),"正常","检查")</f>
        <v/>
      </c>
    </row>
    <row r="8" ht="28" customHeight="1" s="1025">
      <c r="A8" s="950" t="inlineStr">
        <is>
          <t>SIT支持合计</t>
        </is>
      </c>
      <c r="B8" s="950" t="inlineStr">
        <is>
          <t>内部+外部</t>
        </is>
      </c>
      <c r="C8" s="951">
        <f>C6+C7</f>
        <v/>
      </c>
      <c r="D8" s="951">
        <f>D6+D7</f>
        <v/>
      </c>
      <c r="E8" s="952" t="inlineStr">
        <is>
          <t>开发</t>
        </is>
      </c>
      <c r="F8" s="953">
        <f>IF(AND(C8=C6+C7,D8=D6+D7),"正常","检查")</f>
        <v/>
      </c>
    </row>
    <row r="9" ht="28" customHeight="1" s="1025">
      <c r="A9" s="950" t="inlineStr">
        <is>
          <t>UAT分母</t>
        </is>
      </c>
      <c r="B9" s="950" t="inlineStr">
        <is>
          <t>显式标记 UAT 适用的故事</t>
        </is>
      </c>
      <c r="C9" s="951">
        <f>SUMIFS(SOWStoryTable[人天],SOWStoryTable[UAT适用],"是")</f>
        <v/>
      </c>
      <c r="D9" s="951">
        <f>C9</f>
        <v/>
      </c>
      <c r="E9" s="952" t="inlineStr">
        <is>
          <t>追踪</t>
        </is>
      </c>
      <c r="F9" s="953">
        <f>IF(AND(C9&gt;=0,D9&gt;=0),"正常","检查")</f>
        <v/>
      </c>
    </row>
    <row r="10" ht="28" customHeight="1" s="1025">
      <c r="A10" s="950" t="inlineStr">
        <is>
          <t>UAT支持</t>
        </is>
      </c>
      <c r="B10" s="950" t="inlineStr">
        <is>
          <t>UAT分母×支持系数</t>
        </is>
      </c>
      <c r="C10" s="951">
        <f>C9*INDEX(ProjectParameterTable[值],MATCH("K_UAT",ProjectParameterTable[参数代码],0))</f>
        <v/>
      </c>
      <c r="D10" s="951">
        <f>CEILING(C10,INDEX(ProjectParameterTable[值],MATCH("ROUND_PROJECT",ProjectParameterTable[参数代码],0)))</f>
        <v/>
      </c>
      <c r="E10" s="952" t="inlineStr">
        <is>
          <t>开发</t>
        </is>
      </c>
      <c r="F10" s="953">
        <f>IF(AND(C10&gt;=0,D10&gt;=0),"正常","检查")</f>
        <v/>
      </c>
    </row>
    <row r="11" ht="28" customHeight="1" s="1025">
      <c r="A11" s="950" t="inlineStr">
        <is>
          <t>待确认风险人天</t>
        </is>
      </c>
      <c r="B11" s="950" t="inlineStr">
        <is>
          <t>Σ 关联待确认假设/风险的故事人天</t>
        </is>
      </c>
      <c r="C11" s="951">
        <f>SUMIFS(SOWStoryTable[人天],SOWStoryTable[假设/风险状态],"待确认")</f>
        <v/>
      </c>
      <c r="D11" s="951">
        <f>C11</f>
        <v/>
      </c>
      <c r="E11" s="952" t="inlineStr">
        <is>
          <t>开发</t>
        </is>
      </c>
      <c r="F11" s="953">
        <f>IF(AND(C11&gt;=0,D11&gt;=0),"正常","检查")</f>
        <v/>
      </c>
    </row>
    <row r="12" ht="36" customHeight="1" s="1025">
      <c r="A12" s="954" t="inlineStr">
        <is>
          <t>开发交付估算人天</t>
        </is>
      </c>
      <c r="B12" s="954" t="inlineStr">
        <is>
          <t>直接开发+SIT+UAT+待确认风险</t>
        </is>
      </c>
      <c r="C12" s="955">
        <f>C5+C8+C10+C11</f>
        <v/>
      </c>
      <c r="D12" s="955">
        <f>D5+D8+D10+D11</f>
        <v/>
      </c>
      <c r="E12" s="956" t="inlineStr">
        <is>
          <t>当前范围</t>
        </is>
      </c>
      <c r="F12" s="956">
        <f>IF(AND(COUNTIF(F5:F11,"检查")=0,D12=D5+D8+D10+D11),"正常","检查")</f>
        <v/>
      </c>
    </row>
    <row r="13" ht="15" customHeight="1" s="1025">
      <c r="A13" s="957" t="n"/>
      <c r="B13" s="957" t="n"/>
      <c r="C13" s="958" t="n"/>
      <c r="D13" s="958" t="n"/>
      <c r="E13" s="959" t="n"/>
      <c r="F13" s="960" t="n"/>
    </row>
    <row r="14" ht="34" customHeight="1" s="1025">
      <c r="A14" s="961" t="inlineStr">
        <is>
          <t>明确排除</t>
        </is>
      </c>
      <c r="B14" s="962" t="inlineStr">
        <is>
          <t>人员与迭代计划、敏捷活动、敏捷系数，以及业务分析、质量保障、技术负责人、项目经理等非开发角色人天；计费规则确认后由后续版本增加</t>
        </is>
      </c>
      <c r="C14" s="963" t="n"/>
      <c r="D14" s="963" t="n"/>
      <c r="E14" s="964" t="inlineStr">
        <is>
          <t>范围声明</t>
        </is>
      </c>
      <c r="F14" s="953" t="inlineStr">
        <is>
          <t>正常</t>
        </is>
      </c>
    </row>
    <row r="15" ht="15" customHeight="1" s="1025">
      <c r="A15" s="918" t="n"/>
      <c r="B15" s="918" t="n"/>
      <c r="C15" s="948" t="n"/>
      <c r="D15" s="948" t="n"/>
      <c r="E15" s="948" t="n"/>
      <c r="F15" s="948" t="n"/>
    </row>
    <row r="16" ht="15" customHeight="1" s="1025">
      <c r="A16" s="918" t="n"/>
      <c r="B16" s="918" t="n"/>
      <c r="C16" s="948" t="n"/>
      <c r="D16" s="948" t="n"/>
      <c r="E16" s="948" t="n"/>
      <c r="F16" s="948" t="n"/>
    </row>
    <row r="17" ht="15" customHeight="1" s="1025">
      <c r="A17" s="918" t="n"/>
      <c r="B17" s="918" t="n"/>
      <c r="C17" s="948" t="n"/>
      <c r="D17" s="948" t="n"/>
      <c r="E17" s="948" t="n"/>
      <c r="F17" s="948" t="n"/>
    </row>
    <row r="18" ht="15" customHeight="1" s="1025">
      <c r="A18" s="918" t="n"/>
      <c r="B18" s="918" t="n"/>
      <c r="C18" s="948" t="n"/>
      <c r="D18" s="948" t="n"/>
      <c r="E18" s="948" t="n"/>
      <c r="F18" s="948" t="n"/>
    </row>
    <row r="19" ht="15" customHeight="1" s="1025">
      <c r="A19" s="918" t="n"/>
      <c r="B19" s="918" t="n"/>
      <c r="C19" s="948" t="n"/>
      <c r="D19" s="948" t="n"/>
      <c r="E19" s="948" t="n"/>
      <c r="F19" s="948" t="n"/>
    </row>
    <row r="20" ht="15" customHeight="1" s="1025">
      <c r="A20" s="918" t="n"/>
      <c r="B20" s="918" t="n"/>
      <c r="C20" s="948" t="n"/>
      <c r="D20" s="948" t="n"/>
      <c r="E20" s="948" t="n"/>
      <c r="F20" s="948" t="n"/>
    </row>
    <row r="21" ht="15" customHeight="1" s="1025">
      <c r="A21" s="918" t="n"/>
      <c r="B21" s="918" t="n"/>
      <c r="C21" s="948" t="n"/>
      <c r="D21" s="948" t="n"/>
      <c r="E21" s="948" t="n"/>
      <c r="F21" s="948" t="n"/>
    </row>
    <row r="22" ht="15" customHeight="1" s="1025">
      <c r="A22" s="918" t="n"/>
      <c r="B22" s="918" t="n"/>
      <c r="C22" s="948" t="n"/>
      <c r="D22" s="948" t="n"/>
      <c r="E22" s="948" t="n"/>
      <c r="F22" s="948" t="n"/>
    </row>
    <row r="23">
      <c r="A23" s="918" t="n"/>
      <c r="B23" s="918" t="n"/>
      <c r="C23" s="948" t="n"/>
      <c r="D23" s="948" t="n"/>
      <c r="E23" s="948" t="n"/>
      <c r="F23" s="948" t="n"/>
    </row>
    <row r="24">
      <c r="A24" s="918" t="n"/>
      <c r="B24" s="918" t="n"/>
      <c r="C24" s="948" t="n"/>
      <c r="D24" s="948" t="n"/>
      <c r="E24" s="948" t="n"/>
      <c r="F24" s="948" t="n"/>
    </row>
    <row r="25">
      <c r="A25" s="918" t="n"/>
      <c r="B25" s="918" t="n"/>
      <c r="C25" s="948" t="n"/>
      <c r="D25" s="948" t="n"/>
      <c r="E25" s="948" t="n"/>
      <c r="F25" s="948" t="n"/>
    </row>
    <row r="26">
      <c r="A26" s="918" t="n"/>
      <c r="B26" s="918" t="n"/>
      <c r="C26" s="948" t="n"/>
      <c r="D26" s="948" t="n"/>
      <c r="E26" s="948" t="n"/>
      <c r="F26" s="948" t="n"/>
    </row>
    <row r="27">
      <c r="A27" s="918" t="n"/>
      <c r="B27" s="918" t="n"/>
      <c r="C27" s="948" t="n"/>
      <c r="D27" s="948" t="n"/>
      <c r="E27" s="948" t="n"/>
      <c r="F27" s="948" t="n"/>
    </row>
    <row r="28">
      <c r="A28" s="918" t="n"/>
      <c r="B28" s="918" t="n"/>
      <c r="C28" s="948" t="n"/>
      <c r="D28" s="948" t="n"/>
      <c r="E28" s="948" t="n"/>
      <c r="F28" s="948" t="n"/>
    </row>
    <row r="29">
      <c r="A29" s="918" t="n"/>
      <c r="B29" s="918" t="n"/>
      <c r="C29" s="948" t="n"/>
      <c r="D29" s="948" t="n"/>
      <c r="E29" s="948" t="n"/>
      <c r="F29" s="948" t="n"/>
    </row>
    <row r="30">
      <c r="A30" s="918" t="n"/>
      <c r="B30" s="918" t="n"/>
      <c r="C30" s="948" t="n"/>
      <c r="D30" s="948" t="n"/>
      <c r="E30" s="948" t="n"/>
      <c r="F30" s="948" t="n"/>
    </row>
    <row r="31">
      <c r="A31" s="918" t="n"/>
      <c r="B31" s="918" t="n"/>
      <c r="C31" s="948" t="n"/>
      <c r="D31" s="948" t="n"/>
      <c r="E31" s="948" t="n"/>
      <c r="F31" s="948" t="n"/>
    </row>
    <row r="32">
      <c r="A32" s="918" t="n"/>
      <c r="B32" s="918" t="n"/>
      <c r="C32" s="948" t="n"/>
      <c r="D32" s="948" t="n"/>
      <c r="E32" s="948" t="n"/>
      <c r="F32" s="948" t="n"/>
    </row>
    <row r="33">
      <c r="A33" s="918" t="n"/>
      <c r="B33" s="918" t="n"/>
      <c r="C33" s="948" t="n"/>
      <c r="D33" s="948" t="n"/>
      <c r="E33" s="948" t="n"/>
      <c r="F33" s="948" t="n"/>
    </row>
    <row r="34">
      <c r="A34" s="918" t="n"/>
      <c r="B34" s="918" t="n"/>
      <c r="C34" s="948" t="n"/>
      <c r="D34" s="948" t="n"/>
      <c r="E34" s="948" t="n"/>
      <c r="F34" s="948" t="n"/>
    </row>
    <row r="35">
      <c r="A35" s="918" t="n"/>
      <c r="B35" s="918" t="n"/>
      <c r="C35" s="948" t="n"/>
      <c r="D35" s="948" t="n"/>
      <c r="E35" s="948" t="n"/>
      <c r="F35" s="948" t="n"/>
    </row>
    <row r="36">
      <c r="A36" s="918" t="n"/>
      <c r="B36" s="918" t="n"/>
      <c r="C36" s="948" t="n"/>
      <c r="D36" s="948" t="n"/>
      <c r="E36" s="948" t="n"/>
      <c r="F36" s="948" t="n"/>
    </row>
    <row r="37">
      <c r="A37" s="918" t="n"/>
      <c r="B37" s="918" t="n"/>
      <c r="C37" s="948" t="n"/>
      <c r="D37" s="948" t="n"/>
      <c r="E37" s="948" t="n"/>
      <c r="F37" s="948" t="n"/>
    </row>
    <row r="38">
      <c r="A38" s="918" t="n"/>
      <c r="B38" s="918" t="n"/>
      <c r="C38" s="948" t="n"/>
      <c r="D38" s="948" t="n"/>
      <c r="E38" s="948" t="n"/>
      <c r="F38" s="948" t="n"/>
    </row>
    <row r="39">
      <c r="A39" s="918" t="n"/>
      <c r="B39" s="918" t="n"/>
      <c r="C39" s="948" t="n"/>
      <c r="D39" s="948" t="n"/>
      <c r="E39" s="948" t="n"/>
      <c r="F39" s="948" t="n"/>
    </row>
    <row r="40">
      <c r="A40" s="918" t="n"/>
      <c r="B40" s="918" t="n"/>
      <c r="C40" s="948" t="n"/>
      <c r="D40" s="948" t="n"/>
      <c r="E40" s="948" t="n"/>
      <c r="F40" s="948" t="n"/>
    </row>
    <row r="41">
      <c r="A41" s="918" t="n"/>
      <c r="B41" s="918" t="n"/>
      <c r="C41" s="948" t="n"/>
      <c r="D41" s="948" t="n"/>
      <c r="E41" s="948" t="n"/>
      <c r="F41" s="948" t="n"/>
    </row>
    <row r="42">
      <c r="A42" s="918" t="n"/>
      <c r="B42" s="918" t="n"/>
      <c r="C42" s="948" t="n"/>
      <c r="D42" s="948" t="n"/>
      <c r="E42" s="948" t="n"/>
      <c r="F42" s="948" t="n"/>
    </row>
    <row r="43">
      <c r="A43" s="918" t="n"/>
      <c r="B43" s="918" t="n"/>
      <c r="C43" s="948" t="n"/>
      <c r="D43" s="948" t="n"/>
      <c r="E43" s="948" t="n"/>
      <c r="F43" s="948" t="n"/>
    </row>
    <row r="44">
      <c r="A44" s="918" t="n"/>
      <c r="B44" s="918" t="n"/>
      <c r="C44" s="948" t="n"/>
      <c r="D44" s="948" t="n"/>
      <c r="E44" s="948" t="n"/>
      <c r="F44" s="948" t="n"/>
    </row>
    <row r="45">
      <c r="A45" s="918" t="n"/>
      <c r="B45" s="918" t="n"/>
      <c r="C45" s="948" t="n"/>
      <c r="D45" s="948" t="n"/>
      <c r="E45" s="948" t="n"/>
      <c r="F45" s="948" t="n"/>
    </row>
    <row r="46">
      <c r="A46" s="918" t="n"/>
      <c r="B46" s="918" t="n"/>
      <c r="C46" s="948" t="n"/>
      <c r="D46" s="948" t="n"/>
      <c r="E46" s="948" t="n"/>
      <c r="F46" s="948" t="n"/>
    </row>
    <row r="47">
      <c r="A47" s="918" t="n"/>
      <c r="B47" s="918" t="n"/>
      <c r="C47" s="948" t="n"/>
      <c r="D47" s="948" t="n"/>
      <c r="E47" s="948" t="n"/>
      <c r="F47" s="948" t="n"/>
    </row>
    <row r="48">
      <c r="A48" s="918" t="n"/>
      <c r="B48" s="918" t="n"/>
      <c r="C48" s="948" t="n"/>
      <c r="D48" s="948" t="n"/>
      <c r="E48" s="948" t="n"/>
      <c r="F48" s="948" t="n"/>
    </row>
    <row r="49">
      <c r="A49" s="918" t="n"/>
      <c r="B49" s="918" t="n"/>
      <c r="C49" s="948" t="n"/>
      <c r="D49" s="948" t="n"/>
      <c r="E49" s="948" t="n"/>
      <c r="F49" s="948" t="n"/>
    </row>
    <row r="50">
      <c r="A50" s="918" t="n"/>
      <c r="B50" s="918" t="n"/>
      <c r="C50" s="948" t="n"/>
      <c r="D50" s="948" t="n"/>
      <c r="E50" s="948" t="n"/>
      <c r="F50" s="948" t="n"/>
    </row>
    <row r="51">
      <c r="A51" s="918" t="n"/>
      <c r="B51" s="918" t="n"/>
      <c r="C51" s="948" t="n"/>
      <c r="D51" s="948" t="n"/>
      <c r="E51" s="948" t="n"/>
      <c r="F51" s="948" t="n"/>
    </row>
    <row r="52">
      <c r="A52" s="918" t="n"/>
      <c r="B52" s="918" t="n"/>
      <c r="C52" s="948" t="n"/>
      <c r="D52" s="948" t="n"/>
      <c r="E52" s="948" t="n"/>
      <c r="F52" s="948" t="n"/>
    </row>
    <row r="53">
      <c r="A53" s="918" t="n"/>
      <c r="B53" s="918" t="n"/>
      <c r="C53" s="948" t="n"/>
      <c r="D53" s="948" t="n"/>
      <c r="E53" s="948" t="n"/>
      <c r="F53" s="948" t="n"/>
    </row>
    <row r="54">
      <c r="A54" s="918" t="n"/>
      <c r="B54" s="918" t="n"/>
      <c r="C54" s="948" t="n"/>
      <c r="D54" s="948" t="n"/>
      <c r="E54" s="948" t="n"/>
      <c r="F54" s="948" t="n"/>
    </row>
    <row r="55">
      <c r="A55" s="918" t="n"/>
      <c r="B55" s="918" t="n"/>
      <c r="C55" s="948" t="n"/>
      <c r="D55" s="948" t="n"/>
      <c r="E55" s="948" t="n"/>
      <c r="F55" s="948" t="n"/>
    </row>
    <row r="56">
      <c r="A56" s="918" t="n"/>
      <c r="B56" s="918" t="n"/>
      <c r="C56" s="948" t="n"/>
      <c r="D56" s="948" t="n"/>
      <c r="E56" s="948" t="n"/>
      <c r="F56" s="948" t="n"/>
    </row>
    <row r="57">
      <c r="A57" s="918" t="n"/>
      <c r="B57" s="918" t="n"/>
      <c r="C57" s="948" t="n"/>
      <c r="D57" s="948" t="n"/>
      <c r="E57" s="948" t="n"/>
      <c r="F57" s="948" t="n"/>
    </row>
    <row r="58">
      <c r="A58" s="918" t="n"/>
      <c r="B58" s="918" t="n"/>
      <c r="C58" s="948" t="n"/>
      <c r="D58" s="948" t="n"/>
      <c r="E58" s="948" t="n"/>
      <c r="F58" s="948" t="n"/>
    </row>
    <row r="59">
      <c r="A59" s="918" t="n"/>
      <c r="B59" s="918" t="n"/>
      <c r="C59" s="948" t="n"/>
      <c r="D59" s="948" t="n"/>
      <c r="E59" s="948" t="n"/>
      <c r="F59" s="948" t="n"/>
    </row>
    <row r="60">
      <c r="A60" s="918" t="n"/>
      <c r="B60" s="918" t="n"/>
      <c r="C60" s="948" t="n"/>
      <c r="D60" s="948" t="n"/>
      <c r="E60" s="948" t="n"/>
      <c r="F60" s="948" t="n"/>
    </row>
    <row r="61">
      <c r="A61" s="918" t="n"/>
      <c r="B61" s="918" t="n"/>
      <c r="C61" s="948" t="n"/>
      <c r="D61" s="948" t="n"/>
      <c r="E61" s="948" t="n"/>
      <c r="F61" s="948" t="n"/>
    </row>
    <row r="62">
      <c r="A62" s="918" t="n"/>
      <c r="B62" s="918" t="n"/>
      <c r="C62" s="948" t="n"/>
      <c r="D62" s="948" t="n"/>
      <c r="E62" s="948" t="n"/>
      <c r="F62" s="948" t="n"/>
    </row>
    <row r="63">
      <c r="A63" s="918" t="n"/>
      <c r="B63" s="918" t="n"/>
      <c r="C63" s="948" t="n"/>
      <c r="D63" s="948" t="n"/>
      <c r="E63" s="948" t="n"/>
      <c r="F63" s="948" t="n"/>
    </row>
    <row r="64">
      <c r="A64" s="918" t="n"/>
      <c r="B64" s="918" t="n"/>
      <c r="C64" s="948" t="n"/>
      <c r="D64" s="948" t="n"/>
      <c r="E64" s="948" t="n"/>
      <c r="F64" s="948" t="n"/>
    </row>
    <row r="65">
      <c r="A65" s="918" t="n"/>
      <c r="B65" s="918" t="n"/>
      <c r="C65" s="948" t="n"/>
      <c r="D65" s="948" t="n"/>
      <c r="E65" s="948" t="n"/>
      <c r="F65" s="948" t="n"/>
    </row>
    <row r="66">
      <c r="A66" s="918" t="n"/>
      <c r="B66" s="918" t="n"/>
      <c r="C66" s="948" t="n"/>
      <c r="D66" s="948" t="n"/>
      <c r="E66" s="948" t="n"/>
      <c r="F66" s="948" t="n"/>
    </row>
    <row r="67">
      <c r="A67" s="918" t="n"/>
      <c r="B67" s="918" t="n"/>
      <c r="C67" s="948" t="n"/>
      <c r="D67" s="948" t="n"/>
      <c r="E67" s="948" t="n"/>
      <c r="F67" s="948" t="n"/>
    </row>
    <row r="68">
      <c r="A68" s="918" t="n"/>
      <c r="B68" s="918" t="n"/>
      <c r="C68" s="948" t="n"/>
      <c r="D68" s="948" t="n"/>
      <c r="E68" s="948" t="n"/>
      <c r="F68" s="948" t="n"/>
    </row>
    <row r="69">
      <c r="A69" s="918" t="n"/>
      <c r="B69" s="918" t="n"/>
      <c r="C69" s="948" t="n"/>
      <c r="D69" s="948" t="n"/>
      <c r="E69" s="948" t="n"/>
      <c r="F69" s="948" t="n"/>
    </row>
    <row r="70">
      <c r="A70" s="918" t="n"/>
      <c r="B70" s="918" t="n"/>
      <c r="C70" s="948" t="n"/>
      <c r="D70" s="948" t="n"/>
      <c r="E70" s="948" t="n"/>
      <c r="F70" s="948" t="n"/>
    </row>
    <row r="71">
      <c r="A71" s="918" t="n"/>
      <c r="B71" s="918" t="n"/>
      <c r="C71" s="948" t="n"/>
      <c r="D71" s="948" t="n"/>
      <c r="E71" s="948" t="n"/>
      <c r="F71" s="948" t="n"/>
    </row>
    <row r="72">
      <c r="A72" s="918" t="n"/>
      <c r="B72" s="918" t="n"/>
      <c r="C72" s="948" t="n"/>
      <c r="D72" s="948" t="n"/>
      <c r="E72" s="948" t="n"/>
      <c r="F72" s="948" t="n"/>
    </row>
    <row r="73">
      <c r="A73" s="918" t="n"/>
      <c r="B73" s="918" t="n"/>
      <c r="C73" s="948" t="n"/>
      <c r="D73" s="948" t="n"/>
      <c r="E73" s="948" t="n"/>
      <c r="F73" s="948" t="n"/>
    </row>
    <row r="74">
      <c r="A74" s="918" t="n"/>
      <c r="B74" s="918" t="n"/>
      <c r="C74" s="948" t="n"/>
      <c r="D74" s="948" t="n"/>
      <c r="E74" s="948" t="n"/>
      <c r="F74" s="948" t="n"/>
    </row>
    <row r="75">
      <c r="A75" s="918" t="n"/>
      <c r="B75" s="918" t="n"/>
      <c r="C75" s="948" t="n"/>
      <c r="D75" s="948" t="n"/>
      <c r="E75" s="948" t="n"/>
      <c r="F75" s="948" t="n"/>
    </row>
    <row r="76">
      <c r="A76" s="918" t="n"/>
      <c r="B76" s="918" t="n"/>
      <c r="C76" s="948" t="n"/>
      <c r="D76" s="948" t="n"/>
      <c r="E76" s="948" t="n"/>
      <c r="F76" s="948" t="n"/>
    </row>
    <row r="77">
      <c r="A77" s="918" t="n"/>
      <c r="B77" s="918" t="n"/>
      <c r="C77" s="948" t="n"/>
      <c r="D77" s="948" t="n"/>
      <c r="E77" s="948" t="n"/>
      <c r="F77" s="948" t="n"/>
    </row>
    <row r="78">
      <c r="A78" s="918" t="n"/>
      <c r="B78" s="918" t="n"/>
      <c r="C78" s="948" t="n"/>
      <c r="D78" s="948" t="n"/>
      <c r="E78" s="948" t="n"/>
      <c r="F78" s="948" t="n"/>
    </row>
    <row r="79">
      <c r="A79" s="918" t="n"/>
      <c r="B79" s="918" t="n"/>
      <c r="C79" s="948" t="n"/>
      <c r="D79" s="948" t="n"/>
      <c r="E79" s="948" t="n"/>
      <c r="F79" s="948" t="n"/>
    </row>
    <row r="80">
      <c r="A80" s="918" t="n"/>
      <c r="B80" s="918" t="n"/>
      <c r="C80" s="948" t="n"/>
      <c r="D80" s="948" t="n"/>
      <c r="E80" s="948" t="n"/>
      <c r="F80" s="948" t="n"/>
    </row>
    <row r="81">
      <c r="A81" s="918" t="n"/>
      <c r="B81" s="918" t="n"/>
      <c r="C81" s="948" t="n"/>
      <c r="D81" s="948" t="n"/>
      <c r="E81" s="948" t="n"/>
      <c r="F81" s="948" t="n"/>
    </row>
    <row r="82">
      <c r="A82" s="918" t="n"/>
      <c r="B82" s="918" t="n"/>
      <c r="C82" s="948" t="n"/>
      <c r="D82" s="948" t="n"/>
      <c r="E82" s="948" t="n"/>
      <c r="F82" s="948" t="n"/>
    </row>
    <row r="83">
      <c r="A83" s="918" t="n"/>
      <c r="B83" s="918" t="n"/>
      <c r="C83" s="948" t="n"/>
      <c r="D83" s="948" t="n"/>
      <c r="E83" s="948" t="n"/>
      <c r="F83" s="948" t="n"/>
    </row>
    <row r="84">
      <c r="A84" s="918" t="n"/>
      <c r="B84" s="918" t="n"/>
      <c r="C84" s="948" t="n"/>
      <c r="D84" s="948" t="n"/>
      <c r="E84" s="948" t="n"/>
      <c r="F84" s="948" t="n"/>
    </row>
    <row r="85">
      <c r="A85" s="918" t="n"/>
      <c r="B85" s="918" t="n"/>
      <c r="C85" s="948" t="n"/>
      <c r="D85" s="948" t="n"/>
      <c r="E85" s="948" t="n"/>
      <c r="F85" s="948" t="n"/>
    </row>
    <row r="86">
      <c r="A86" s="918" t="n"/>
      <c r="B86" s="918" t="n"/>
      <c r="C86" s="948" t="n"/>
      <c r="D86" s="948" t="n"/>
      <c r="E86" s="948" t="n"/>
      <c r="F86" s="948" t="n"/>
    </row>
    <row r="87">
      <c r="A87" s="918" t="n"/>
      <c r="B87" s="918" t="n"/>
      <c r="C87" s="948" t="n"/>
      <c r="D87" s="948" t="n"/>
      <c r="E87" s="948" t="n"/>
      <c r="F87" s="948" t="n"/>
    </row>
    <row r="88">
      <c r="A88" s="918" t="n"/>
      <c r="B88" s="918" t="n"/>
      <c r="C88" s="948" t="n"/>
      <c r="D88" s="948" t="n"/>
      <c r="E88" s="948" t="n"/>
      <c r="F88" s="948" t="n"/>
    </row>
    <row r="89">
      <c r="A89" s="918" t="n"/>
      <c r="B89" s="918" t="n"/>
      <c r="C89" s="948" t="n"/>
      <c r="D89" s="948" t="n"/>
      <c r="E89" s="948" t="n"/>
      <c r="F89" s="948" t="n"/>
    </row>
    <row r="90">
      <c r="A90" s="918" t="n"/>
      <c r="B90" s="918" t="n"/>
      <c r="C90" s="948" t="n"/>
      <c r="D90" s="948" t="n"/>
      <c r="E90" s="948" t="n"/>
      <c r="F90" s="948" t="n"/>
    </row>
    <row r="91">
      <c r="A91" s="918" t="n"/>
      <c r="B91" s="918" t="n"/>
      <c r="C91" s="948" t="n"/>
      <c r="D91" s="948" t="n"/>
      <c r="E91" s="948" t="n"/>
      <c r="F91" s="948" t="n"/>
    </row>
    <row r="92">
      <c r="A92" s="918" t="n"/>
      <c r="B92" s="918" t="n"/>
      <c r="C92" s="948" t="n"/>
      <c r="D92" s="948" t="n"/>
      <c r="E92" s="948" t="n"/>
      <c r="F92" s="948" t="n"/>
    </row>
    <row r="93">
      <c r="A93" s="918" t="n"/>
      <c r="B93" s="918" t="n"/>
      <c r="C93" s="948" t="n"/>
      <c r="D93" s="948" t="n"/>
      <c r="E93" s="948" t="n"/>
      <c r="F93" s="948" t="n"/>
    </row>
    <row r="94">
      <c r="A94" s="918" t="n"/>
      <c r="B94" s="918" t="n"/>
      <c r="C94" s="948" t="n"/>
      <c r="D94" s="948" t="n"/>
      <c r="E94" s="948" t="n"/>
      <c r="F94" s="948" t="n"/>
    </row>
    <row r="95">
      <c r="A95" s="918" t="n"/>
      <c r="B95" s="918" t="n"/>
      <c r="C95" s="948" t="n"/>
      <c r="D95" s="948" t="n"/>
      <c r="E95" s="948" t="n"/>
      <c r="F95" s="948" t="n"/>
    </row>
    <row r="96">
      <c r="A96" s="918" t="n"/>
      <c r="B96" s="918" t="n"/>
      <c r="C96" s="948" t="n"/>
      <c r="D96" s="948" t="n"/>
      <c r="E96" s="948" t="n"/>
      <c r="F96" s="948" t="n"/>
    </row>
    <row r="97">
      <c r="A97" s="918" t="n"/>
      <c r="B97" s="918" t="n"/>
      <c r="C97" s="948" t="n"/>
      <c r="D97" s="948" t="n"/>
      <c r="E97" s="948" t="n"/>
      <c r="F97" s="948" t="n"/>
    </row>
    <row r="98">
      <c r="A98" s="918" t="n"/>
      <c r="B98" s="918" t="n"/>
      <c r="C98" s="948" t="n"/>
      <c r="D98" s="948" t="n"/>
      <c r="E98" s="948" t="n"/>
      <c r="F98" s="948" t="n"/>
    </row>
    <row r="99">
      <c r="A99" s="918" t="n"/>
      <c r="B99" s="918" t="n"/>
      <c r="C99" s="948" t="n"/>
      <c r="D99" s="948" t="n"/>
      <c r="E99" s="948" t="n"/>
      <c r="F99" s="948" t="n"/>
    </row>
    <row r="100">
      <c r="A100" s="918" t="n"/>
      <c r="B100" s="918" t="n"/>
      <c r="C100" s="948" t="n"/>
      <c r="D100" s="948" t="n"/>
      <c r="E100" s="948" t="n"/>
      <c r="F100" s="948" t="n"/>
    </row>
  </sheetData>
  <sheetProtection selectLockedCells="0" selectUnlockedCells="0" sheet="1" objects="0" insertRows="1" insertHyperlinks="1" autoFilter="1" scenarios="0" formatColumns="1" deleteColumns="1" insertColumns="1" pivotTables="1" deleteRows="1" formatCells="1" formatRows="1" sort="1"/>
  <mergeCells count="2">
    <mergeCell ref="A2:F2"/>
    <mergeCell ref="A1:F1"/>
  </mergeCells>
  <conditionalFormatting sqref="F5:F12">
    <cfRule type="cellIs" priority="3" operator="equal" dxfId="35" stopIfTrue="1">
      <formula>"正常"</formula>
    </cfRule>
    <cfRule type="cellIs" priority="4" operator="equal" dxfId="36" stopIfTrue="1">
      <formula>"检查"</formula>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15"/>
  <sheetViews>
    <sheetView showGridLines="0" workbookViewId="0">
      <pane ySplit="4" topLeftCell="A5" activePane="bottomLeft" state="frozen"/>
      <selection pane="bottomLeft" activeCell="A1" sqref="A1"/>
    </sheetView>
  </sheetViews>
  <sheetFormatPr baseColWidth="8" defaultColWidth="9" defaultRowHeight="16.79999923706055"/>
  <cols>
    <col width="24" customWidth="1" style="1025" min="1" max="1"/>
    <col width="32" customWidth="1" style="1025" min="2" max="2"/>
    <col width="72" customWidth="1" style="1025" min="3" max="3"/>
    <col width="20" customWidth="1" style="1025" min="4" max="4"/>
    <col width="44" customWidth="1" style="1025" min="5" max="5"/>
    <col width="34" customWidth="1" style="1025" min="6" max="6"/>
    <col width="34" customWidth="1" style="1025" min="7" max="7"/>
    <col width="44" customWidth="1" style="1025" min="8" max="8"/>
    <col width="8.430000305175781" customWidth="1" style="1025" min="9" max="9"/>
    <col width="35" customWidth="1" style="1025" min="10" max="10"/>
  </cols>
  <sheetData>
    <row r="1" ht="31" customHeight="1" s="1025">
      <c r="A1" s="914" t="inlineStr">
        <is>
          <t>系统现状</t>
        </is>
      </c>
      <c r="B1" s="635" t="n"/>
      <c r="C1" s="635" t="n"/>
      <c r="D1" s="635" t="n"/>
    </row>
    <row r="2" ht="32" customHeight="1" s="1025">
      <c r="A2" s="1055" t="inlineStr">
        <is>
          <t>模式：存量改造 | 截止日期：2026-08-19 | 代码仓库：客户门户仓库@0123456789ab | 排除范围：上线后驻场支持、旧系统退役、ERP 库存核算改造、总账系统改造</t>
        </is>
      </c>
      <c r="B2" s="1056" t="n"/>
      <c r="C2" s="1056" t="n"/>
      <c r="D2" s="1056" t="n"/>
    </row>
    <row r="3" ht="9" customHeight="1" s="1025">
      <c r="A3" s="918" t="n"/>
      <c r="B3" s="948" t="n"/>
      <c r="C3" s="918" t="n"/>
      <c r="D3" s="948" t="n"/>
      <c r="E3" s="948" t="n"/>
      <c r="F3" s="948" t="n"/>
      <c r="G3" s="948" t="n"/>
      <c r="H3" s="918" t="n"/>
    </row>
    <row r="4" ht="38" customHeight="1" s="1025">
      <c r="A4" s="644" t="inlineStr">
        <is>
          <t>主题名称</t>
        </is>
      </c>
      <c r="B4" s="644" t="inlineStr">
        <is>
          <t>现状条目名称</t>
        </is>
      </c>
      <c r="C4" s="644" t="inlineStr">
        <is>
          <t>现状描述</t>
        </is>
      </c>
      <c r="D4" s="644" t="inlineStr">
        <is>
          <t>起点可用性</t>
        </is>
      </c>
    </row>
    <row r="5" ht="36" customHeight="1" s="1025">
      <c r="A5" s="1057" t="inlineStr">
        <is>
          <t>应用与组件</t>
        </is>
      </c>
      <c r="B5" s="1053" t="inlineStr">
        <is>
          <t>可复用的客户档案框架</t>
        </is>
      </c>
      <c r="C5" s="1053" t="inlineStr">
        <is>
          <t>从现有客户档案页面、字段校验和服务框架开始。</t>
        </is>
      </c>
      <c r="D5" s="1057" t="inlineStr">
        <is>
          <t>当前已存在</t>
        </is>
      </c>
    </row>
    <row r="6" ht="36" customHeight="1" s="1025">
      <c r="A6" s="1057" t="inlineStr">
        <is>
          <t>数据与存储</t>
        </is>
      </c>
      <c r="B6" s="1053" t="inlineStr">
        <is>
          <t>既有会员主数据模型</t>
        </is>
      </c>
      <c r="C6" s="1053" t="inlineStr">
        <is>
          <t>复用统一会员号与基础属性表，新增等级历史和规则版本。</t>
        </is>
      </c>
      <c r="D6" s="1057" t="inlineStr">
        <is>
          <t>当前已存在</t>
        </is>
      </c>
    </row>
    <row r="7" ht="36" customHeight="1" s="1025">
      <c r="A7" s="1057" t="inlineStr">
        <is>
          <t>应用与组件</t>
        </is>
      </c>
      <c r="B7" s="1053" t="inlineStr">
        <is>
          <t>既有订单服务与状态机</t>
        </is>
      </c>
      <c r="C7" s="1053" t="inlineStr">
        <is>
          <t>调整线上订单服务，扩展门店、退货退款和财务状态。</t>
        </is>
      </c>
      <c r="D7" s="1057" t="inlineStr">
        <is>
          <t>当前已存在</t>
        </is>
      </c>
    </row>
    <row r="8" ht="36" customHeight="1" s="1025">
      <c r="A8" s="1057" t="inlineStr">
        <is>
          <t>集成与外部依赖</t>
        </is>
      </c>
      <c r="B8" s="1053" t="inlineStr">
        <is>
          <t>既有 ERP 库存接口</t>
        </is>
      </c>
      <c r="C8" s="1053" t="inlineStr">
        <is>
          <t>接口契约保持不变，本项目完成认证、映射、适配和专项验证。</t>
        </is>
      </c>
      <c r="D8" s="1057" t="inlineStr">
        <is>
          <t>当前已存在</t>
        </is>
      </c>
    </row>
    <row r="9" ht="36" customHeight="1" s="1025">
      <c r="A9" s="1057" t="inlineStr">
        <is>
          <t>集成与外部依赖</t>
        </is>
      </c>
      <c r="B9" s="1053" t="inlineStr">
        <is>
          <t>既有支付网关租户</t>
        </is>
      </c>
      <c r="C9" s="1053" t="inlineStr">
        <is>
          <t>支付网关平台保持不变，本项目完成配置、认证、映射和专项验证。</t>
        </is>
      </c>
      <c r="D9" s="1057" t="inlineStr">
        <is>
          <t>当前已存在</t>
        </is>
      </c>
    </row>
    <row r="10" ht="36" customHeight="1" s="1025">
      <c r="A10" s="1057" t="inlineStr">
        <is>
          <t>集成与外部依赖</t>
        </is>
      </c>
      <c r="B10" s="1053" t="inlineStr">
        <is>
          <t>既有电子发票通道</t>
        </is>
      </c>
      <c r="C10" s="1053" t="inlineStr">
        <is>
          <t>电子发票平台保持不变，本项目完成租户设置、认证、映射和适配。</t>
        </is>
      </c>
      <c r="D10" s="1057" t="inlineStr">
        <is>
          <t>当前已存在</t>
        </is>
      </c>
    </row>
    <row r="11" ht="36" customHeight="1" s="1025">
      <c r="A11" s="1057" t="inlineStr">
        <is>
          <t>平台、环境与部署</t>
        </is>
      </c>
      <c r="B11" s="1053" t="inlineStr">
        <is>
          <t>既有生产环境与发布流水线</t>
        </is>
      </c>
      <c r="C11" s="1053" t="inlineStr">
        <is>
          <t>在现有集群与流水线中增加应用配置、发布步骤、切换和回滚清单。</t>
        </is>
      </c>
      <c r="D11" s="1057" t="inlineStr">
        <is>
          <t>当前已存在</t>
        </is>
      </c>
    </row>
    <row r="12" ht="36" customHeight="1" s="1025">
      <c r="A12" s="1057" t="inlineStr">
        <is>
          <t>安全与合规</t>
        </is>
      </c>
      <c r="B12" s="1053" t="inlineStr">
        <is>
          <t>既有会员授权中心</t>
        </is>
      </c>
      <c r="C12" s="1053" t="inlineStr">
        <is>
          <t>现有授权、撤回、查询与审计能力已完整覆盖本期目标。</t>
        </is>
      </c>
      <c r="D12" s="1057" t="inlineStr">
        <is>
          <t>当前已存在</t>
        </is>
      </c>
    </row>
    <row r="13" ht="36" customHeight="1" s="1025">
      <c r="A13" s="1057" t="inlineStr">
        <is>
          <t>能力与流程</t>
        </is>
      </c>
      <c r="B13" s="1053" t="inlineStr">
        <is>
          <t>既有订单消息通知服务</t>
        </is>
      </c>
      <c r="C13" s="1053" t="inlineStr">
        <is>
          <t>标准订单事件和现有通知通道已完整覆盖本期通知目标。</t>
        </is>
      </c>
      <c r="D13" s="1057" t="inlineStr">
        <is>
          <t>当前已存在</t>
        </is>
      </c>
    </row>
    <row r="14" ht="36" customHeight="1" s="1025">
      <c r="A14" s="1057" t="inlineStr">
        <is>
          <t>运维与质量</t>
        </is>
      </c>
      <c r="B14" s="1053" t="inlineStr">
        <is>
          <t>既有统一监控平台</t>
        </is>
      </c>
      <c r="C14" s="1053" t="inlineStr">
        <is>
          <t>复用日志、指标和链路平台，新增订单与财务作业监控。</t>
        </is>
      </c>
      <c r="D14" s="1057" t="inlineStr">
        <is>
          <t>当前已存在</t>
        </is>
      </c>
    </row>
    <row r="15" ht="36" customHeight="1" s="1025">
      <c r="A15" s="1057" t="inlineStr">
        <is>
          <t>运维与质量</t>
        </is>
      </c>
      <c r="B15" s="1053" t="inlineStr">
        <is>
          <t>既有回归测试资产</t>
        </is>
      </c>
      <c r="C15" s="1053" t="inlineStr">
        <is>
          <t>调整既有测试框架、测试用例、测试脚本、兼容矩阵与负载模型。</t>
        </is>
      </c>
      <c r="D15" s="1057" t="inlineStr">
        <is>
          <t>当前已存在</t>
        </is>
      </c>
    </row>
    <row r="17" ht="38" customHeight="1" s="1025"/>
    <row r="18" ht="36" customHeight="1" s="1025"/>
    <row r="19" ht="36" customHeight="1" s="1025"/>
    <row r="20" ht="36" customHeight="1" s="1025"/>
    <row r="21" ht="36" customHeight="1" s="1025"/>
    <row r="22" ht="36" customHeight="1" s="1025"/>
    <row r="23" ht="36" customHeight="1" s="1025"/>
    <row r="24" ht="36" customHeight="1" s="1025"/>
    <row r="25" ht="36" customHeight="1" s="1025"/>
  </sheetData>
  <mergeCells count="2">
    <mergeCell ref="A1:D1"/>
    <mergeCell ref="A2:D2"/>
  </mergeCells>
  <conditionalFormatting sqref="B5:B1004">
    <cfRule type="expression" priority="2" dxfId="39">
      <formula>AND(B5&lt;&gt;"",COUNTIF($B$5:$B$1004,B5)&gt;1)</formula>
    </cfRule>
  </conditionalFormatting>
  <dataValidations count="2">
    <dataValidation sqref="A5:A1004" showDropDown="0" showInputMessage="1" showErrorMessage="1" allowBlank="0" errorTitle="主题名称无效" error="请选择下拉列表中的主题名称。" promptTitle="主题名称" prompt="从九个系统现状主题中选择。" type="list" errorStyle="stop">
      <formula1>"系统边界与参与方,能力与流程,应用与组件,集成与外部依赖,数据与存储,平台、环境与部署,安全与合规,运维与质量,交付与约束"</formula1>
    </dataValidation>
    <dataValidation sqref="D5:D1004" showDropDown="0" showInputMessage="1" showErrorMessage="1" allowBlank="0" errorTitle="起点可用性无效" error="请选择“当前已存在”或“预计开工前具备”。" promptTitle="起点可用性" prompt="说明该条目现在已存在，还是预计在项目开工前具备。" type="list" errorStyle="stop">
      <formula1>"当前已存在,预计开工前具备"</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24" customWidth="1" style="1025" min="1" max="1"/>
    <col width="25" customWidth="1" style="1025" min="2" max="2"/>
    <col width="13" customWidth="1" style="1025" min="3" max="3"/>
    <col width="13" customWidth="1" style="1025" min="4" max="4"/>
    <col width="37" customWidth="1" style="1025" min="5" max="5"/>
    <col width="23" customWidth="1" style="1025" min="6" max="6"/>
  </cols>
  <sheetData>
    <row r="1" ht="31" customHeight="1" s="1025">
      <c r="A1" s="967" t="inlineStr">
        <is>
          <t>项目参数</t>
        </is>
      </c>
      <c r="B1" s="635" t="n"/>
      <c r="C1" s="635" t="n"/>
      <c r="D1" s="635" t="n"/>
      <c r="E1" s="635" t="n"/>
      <c r="F1" s="635" t="n"/>
    </row>
    <row r="2" ht="36" customHeight="1" s="1025">
      <c r="A2" s="968" t="inlineStr">
        <is>
          <t>全部项目级公式引用本表；包含任务复杂度系数、UAT/SIT 支持参数和取整规则，不包含敏捷或非开发角色人天。</t>
        </is>
      </c>
      <c r="B2" s="636" t="n"/>
      <c r="C2" s="636" t="n"/>
      <c r="D2" s="636" t="n"/>
      <c r="E2" s="636" t="n"/>
      <c r="F2" s="636" t="n"/>
    </row>
    <row r="3" ht="9" customHeight="1" s="1025">
      <c r="A3" s="948" t="n"/>
      <c r="B3" s="918" t="n"/>
      <c r="C3" s="948" t="n"/>
      <c r="D3" s="948" t="n"/>
      <c r="E3" s="918" t="n"/>
      <c r="F3" s="918" t="n"/>
    </row>
    <row r="4" ht="38" customHeight="1" s="1025">
      <c r="A4" s="949" t="inlineStr">
        <is>
          <t>参数代码</t>
        </is>
      </c>
      <c r="B4" s="949" t="inlineStr">
        <is>
          <t>名称</t>
        </is>
      </c>
      <c r="C4" s="949" t="inlineStr">
        <is>
          <t>值</t>
        </is>
      </c>
      <c r="D4" s="949" t="inlineStr">
        <is>
          <t>单位</t>
        </is>
      </c>
      <c r="E4" s="949" t="inlineStr">
        <is>
          <t>适用范围</t>
        </is>
      </c>
      <c r="F4" s="949" t="inlineStr">
        <is>
          <t>验证状态/说明</t>
        </is>
      </c>
    </row>
    <row r="5" ht="30" customHeight="1" s="1025">
      <c r="A5" s="969" t="inlineStr">
        <is>
          <t>K_COMPLEXITY_S</t>
        </is>
      </c>
      <c r="B5" s="970" t="inlineStr">
        <is>
          <t>S档复杂度系数</t>
        </is>
      </c>
      <c r="C5" s="971" t="n">
        <v>0.6</v>
      </c>
      <c r="D5" s="952" t="inlineStr">
        <is>
          <t>倍</t>
        </is>
      </c>
      <c r="E5" s="950" t="inlineStr">
        <is>
          <t>任务人天</t>
        </is>
      </c>
      <c r="F5" s="972" t="inlineStr">
        <is>
          <t>固定规则</t>
        </is>
      </c>
    </row>
    <row r="6" ht="30" customHeight="1" s="1025">
      <c r="A6" s="969" t="inlineStr">
        <is>
          <t>K_COMPLEXITY_M</t>
        </is>
      </c>
      <c r="B6" s="970" t="inlineStr">
        <is>
          <t>M档复杂度系数</t>
        </is>
      </c>
      <c r="C6" s="971" t="n">
        <v>1</v>
      </c>
      <c r="D6" s="952" t="inlineStr">
        <is>
          <t>倍</t>
        </is>
      </c>
      <c r="E6" s="950" t="inlineStr">
        <is>
          <t>任务人天</t>
        </is>
      </c>
      <c r="F6" s="972" t="inlineStr">
        <is>
          <t>固定规则</t>
        </is>
      </c>
    </row>
    <row r="7" ht="30" customHeight="1" s="1025">
      <c r="A7" s="969" t="inlineStr">
        <is>
          <t>K_COMPLEXITY_L</t>
        </is>
      </c>
      <c r="B7" s="970" t="inlineStr">
        <is>
          <t>L档复杂度系数</t>
        </is>
      </c>
      <c r="C7" s="971" t="n">
        <v>1.5</v>
      </c>
      <c r="D7" s="952" t="inlineStr">
        <is>
          <t>倍</t>
        </is>
      </c>
      <c r="E7" s="950" t="inlineStr">
        <is>
          <t>任务人天</t>
        </is>
      </c>
      <c r="F7" s="972" t="inlineStr">
        <is>
          <t>固定规则</t>
        </is>
      </c>
    </row>
    <row r="8" ht="30" customHeight="1" s="1025">
      <c r="A8" s="969" t="inlineStr">
        <is>
          <t>K_UAT</t>
        </is>
      </c>
      <c r="B8" s="970" t="inlineStr">
        <is>
          <t>UAT支持系数</t>
        </is>
      </c>
      <c r="C8" s="971" t="n">
        <v>0.05</v>
      </c>
      <c r="D8" s="952" t="inlineStr">
        <is>
          <t>%</t>
        </is>
      </c>
      <c r="E8" s="950" t="inlineStr">
        <is>
          <t>显式标记 UAT 适用的故事直接人天</t>
        </is>
      </c>
      <c r="F8" s="972" t="inlineStr">
        <is>
          <t>待样本校准</t>
        </is>
      </c>
    </row>
    <row r="9" ht="30" customHeight="1" s="1025">
      <c r="A9" s="969" t="inlineStr">
        <is>
          <t>SIT_INT_SUPPORT</t>
        </is>
      </c>
      <c r="B9" s="970" t="inlineStr">
        <is>
          <t>内部集成点SIT支持</t>
        </is>
      </c>
      <c r="C9" s="971" t="n">
        <v>0.5</v>
      </c>
      <c r="D9" s="952" t="inlineStr">
        <is>
          <t>人天/点</t>
        </is>
      </c>
      <c r="E9" s="950" t="inlineStr">
        <is>
          <t>开发交付估算</t>
        </is>
      </c>
      <c r="F9" s="972" t="inlineStr">
        <is>
          <t>待样本校准</t>
        </is>
      </c>
    </row>
    <row r="10" ht="30" customHeight="1" s="1025">
      <c r="A10" s="969" t="inlineStr">
        <is>
          <t>SIT_EXT_SUPPORT</t>
        </is>
      </c>
      <c r="B10" s="970" t="inlineStr">
        <is>
          <t>外部集成点SIT支持</t>
        </is>
      </c>
      <c r="C10" s="971" t="n">
        <v>1</v>
      </c>
      <c r="D10" s="952" t="inlineStr">
        <is>
          <t>人天/点</t>
        </is>
      </c>
      <c r="E10" s="950" t="inlineStr">
        <is>
          <t>开发交付估算</t>
        </is>
      </c>
      <c r="F10" s="972" t="inlineStr">
        <is>
          <t>待样本校准</t>
        </is>
      </c>
    </row>
    <row r="11" ht="30" customHeight="1" s="1025">
      <c r="A11" s="969" t="inlineStr">
        <is>
          <t>ROUND_STORY</t>
        </is>
      </c>
      <c r="B11" s="970" t="inlineStr">
        <is>
          <t>故事取整粒度</t>
        </is>
      </c>
      <c r="C11" s="971" t="n">
        <v>0.5</v>
      </c>
      <c r="D11" s="952" t="inlineStr">
        <is>
          <t>人天</t>
        </is>
      </c>
      <c r="E11" s="950" t="inlineStr">
        <is>
          <t>任务合计后向上取整</t>
        </is>
      </c>
      <c r="F11" s="972" t="inlineStr">
        <is>
          <t>固定规则</t>
        </is>
      </c>
    </row>
    <row r="12" ht="30" customHeight="1" s="1025">
      <c r="A12" s="969" t="inlineStr">
        <is>
          <t>ROUND_PROJECT</t>
        </is>
      </c>
      <c r="B12" s="970" t="inlineStr">
        <is>
          <t>项目级取整粒度</t>
        </is>
      </c>
      <c r="C12" s="971" t="n">
        <v>0.5</v>
      </c>
      <c r="D12" s="952" t="inlineStr">
        <is>
          <t>人天</t>
        </is>
      </c>
      <c r="E12" s="950" t="inlineStr">
        <is>
          <t>SIT、UAT分别向上取整；总计不再次取整</t>
        </is>
      </c>
      <c r="F12" s="972" t="inlineStr">
        <is>
          <t>固定规则</t>
        </is>
      </c>
    </row>
    <row r="13">
      <c r="A13" s="948" t="n"/>
      <c r="B13" s="918" t="n"/>
      <c r="C13" s="948" t="n"/>
      <c r="D13" s="948" t="n"/>
      <c r="E13" s="918" t="n"/>
      <c r="F13" s="918" t="n"/>
    </row>
    <row r="14">
      <c r="A14" s="948" t="n"/>
      <c r="B14" s="918" t="n"/>
      <c r="C14" s="948" t="n"/>
      <c r="D14" s="948" t="n"/>
      <c r="E14" s="918" t="n"/>
      <c r="F14" s="918" t="n"/>
    </row>
    <row r="15">
      <c r="A15" s="948" t="n"/>
      <c r="B15" s="918" t="n"/>
      <c r="C15" s="948" t="n"/>
      <c r="D15" s="948" t="n"/>
      <c r="E15" s="918" t="n"/>
      <c r="F15" s="918" t="n"/>
    </row>
    <row r="16">
      <c r="A16" s="948" t="n"/>
      <c r="B16" s="918" t="n"/>
      <c r="C16" s="948" t="n"/>
      <c r="D16" s="948" t="n"/>
      <c r="E16" s="918" t="n"/>
      <c r="F16" s="918" t="n"/>
    </row>
    <row r="17">
      <c r="A17" s="948" t="n"/>
      <c r="B17" s="918" t="n"/>
      <c r="C17" s="948" t="n"/>
      <c r="D17" s="948" t="n"/>
      <c r="E17" s="918" t="n"/>
      <c r="F17" s="918" t="n"/>
    </row>
    <row r="18">
      <c r="A18" s="948" t="n"/>
      <c r="B18" s="918" t="n"/>
      <c r="C18" s="948" t="n"/>
      <c r="D18" s="948" t="n"/>
      <c r="E18" s="918" t="n"/>
      <c r="F18" s="918" t="n"/>
    </row>
    <row r="19">
      <c r="A19" s="948" t="n"/>
      <c r="B19" s="918" t="n"/>
      <c r="C19" s="948" t="n"/>
      <c r="D19" s="948" t="n"/>
      <c r="E19" s="918" t="n"/>
      <c r="F19" s="918" t="n"/>
    </row>
    <row r="20">
      <c r="A20" s="948" t="n"/>
      <c r="B20" s="918" t="n"/>
      <c r="C20" s="948" t="n"/>
      <c r="D20" s="948" t="n"/>
      <c r="E20" s="918" t="n"/>
      <c r="F20" s="918" t="n"/>
    </row>
    <row r="21">
      <c r="A21" s="948" t="n"/>
      <c r="B21" s="918" t="n"/>
      <c r="C21" s="948" t="n"/>
      <c r="D21" s="948" t="n"/>
      <c r="E21" s="918" t="n"/>
      <c r="F21" s="918" t="n"/>
    </row>
    <row r="22">
      <c r="A22" s="948" t="n"/>
      <c r="B22" s="918" t="n"/>
      <c r="C22" s="948" t="n"/>
      <c r="D22" s="948" t="n"/>
      <c r="E22" s="918" t="n"/>
      <c r="F22" s="918" t="n"/>
    </row>
    <row r="23">
      <c r="A23" s="948" t="n"/>
      <c r="B23" s="918" t="n"/>
      <c r="C23" s="948" t="n"/>
      <c r="D23" s="948" t="n"/>
      <c r="E23" s="918" t="n"/>
      <c r="F23" s="918" t="n"/>
    </row>
    <row r="24">
      <c r="A24" s="948" t="n"/>
      <c r="B24" s="918" t="n"/>
      <c r="C24" s="948" t="n"/>
      <c r="D24" s="948" t="n"/>
      <c r="E24" s="918" t="n"/>
      <c r="F24" s="918" t="n"/>
    </row>
    <row r="25">
      <c r="A25" s="948" t="n"/>
      <c r="B25" s="918" t="n"/>
      <c r="C25" s="948" t="n"/>
      <c r="D25" s="948" t="n"/>
      <c r="E25" s="918" t="n"/>
      <c r="F25" s="918" t="n"/>
    </row>
    <row r="26">
      <c r="A26" s="948" t="n"/>
      <c r="B26" s="918" t="n"/>
      <c r="C26" s="948" t="n"/>
      <c r="D26" s="948" t="n"/>
      <c r="E26" s="918" t="n"/>
      <c r="F26" s="918" t="n"/>
    </row>
    <row r="27">
      <c r="A27" s="948" t="n"/>
      <c r="B27" s="918" t="n"/>
      <c r="C27" s="948" t="n"/>
      <c r="D27" s="948" t="n"/>
      <c r="E27" s="918" t="n"/>
      <c r="F27" s="918" t="n"/>
    </row>
    <row r="28">
      <c r="A28" s="948" t="n"/>
      <c r="B28" s="918" t="n"/>
      <c r="C28" s="948" t="n"/>
      <c r="D28" s="948" t="n"/>
      <c r="E28" s="918" t="n"/>
      <c r="F28" s="918" t="n"/>
    </row>
    <row r="29">
      <c r="A29" s="948" t="n"/>
      <c r="B29" s="918" t="n"/>
      <c r="C29" s="948" t="n"/>
      <c r="D29" s="948" t="n"/>
      <c r="E29" s="918" t="n"/>
      <c r="F29" s="918" t="n"/>
    </row>
    <row r="30">
      <c r="A30" s="948" t="n"/>
      <c r="B30" s="918" t="n"/>
      <c r="C30" s="948" t="n"/>
      <c r="D30" s="948" t="n"/>
      <c r="E30" s="918" t="n"/>
      <c r="F30" s="918" t="n"/>
    </row>
    <row r="31">
      <c r="A31" s="948" t="n"/>
      <c r="B31" s="918" t="n"/>
      <c r="C31" s="948" t="n"/>
      <c r="D31" s="948" t="n"/>
      <c r="E31" s="918" t="n"/>
      <c r="F31" s="918" t="n"/>
    </row>
    <row r="32">
      <c r="A32" s="948" t="n"/>
      <c r="B32" s="918" t="n"/>
      <c r="C32" s="948" t="n"/>
      <c r="D32" s="948" t="n"/>
      <c r="E32" s="918" t="n"/>
      <c r="F32" s="918" t="n"/>
    </row>
    <row r="33">
      <c r="A33" s="948" t="n"/>
      <c r="B33" s="918" t="n"/>
      <c r="C33" s="948" t="n"/>
      <c r="D33" s="948" t="n"/>
      <c r="E33" s="918" t="n"/>
      <c r="F33" s="918" t="n"/>
    </row>
    <row r="34">
      <c r="A34" s="948" t="n"/>
      <c r="B34" s="918" t="n"/>
      <c r="C34" s="948" t="n"/>
      <c r="D34" s="948" t="n"/>
      <c r="E34" s="918" t="n"/>
      <c r="F34" s="918" t="n"/>
    </row>
    <row r="35">
      <c r="A35" s="948" t="n"/>
      <c r="B35" s="918" t="n"/>
      <c r="C35" s="948" t="n"/>
      <c r="D35" s="948" t="n"/>
      <c r="E35" s="918" t="n"/>
      <c r="F35" s="918" t="n"/>
    </row>
    <row r="36">
      <c r="A36" s="948" t="n"/>
      <c r="B36" s="918" t="n"/>
      <c r="C36" s="948" t="n"/>
      <c r="D36" s="948" t="n"/>
      <c r="E36" s="918" t="n"/>
      <c r="F36" s="918" t="n"/>
    </row>
    <row r="37">
      <c r="A37" s="948" t="n"/>
      <c r="B37" s="918" t="n"/>
      <c r="C37" s="948" t="n"/>
      <c r="D37" s="948" t="n"/>
      <c r="E37" s="918" t="n"/>
      <c r="F37" s="918" t="n"/>
    </row>
    <row r="38">
      <c r="A38" s="948" t="n"/>
      <c r="B38" s="918" t="n"/>
      <c r="C38" s="948" t="n"/>
      <c r="D38" s="948" t="n"/>
      <c r="E38" s="918" t="n"/>
      <c r="F38" s="918" t="n"/>
    </row>
    <row r="39">
      <c r="A39" s="948" t="n"/>
      <c r="B39" s="918" t="n"/>
      <c r="C39" s="948" t="n"/>
      <c r="D39" s="948" t="n"/>
      <c r="E39" s="918" t="n"/>
      <c r="F39" s="918" t="n"/>
    </row>
    <row r="40">
      <c r="A40" s="948" t="n"/>
      <c r="B40" s="918" t="n"/>
      <c r="C40" s="948" t="n"/>
      <c r="D40" s="948" t="n"/>
      <c r="E40" s="918" t="n"/>
      <c r="F40" s="918" t="n"/>
    </row>
    <row r="41">
      <c r="A41" s="948" t="n"/>
      <c r="B41" s="918" t="n"/>
      <c r="C41" s="948" t="n"/>
      <c r="D41" s="948" t="n"/>
      <c r="E41" s="918" t="n"/>
      <c r="F41" s="918" t="n"/>
    </row>
    <row r="42">
      <c r="A42" s="948" t="n"/>
      <c r="B42" s="918" t="n"/>
      <c r="C42" s="948" t="n"/>
      <c r="D42" s="948" t="n"/>
      <c r="E42" s="918" t="n"/>
      <c r="F42" s="918" t="n"/>
    </row>
    <row r="43">
      <c r="A43" s="948" t="n"/>
      <c r="B43" s="918" t="n"/>
      <c r="C43" s="948" t="n"/>
      <c r="D43" s="948" t="n"/>
      <c r="E43" s="918" t="n"/>
      <c r="F43" s="918" t="n"/>
    </row>
    <row r="44">
      <c r="A44" s="948" t="n"/>
      <c r="B44" s="918" t="n"/>
      <c r="C44" s="948" t="n"/>
      <c r="D44" s="948" t="n"/>
      <c r="E44" s="918" t="n"/>
      <c r="F44" s="918" t="n"/>
    </row>
    <row r="45">
      <c r="A45" s="948" t="n"/>
      <c r="B45" s="918" t="n"/>
      <c r="C45" s="948" t="n"/>
      <c r="D45" s="948" t="n"/>
      <c r="E45" s="918" t="n"/>
      <c r="F45" s="918" t="n"/>
    </row>
    <row r="46">
      <c r="A46" s="948" t="n"/>
      <c r="B46" s="918" t="n"/>
      <c r="C46" s="948" t="n"/>
      <c r="D46" s="948" t="n"/>
      <c r="E46" s="918" t="n"/>
      <c r="F46" s="918" t="n"/>
    </row>
    <row r="47">
      <c r="A47" s="948" t="n"/>
      <c r="B47" s="918" t="n"/>
      <c r="C47" s="948" t="n"/>
      <c r="D47" s="948" t="n"/>
      <c r="E47" s="918" t="n"/>
      <c r="F47" s="918" t="n"/>
    </row>
    <row r="48">
      <c r="A48" s="948" t="n"/>
      <c r="B48" s="918" t="n"/>
      <c r="C48" s="948" t="n"/>
      <c r="D48" s="948" t="n"/>
      <c r="E48" s="918" t="n"/>
      <c r="F48" s="918" t="n"/>
    </row>
    <row r="49">
      <c r="A49" s="948" t="n"/>
      <c r="B49" s="918" t="n"/>
      <c r="C49" s="948" t="n"/>
      <c r="D49" s="948" t="n"/>
      <c r="E49" s="918" t="n"/>
      <c r="F49" s="918" t="n"/>
    </row>
    <row r="50">
      <c r="A50" s="948" t="n"/>
      <c r="B50" s="918" t="n"/>
      <c r="C50" s="948" t="n"/>
      <c r="D50" s="948" t="n"/>
      <c r="E50" s="918" t="n"/>
      <c r="F50" s="918" t="n"/>
    </row>
    <row r="51">
      <c r="A51" s="948" t="n"/>
      <c r="B51" s="918" t="n"/>
      <c r="C51" s="948" t="n"/>
      <c r="D51" s="948" t="n"/>
      <c r="E51" s="918" t="n"/>
      <c r="F51" s="918" t="n"/>
    </row>
    <row r="52">
      <c r="A52" s="948" t="n"/>
      <c r="B52" s="918" t="n"/>
      <c r="C52" s="948" t="n"/>
      <c r="D52" s="948" t="n"/>
      <c r="E52" s="918" t="n"/>
      <c r="F52" s="918" t="n"/>
    </row>
    <row r="53">
      <c r="A53" s="948" t="n"/>
      <c r="B53" s="918" t="n"/>
      <c r="C53" s="948" t="n"/>
      <c r="D53" s="948" t="n"/>
      <c r="E53" s="918" t="n"/>
      <c r="F53" s="918" t="n"/>
    </row>
    <row r="54">
      <c r="A54" s="948" t="n"/>
      <c r="B54" s="918" t="n"/>
      <c r="C54" s="948" t="n"/>
      <c r="D54" s="948" t="n"/>
      <c r="E54" s="918" t="n"/>
      <c r="F54" s="918" t="n"/>
    </row>
    <row r="55">
      <c r="A55" s="948" t="n"/>
      <c r="B55" s="918" t="n"/>
      <c r="C55" s="948" t="n"/>
      <c r="D55" s="948" t="n"/>
      <c r="E55" s="918" t="n"/>
      <c r="F55" s="918" t="n"/>
    </row>
    <row r="56">
      <c r="A56" s="948" t="n"/>
      <c r="B56" s="918" t="n"/>
      <c r="C56" s="948" t="n"/>
      <c r="D56" s="948" t="n"/>
      <c r="E56" s="918" t="n"/>
      <c r="F56" s="918" t="n"/>
    </row>
    <row r="57">
      <c r="A57" s="948" t="n"/>
      <c r="B57" s="918" t="n"/>
      <c r="C57" s="948" t="n"/>
      <c r="D57" s="948" t="n"/>
      <c r="E57" s="918" t="n"/>
      <c r="F57" s="918" t="n"/>
    </row>
    <row r="58">
      <c r="A58" s="948" t="n"/>
      <c r="B58" s="918" t="n"/>
      <c r="C58" s="948" t="n"/>
      <c r="D58" s="948" t="n"/>
      <c r="E58" s="918" t="n"/>
      <c r="F58" s="918" t="n"/>
    </row>
    <row r="59">
      <c r="A59" s="948" t="n"/>
      <c r="B59" s="918" t="n"/>
      <c r="C59" s="948" t="n"/>
      <c r="D59" s="948" t="n"/>
      <c r="E59" s="918" t="n"/>
      <c r="F59" s="918" t="n"/>
    </row>
    <row r="60">
      <c r="A60" s="948" t="n"/>
      <c r="B60" s="918" t="n"/>
      <c r="C60" s="948" t="n"/>
      <c r="D60" s="948" t="n"/>
      <c r="E60" s="918" t="n"/>
      <c r="F60" s="918" t="n"/>
    </row>
    <row r="61">
      <c r="A61" s="948" t="n"/>
      <c r="B61" s="918" t="n"/>
      <c r="C61" s="948" t="n"/>
      <c r="D61" s="948" t="n"/>
      <c r="E61" s="918" t="n"/>
      <c r="F61" s="918" t="n"/>
    </row>
    <row r="62">
      <c r="A62" s="948" t="n"/>
      <c r="B62" s="918" t="n"/>
      <c r="C62" s="948" t="n"/>
      <c r="D62" s="948" t="n"/>
      <c r="E62" s="918" t="n"/>
      <c r="F62" s="918" t="n"/>
    </row>
    <row r="63">
      <c r="A63" s="948" t="n"/>
      <c r="B63" s="918" t="n"/>
      <c r="C63" s="948" t="n"/>
      <c r="D63" s="948" t="n"/>
      <c r="E63" s="918" t="n"/>
      <c r="F63" s="918" t="n"/>
    </row>
    <row r="64">
      <c r="A64" s="948" t="n"/>
      <c r="B64" s="918" t="n"/>
      <c r="C64" s="948" t="n"/>
      <c r="D64" s="948" t="n"/>
      <c r="E64" s="918" t="n"/>
      <c r="F64" s="918" t="n"/>
    </row>
    <row r="65">
      <c r="A65" s="948" t="n"/>
      <c r="B65" s="918" t="n"/>
      <c r="C65" s="948" t="n"/>
      <c r="D65" s="948" t="n"/>
      <c r="E65" s="918" t="n"/>
      <c r="F65" s="918" t="n"/>
    </row>
    <row r="66">
      <c r="A66" s="948" t="n"/>
      <c r="B66" s="918" t="n"/>
      <c r="C66" s="948" t="n"/>
      <c r="D66" s="948" t="n"/>
      <c r="E66" s="918" t="n"/>
      <c r="F66" s="918" t="n"/>
    </row>
    <row r="67">
      <c r="A67" s="948" t="n"/>
      <c r="B67" s="918" t="n"/>
      <c r="C67" s="948" t="n"/>
      <c r="D67" s="948" t="n"/>
      <c r="E67" s="918" t="n"/>
      <c r="F67" s="918" t="n"/>
    </row>
    <row r="68">
      <c r="A68" s="948" t="n"/>
      <c r="B68" s="918" t="n"/>
      <c r="C68" s="948" t="n"/>
      <c r="D68" s="948" t="n"/>
      <c r="E68" s="918" t="n"/>
      <c r="F68" s="918" t="n"/>
    </row>
    <row r="69">
      <c r="A69" s="948" t="n"/>
      <c r="B69" s="918" t="n"/>
      <c r="C69" s="948" t="n"/>
      <c r="D69" s="948" t="n"/>
      <c r="E69" s="918" t="n"/>
      <c r="F69" s="918" t="n"/>
    </row>
    <row r="70">
      <c r="A70" s="948" t="n"/>
      <c r="B70" s="918" t="n"/>
      <c r="C70" s="948" t="n"/>
      <c r="D70" s="948" t="n"/>
      <c r="E70" s="918" t="n"/>
      <c r="F70" s="918" t="n"/>
    </row>
    <row r="71">
      <c r="A71" s="948" t="n"/>
      <c r="B71" s="918" t="n"/>
      <c r="C71" s="948" t="n"/>
      <c r="D71" s="948" t="n"/>
      <c r="E71" s="918" t="n"/>
      <c r="F71" s="918" t="n"/>
    </row>
    <row r="72">
      <c r="A72" s="948" t="n"/>
      <c r="B72" s="918" t="n"/>
      <c r="C72" s="948" t="n"/>
      <c r="D72" s="948" t="n"/>
      <c r="E72" s="918" t="n"/>
      <c r="F72" s="918" t="n"/>
    </row>
    <row r="73">
      <c r="A73" s="948" t="n"/>
      <c r="B73" s="918" t="n"/>
      <c r="C73" s="948" t="n"/>
      <c r="D73" s="948" t="n"/>
      <c r="E73" s="918" t="n"/>
      <c r="F73" s="918" t="n"/>
    </row>
    <row r="74">
      <c r="A74" s="948" t="n"/>
      <c r="B74" s="918" t="n"/>
      <c r="C74" s="948" t="n"/>
      <c r="D74" s="948" t="n"/>
      <c r="E74" s="918" t="n"/>
      <c r="F74" s="918" t="n"/>
    </row>
    <row r="75">
      <c r="A75" s="948" t="n"/>
      <c r="B75" s="918" t="n"/>
      <c r="C75" s="948" t="n"/>
      <c r="D75" s="948" t="n"/>
      <c r="E75" s="918" t="n"/>
      <c r="F75" s="918" t="n"/>
    </row>
    <row r="76">
      <c r="A76" s="948" t="n"/>
      <c r="B76" s="918" t="n"/>
      <c r="C76" s="948" t="n"/>
      <c r="D76" s="948" t="n"/>
      <c r="E76" s="918" t="n"/>
      <c r="F76" s="918" t="n"/>
    </row>
    <row r="77">
      <c r="A77" s="948" t="n"/>
      <c r="B77" s="918" t="n"/>
      <c r="C77" s="948" t="n"/>
      <c r="D77" s="948" t="n"/>
      <c r="E77" s="918" t="n"/>
      <c r="F77" s="918" t="n"/>
    </row>
    <row r="78">
      <c r="A78" s="948" t="n"/>
      <c r="B78" s="918" t="n"/>
      <c r="C78" s="948" t="n"/>
      <c r="D78" s="948" t="n"/>
      <c r="E78" s="918" t="n"/>
      <c r="F78" s="918" t="n"/>
    </row>
    <row r="79">
      <c r="A79" s="948" t="n"/>
      <c r="B79" s="918" t="n"/>
      <c r="C79" s="948" t="n"/>
      <c r="D79" s="948" t="n"/>
      <c r="E79" s="918" t="n"/>
      <c r="F79" s="918" t="n"/>
    </row>
    <row r="80">
      <c r="A80" s="948" t="n"/>
      <c r="B80" s="918" t="n"/>
      <c r="C80" s="948" t="n"/>
      <c r="D80" s="948" t="n"/>
      <c r="E80" s="918" t="n"/>
      <c r="F80" s="918" t="n"/>
    </row>
    <row r="81">
      <c r="A81" s="948" t="n"/>
      <c r="B81" s="918" t="n"/>
      <c r="C81" s="948" t="n"/>
      <c r="D81" s="948" t="n"/>
      <c r="E81" s="918" t="n"/>
      <c r="F81" s="918" t="n"/>
    </row>
    <row r="82">
      <c r="A82" s="948" t="n"/>
      <c r="B82" s="918" t="n"/>
      <c r="C82" s="948" t="n"/>
      <c r="D82" s="948" t="n"/>
      <c r="E82" s="918" t="n"/>
      <c r="F82" s="918" t="n"/>
    </row>
    <row r="83">
      <c r="A83" s="948" t="n"/>
      <c r="B83" s="918" t="n"/>
      <c r="C83" s="948" t="n"/>
      <c r="D83" s="948" t="n"/>
      <c r="E83" s="918" t="n"/>
      <c r="F83" s="918" t="n"/>
    </row>
    <row r="84">
      <c r="A84" s="948" t="n"/>
      <c r="B84" s="918" t="n"/>
      <c r="C84" s="948" t="n"/>
      <c r="D84" s="948" t="n"/>
      <c r="E84" s="918" t="n"/>
      <c r="F84" s="918" t="n"/>
    </row>
    <row r="85">
      <c r="A85" s="948" t="n"/>
      <c r="B85" s="918" t="n"/>
      <c r="C85" s="948" t="n"/>
      <c r="D85" s="948" t="n"/>
      <c r="E85" s="918" t="n"/>
      <c r="F85" s="918" t="n"/>
    </row>
    <row r="86">
      <c r="A86" s="948" t="n"/>
      <c r="B86" s="918" t="n"/>
      <c r="C86" s="948" t="n"/>
      <c r="D86" s="948" t="n"/>
      <c r="E86" s="918" t="n"/>
      <c r="F86" s="918" t="n"/>
    </row>
    <row r="87">
      <c r="A87" s="948" t="n"/>
      <c r="B87" s="918" t="n"/>
      <c r="C87" s="948" t="n"/>
      <c r="D87" s="948" t="n"/>
      <c r="E87" s="918" t="n"/>
      <c r="F87" s="918" t="n"/>
    </row>
    <row r="88">
      <c r="A88" s="948" t="n"/>
      <c r="B88" s="918" t="n"/>
      <c r="C88" s="948" t="n"/>
      <c r="D88" s="948" t="n"/>
      <c r="E88" s="918" t="n"/>
      <c r="F88" s="918" t="n"/>
    </row>
    <row r="89">
      <c r="A89" s="948" t="n"/>
      <c r="B89" s="918" t="n"/>
      <c r="C89" s="948" t="n"/>
      <c r="D89" s="948" t="n"/>
      <c r="E89" s="918" t="n"/>
      <c r="F89" s="918" t="n"/>
    </row>
    <row r="90">
      <c r="A90" s="948" t="n"/>
      <c r="B90" s="918" t="n"/>
      <c r="C90" s="948" t="n"/>
      <c r="D90" s="948" t="n"/>
      <c r="E90" s="918" t="n"/>
      <c r="F90" s="918" t="n"/>
    </row>
    <row r="91">
      <c r="A91" s="948" t="n"/>
      <c r="B91" s="918" t="n"/>
      <c r="C91" s="948" t="n"/>
      <c r="D91" s="948" t="n"/>
      <c r="E91" s="918" t="n"/>
      <c r="F91" s="918" t="n"/>
    </row>
    <row r="92">
      <c r="A92" s="948" t="n"/>
      <c r="B92" s="918" t="n"/>
      <c r="C92" s="948" t="n"/>
      <c r="D92" s="948" t="n"/>
      <c r="E92" s="918" t="n"/>
      <c r="F92" s="918" t="n"/>
    </row>
    <row r="93">
      <c r="A93" s="948" t="n"/>
      <c r="B93" s="918" t="n"/>
      <c r="C93" s="948" t="n"/>
      <c r="D93" s="948" t="n"/>
      <c r="E93" s="918" t="n"/>
      <c r="F93" s="918" t="n"/>
    </row>
    <row r="94">
      <c r="A94" s="948" t="n"/>
      <c r="B94" s="918" t="n"/>
      <c r="C94" s="948" t="n"/>
      <c r="D94" s="948" t="n"/>
      <c r="E94" s="918" t="n"/>
      <c r="F94" s="918" t="n"/>
    </row>
    <row r="95">
      <c r="A95" s="948" t="n"/>
      <c r="B95" s="918" t="n"/>
      <c r="C95" s="948" t="n"/>
      <c r="D95" s="948" t="n"/>
      <c r="E95" s="918" t="n"/>
      <c r="F95" s="918" t="n"/>
    </row>
    <row r="96">
      <c r="A96" s="948" t="n"/>
      <c r="B96" s="918" t="n"/>
      <c r="C96" s="948" t="n"/>
      <c r="D96" s="948" t="n"/>
      <c r="E96" s="918" t="n"/>
      <c r="F96" s="918" t="n"/>
    </row>
    <row r="97">
      <c r="A97" s="948" t="n"/>
      <c r="B97" s="918" t="n"/>
      <c r="C97" s="948" t="n"/>
      <c r="D97" s="948" t="n"/>
      <c r="E97" s="918" t="n"/>
      <c r="F97" s="918" t="n"/>
    </row>
    <row r="98">
      <c r="A98" s="948" t="n"/>
      <c r="B98" s="918" t="n"/>
      <c r="C98" s="948" t="n"/>
      <c r="D98" s="948" t="n"/>
      <c r="E98" s="918" t="n"/>
      <c r="F98" s="918" t="n"/>
    </row>
    <row r="99">
      <c r="A99" s="948" t="n"/>
      <c r="B99" s="918" t="n"/>
      <c r="C99" s="948" t="n"/>
      <c r="D99" s="948" t="n"/>
      <c r="E99" s="918" t="n"/>
      <c r="F99" s="918" t="n"/>
    </row>
    <row r="100">
      <c r="A100" s="948" t="n"/>
      <c r="B100" s="918" t="n"/>
      <c r="C100" s="948" t="n"/>
      <c r="D100" s="948" t="n"/>
      <c r="E100" s="918" t="n"/>
      <c r="F100" s="918" t="n"/>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N42"/>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18" customWidth="1" style="1025" min="1" max="1"/>
    <col width="16" customWidth="1" style="1025" min="2" max="2"/>
    <col hidden="1" width="28" customWidth="1" style="1025" min="3" max="3"/>
    <col width="23" customWidth="1" style="1025" min="4" max="4"/>
    <col width="32" customWidth="1" style="1025" min="5" max="5"/>
    <col width="43" customWidth="1" style="1025" min="6" max="6"/>
    <col width="37" customWidth="1" style="1025" min="7" max="7"/>
    <col width="14" customWidth="1" style="1025" min="8" max="8"/>
    <col width="14" customWidth="1" style="1025" min="9" max="9"/>
    <col width="17" customWidth="1" style="1025" min="10" max="10"/>
    <col width="39" customWidth="1" style="1025" min="11" max="11"/>
    <col width="39" customWidth="1" style="1025" min="12" max="12"/>
    <col width="41" customWidth="1" style="1025" min="13" max="13"/>
    <col width="44" customWidth="1" style="1025" min="14" max="14"/>
    <col width="34" customWidth="1" style="1025" min="15" max="15"/>
    <col width="3" customWidth="1" style="1025" min="16" max="16"/>
    <col width="14" customWidth="1" style="1025" min="17" max="17"/>
    <col width="34" customWidth="1" style="1025" min="18" max="18"/>
    <col width="3" customWidth="1" style="1025" min="19" max="19"/>
    <col width="34" customWidth="1" style="1025" min="20" max="20"/>
    <col width="17" customWidth="1" style="1025" min="21" max="21"/>
    <col width="40" customWidth="1" style="1025" min="22" max="22"/>
  </cols>
  <sheetData>
    <row r="1" ht="31" customHeight="1" s="1025">
      <c r="A1" s="967" t="inlineStr">
        <is>
          <t>基础单元与估算标准</t>
        </is>
      </c>
      <c r="B1" s="635" t="n"/>
      <c r="C1" s="635" t="n"/>
      <c r="D1" s="635" t="n"/>
      <c r="E1" s="635" t="n"/>
      <c r="F1" s="635" t="n"/>
      <c r="G1" s="635" t="n"/>
      <c r="H1" s="635" t="n"/>
      <c r="I1" s="635" t="n"/>
      <c r="J1" s="635" t="n"/>
      <c r="K1" s="635" t="n"/>
      <c r="L1" s="635" t="n"/>
      <c r="M1" s="635" t="n"/>
      <c r="N1" s="635" t="n"/>
    </row>
    <row r="2" ht="42" customHeight="1" s="1025">
      <c r="A2" s="968" t="inlineStr">
        <is>
          <t>一行一个基础单元；新建、调整、接入复用三列直接给出 M 档基础人天；❌ 表示该组合不适用。S/M/L/X 标准用于判断和拆分，不另设重复配置表。</t>
        </is>
      </c>
      <c r="B2" s="636" t="n"/>
      <c r="C2" s="636" t="n"/>
      <c r="D2" s="636" t="n"/>
      <c r="E2" s="636" t="n"/>
      <c r="F2" s="636" t="n"/>
      <c r="G2" s="636" t="n"/>
      <c r="H2" s="636" t="n"/>
      <c r="I2" s="636" t="n"/>
      <c r="J2" s="636" t="n"/>
      <c r="K2" s="636" t="n"/>
      <c r="L2" s="636" t="n"/>
      <c r="M2" s="636" t="n"/>
      <c r="N2" s="636" t="n"/>
    </row>
    <row r="3" ht="25" customHeight="1" s="1025">
      <c r="A3" s="973" t="inlineStr">
        <is>
          <t>分类与标识</t>
        </is>
      </c>
      <c r="B3" s="642" t="n"/>
      <c r="C3" s="642" t="n"/>
      <c r="D3" s="643" t="n"/>
      <c r="E3" s="976" t="inlineStr">
        <is>
          <t>计数与工作边界</t>
        </is>
      </c>
      <c r="F3" s="642" t="n"/>
      <c r="G3" s="643" t="n"/>
      <c r="H3" s="977" t="inlineStr">
        <is>
          <t>M档基础人天（按工作模式）</t>
        </is>
      </c>
      <c r="I3" s="642" t="n"/>
      <c r="J3" s="643" t="n"/>
      <c r="K3" s="978" t="inlineStr">
        <is>
          <t>复杂度判定标准</t>
        </is>
      </c>
      <c r="L3" s="642" t="n"/>
      <c r="M3" s="642" t="n"/>
      <c r="N3" s="643" t="n"/>
    </row>
    <row r="4" ht="42" customHeight="1" s="1025">
      <c r="A4" s="949" t="inlineStr">
        <is>
          <t>任务族ID</t>
        </is>
      </c>
      <c r="B4" s="949" t="inlineStr">
        <is>
          <t>任务族名称</t>
        </is>
      </c>
      <c r="C4" s="949" t="inlineStr">
        <is>
          <t>基础单元ID</t>
        </is>
      </c>
      <c r="D4" s="949" t="inlineStr">
        <is>
          <t>基础单元名称</t>
        </is>
      </c>
      <c r="E4" s="949" t="inlineStr">
        <is>
          <t>计数口径</t>
        </is>
      </c>
      <c r="F4" s="949" t="inlineStr">
        <is>
          <t>包含内容</t>
        </is>
      </c>
      <c r="G4" s="949" t="inlineStr">
        <is>
          <t>不包含内容</t>
        </is>
      </c>
      <c r="H4" s="949" t="inlineStr">
        <is>
          <t>新建M档人天</t>
        </is>
      </c>
      <c r="I4" s="949" t="inlineStr">
        <is>
          <t>调整M档人天</t>
        </is>
      </c>
      <c r="J4" s="949" t="inlineStr">
        <is>
          <t>接入复用M档人天</t>
        </is>
      </c>
      <c r="K4" s="949" t="inlineStr">
        <is>
          <t>S标准</t>
        </is>
      </c>
      <c r="L4" s="949" t="inlineStr">
        <is>
          <t>M标准</t>
        </is>
      </c>
      <c r="M4" s="949" t="inlineStr">
        <is>
          <t>L标准</t>
        </is>
      </c>
      <c r="N4" s="949" t="inlineStr">
        <is>
          <t>X/拆分条件</t>
        </is>
      </c>
    </row>
    <row r="5" ht="65" customHeight="1" s="1025">
      <c r="A5" s="979" t="inlineStr">
        <is>
          <t>TF-FRONTEND</t>
        </is>
      </c>
      <c r="B5" s="969" t="inlineStr">
        <is>
          <t>前端</t>
        </is>
      </c>
      <c r="C5" s="979" t="inlineStr">
        <is>
          <t>BU-UI-INTERACTION</t>
        </is>
      </c>
      <c r="D5" s="970" t="inlineStr">
        <is>
          <t>界面与交互</t>
        </is>
      </c>
      <c r="E5" s="950" t="inlineStr">
        <is>
          <t>一个可独立验收的界面，或一条紧密关联的交互流程</t>
        </is>
      </c>
      <c r="F5" s="950" t="inlineStr">
        <is>
          <t>界面结构与交互、状态管理、权限呈现、加载、空白和异常状态及开发自测</t>
        </is>
      </c>
      <c r="G5" s="950" t="inlineStr">
        <is>
          <t>后端服务和另行开展的测试</t>
        </is>
      </c>
      <c r="H5" s="980" t="n">
        <v>2.5</v>
      </c>
      <c r="I5" s="980" t="n">
        <v>1.5</v>
      </c>
      <c r="J5" s="980" t="inlineStr">
        <is>
          <t>❌</t>
        </is>
      </c>
      <c r="K5" s="972" t="inlineStr">
        <is>
          <t>1～2 种主要状态；标准组件；简单校验；单一角色</t>
        </is>
      </c>
      <c r="L5" s="972" t="inlineStr">
        <is>
          <t>3～5 种主要状态；条件联动；复杂表格、上传或多角色</t>
        </is>
      </c>
      <c r="M5" s="972" t="inlineStr">
        <is>
          <t>复杂状态机；实时或离线处理；跨界面状态恢复；严格无障碍或多终端适配</t>
        </is>
      </c>
      <c r="N5" s="972" t="inlineStr">
        <is>
          <t>包含多条可独立验收的交互流程，或跨多个应用</t>
        </is>
      </c>
    </row>
    <row r="6" ht="65" customHeight="1" s="1025">
      <c r="A6" s="979" t="inlineStr">
        <is>
          <t>TF-FRONTEND</t>
        </is>
      </c>
      <c r="B6" s="969" t="inlineStr">
        <is>
          <t>前端</t>
        </is>
      </c>
      <c r="C6" s="979" t="inlineStr">
        <is>
          <t>BU-UI-COMPONENT</t>
        </is>
      </c>
      <c r="D6" s="970" t="inlineStr">
        <is>
          <t>通用界面组件</t>
        </is>
      </c>
      <c r="E6" s="950" t="inlineStr">
        <is>
          <t>一个可独立发布和复用的组件；同一组件的紧密相关变体合并计算</t>
        </is>
      </c>
      <c r="F6" s="950" t="inlineStr">
        <is>
          <t>新建或调整时包括组件的属性、事件、状态、样式、主题适配、无障碍、示例和组件测试；接入复用时只包括当前项目的注册、主题适配、封装或必要验证</t>
        </is>
      </c>
      <c r="G6" s="950" t="inlineStr">
        <is>
          <t>具体界面的业务逻辑和普通组件调用</t>
        </is>
      </c>
      <c r="H6" s="980" t="n">
        <v>2</v>
      </c>
      <c r="I6" s="980" t="n">
        <v>1</v>
      </c>
      <c r="J6" s="980" t="n">
        <v>0.5</v>
      </c>
      <c r="K6" s="972" t="inlineStr">
        <is>
          <t>单一基础组件；状态和样式少；沿用现有设计规范</t>
        </is>
      </c>
      <c r="L6" s="972" t="inlineStr">
        <is>
          <t>一个组件及其紧密相关的状态变体；需要响应式、主题或无障碍适配</t>
        </is>
      </c>
      <c r="M6" s="972" t="inlineStr">
        <is>
          <t>复杂组合组件；自定义交互和状态管理；跨应用使用；涉及版本兼容或扩展机制</t>
        </is>
      </c>
      <c r="N6" s="972" t="inlineStr">
        <is>
          <t>包含多个可独立发布的组件，或需要建设完整组件库、设计规范体系</t>
        </is>
      </c>
    </row>
    <row r="7" ht="65" customHeight="1" s="1025">
      <c r="A7" s="979" t="inlineStr">
        <is>
          <t>TF-BACKEND</t>
        </is>
      </c>
      <c r="B7" s="969" t="inlineStr">
        <is>
          <t>后端</t>
        </is>
      </c>
      <c r="C7" s="979" t="inlineStr">
        <is>
          <t>BU-BUSINESS-SERVICE-API</t>
        </is>
      </c>
      <c r="D7" s="970" t="inlineStr">
        <is>
          <t>业务服务与接口</t>
        </is>
      </c>
      <c r="E7" s="950" t="inlineStr">
        <is>
          <t>一个业务操作及其直接相关的一组接口</t>
        </is>
      </c>
      <c r="F7" s="950" t="inlineStr">
        <is>
          <t>接口约定、业务校验、事务、权限、异常处理和单元验证</t>
        </is>
      </c>
      <c r="G7" s="950" t="inlineStr">
        <is>
          <t>前端界面和独立系统对接</t>
        </is>
      </c>
      <c r="H7" s="980" t="n">
        <v>2.5</v>
      </c>
      <c r="I7" s="980" t="n">
        <v>1.5</v>
      </c>
      <c r="J7" s="980" t="inlineStr">
        <is>
          <t>❌</t>
        </is>
      </c>
      <c r="K7" s="972" t="inlineStr">
        <is>
          <t>单个业务对象的增删改查；简单规则；单一事务；标准权限</t>
        </is>
      </c>
      <c r="L7" s="972" t="inlineStr">
        <is>
          <t>一个业务操作涉及多个业务对象；多条业务规则；异步处理或多角色权限</t>
        </is>
      </c>
      <c r="M7" s="972" t="inlineStr">
        <is>
          <t>单个业务操作需要跨服务编排、复杂状态机、幂等补偿、高并发或严格一致性</t>
        </is>
      </c>
      <c r="N7" s="972" t="inlineStr">
        <is>
          <t>包含多个可独立验收的业务操作，或需要跨多个服务分别交付</t>
        </is>
      </c>
    </row>
    <row r="8" ht="65" customHeight="1" s="1025">
      <c r="A8" s="979" t="inlineStr">
        <is>
          <t>TF-BACKEND</t>
        </is>
      </c>
      <c r="B8" s="969" t="inlineStr">
        <is>
          <t>后端</t>
        </is>
      </c>
      <c r="C8" s="979" t="inlineStr">
        <is>
          <t>BU-BACKGROUND-JOB</t>
        </is>
      </c>
      <c r="D8" s="970" t="inlineStr">
        <is>
          <t>后台任务</t>
        </is>
      </c>
      <c r="E8" s="950" t="inlineStr">
        <is>
          <t>一个可独立调度、运行和恢复的后台任务</t>
        </is>
      </c>
      <c r="F8" s="950" t="inlineStr">
        <is>
          <t>调度入口、批次处理、幂等重试、失败恢复、运行记录和自测</t>
        </is>
      </c>
      <c r="G8" s="950" t="inlineStr">
        <is>
          <t>通用调度平台建设</t>
        </is>
      </c>
      <c r="H8" s="980" t="n">
        <v>2.5</v>
      </c>
      <c r="I8" s="980" t="n">
        <v>1.5</v>
      </c>
      <c r="J8" s="980" t="inlineStr">
        <is>
          <t>❌</t>
        </is>
      </c>
      <c r="K8" s="972" t="inlineStr">
        <is>
          <t>单源单目标；简单调度；小数据量</t>
        </is>
      </c>
      <c r="L8" s="972" t="inlineStr">
        <is>
          <t>多步骤依赖；重试续跑；中等数据量；需要监控</t>
        </is>
      </c>
      <c r="M8" s="972" t="inlineStr">
        <is>
          <t>分片并行；严格批次窗口；断点恢复；大数据量或复杂补偿</t>
        </is>
      </c>
      <c r="N8" s="972" t="inlineStr">
        <is>
          <t>包含多个可独立调度的任务，或需要建设调度平台本身</t>
        </is>
      </c>
    </row>
    <row r="9" ht="65" customHeight="1" s="1025">
      <c r="A9" s="979" t="inlineStr">
        <is>
          <t>TF-BACKEND</t>
        </is>
      </c>
      <c r="B9" s="969" t="inlineStr">
        <is>
          <t>后端</t>
        </is>
      </c>
      <c r="C9" s="979" t="inlineStr">
        <is>
          <t>BU-EVENT-MESSAGE</t>
        </is>
      </c>
      <c r="D9" s="970" t="inlineStr">
        <is>
          <t>事件与消息处理</t>
        </is>
      </c>
      <c r="E9" s="950" t="inlineStr">
        <is>
          <t>一个事件方向下的一类消息及其处理流程</t>
        </is>
      </c>
      <c r="F9" s="950" t="inlineStr">
        <is>
          <t>消息格式和约定、发送与接收、路由、幂等、重试、死信处理、追踪和自测</t>
        </is>
      </c>
      <c r="G9" s="950" t="inlineStr">
        <is>
          <t>消息平台本身建设</t>
        </is>
      </c>
      <c r="H9" s="980" t="n">
        <v>3</v>
      </c>
      <c r="I9" s="980" t="n">
        <v>2</v>
      </c>
      <c r="J9" s="980" t="inlineStr">
        <is>
          <t>❌</t>
        </is>
      </c>
      <c r="K9" s="972" t="inlineStr">
        <is>
          <t>单生产者、单消费者；简单映射；允许重复</t>
        </is>
      </c>
      <c r="L9" s="972" t="inlineStr">
        <is>
          <t>单一事件方向下存在多个相关操作或消费者；需要顺序、重试、幂等或死信处理</t>
        </is>
      </c>
      <c r="M9" s="972" t="inlineStr">
        <is>
          <t>单一事件方向需要分布式事务、版本兼容、高吞吐或跨地域处理</t>
        </is>
      </c>
      <c r="N9" s="972" t="inlineStr">
        <is>
          <t>包含多个独立事件方向或消息类别，或需要建设消息平台本身</t>
        </is>
      </c>
    </row>
    <row r="10" ht="65" customHeight="1" s="1025">
      <c r="A10" s="979" t="inlineStr">
        <is>
          <t>TF-DATA-REPORTING</t>
        </is>
      </c>
      <c r="B10" s="969" t="inlineStr">
        <is>
          <t>数据与报表</t>
        </is>
      </c>
      <c r="C10" s="979" t="inlineStr">
        <is>
          <t>BU-DATA-MODEL</t>
        </is>
      </c>
      <c r="D10" s="970" t="inlineStr">
        <is>
          <t>数据模型与存储结构</t>
        </is>
      </c>
      <c r="E10" s="950" t="inlineStr">
        <is>
          <t>一个业务对象，或一组必须同时演进的紧密相关对象</t>
        </is>
      </c>
      <c r="F10" s="950" t="inlineStr">
        <is>
          <t>存储结构、关系、约束、索引、访问层和结构演进验证</t>
        </is>
      </c>
      <c r="G10" s="950" t="inlineStr">
        <is>
          <t>批量业务数据迁移</t>
        </is>
      </c>
      <c r="H10" s="980" t="n">
        <v>2.5</v>
      </c>
      <c r="I10" s="980" t="n">
        <v>1.5</v>
      </c>
      <c r="J10" s="980" t="inlineStr">
        <is>
          <t>❌</t>
        </is>
      </c>
      <c r="K10" s="972" t="inlineStr">
        <is>
          <t>1～2 个对象；简单关系和索引</t>
        </is>
      </c>
      <c r="L10" s="972" t="inlineStr">
        <is>
          <t>一组必须同时演进的 3～6 个相关对象；多约束、索引和结构迁移</t>
        </is>
      </c>
      <c r="M10" s="972" t="inlineStr">
        <is>
          <t>单一对象组存在复杂层级或图关系、分区分片、历史版本或零停机结构演进</t>
        </is>
      </c>
      <c r="N10" s="972" t="inlineStr">
        <is>
          <t>包含多个可独立演进的业务对象组，或需要整体重构存储架构</t>
        </is>
      </c>
    </row>
    <row r="11" ht="65" customHeight="1" s="1025">
      <c r="A11" s="979" t="inlineStr">
        <is>
          <t>TF-DATA-REPORTING</t>
        </is>
      </c>
      <c r="B11" s="969" t="inlineStr">
        <is>
          <t>数据与报表</t>
        </is>
      </c>
      <c r="C11" s="979" t="inlineStr">
        <is>
          <t>BU-REPORT-METRIC</t>
        </is>
      </c>
      <c r="D11" s="970" t="inlineStr">
        <is>
          <t>报表与指标</t>
        </is>
      </c>
      <c r="E11" s="950" t="inlineStr">
        <is>
          <t>一张可独立验收的报表，或一组使用同一数据口径的紧密相关指标</t>
        </is>
      </c>
      <c r="F11" s="950" t="inlineStr">
        <is>
          <t>指标口径、查询聚合、筛选钻取、权限、展示、导出和结果校验</t>
        </is>
      </c>
      <c r="G11" s="950" t="inlineStr">
        <is>
          <t>新增数据采集流程</t>
        </is>
      </c>
      <c r="H11" s="980" t="n">
        <v>2</v>
      </c>
      <c r="I11" s="980" t="n">
        <v>1.5</v>
      </c>
      <c r="J11" s="980" t="inlineStr">
        <is>
          <t>❌</t>
        </is>
      </c>
      <c r="K11" s="972" t="inlineStr">
        <is>
          <t>单一来源；简单汇总；固定筛选</t>
        </is>
      </c>
      <c r="L11" s="972" t="inlineStr">
        <is>
          <t>一张报表或一组同口径指标需要多表关联、计算、钻取或按角色过滤</t>
        </is>
      </c>
      <c r="M11" s="972" t="inlineStr">
        <is>
          <t>单一验收范围需要统一多个来源口径、复杂计算、近实时、大数据量或严格审计</t>
        </is>
      </c>
      <c r="N11" s="972" t="inlineStr">
        <is>
          <t>包含多张可独立验收的报表，或多组相互独立的指标口径</t>
        </is>
      </c>
    </row>
    <row r="12" ht="65" customHeight="1" s="1025">
      <c r="A12" s="979" t="inlineStr">
        <is>
          <t>TF-DATA-REPORTING</t>
        </is>
      </c>
      <c r="B12" s="969" t="inlineStr">
        <is>
          <t>数据与报表</t>
        </is>
      </c>
      <c r="C12" s="979" t="inlineStr">
        <is>
          <t>BU-DATA-PIPELINE</t>
        </is>
      </c>
      <c r="D12" s="970" t="inlineStr">
        <is>
          <t>数据处理流程</t>
        </is>
      </c>
      <c r="E12" s="950" t="inlineStr">
        <is>
          <t>一条可独立运行和验证的源到目标处理流程</t>
        </is>
      </c>
      <c r="F12" s="950" t="inlineStr">
        <is>
          <t>抽取、映射、转换、质量校验、调度、重试恢复和监控</t>
        </is>
      </c>
      <c r="G12" s="950" t="inlineStr">
        <is>
          <t>一次性数据迁移和发布切换</t>
        </is>
      </c>
      <c r="H12" s="980" t="n">
        <v>2.5</v>
      </c>
      <c r="I12" s="980" t="n">
        <v>1.5</v>
      </c>
      <c r="J12" s="980" t="inlineStr">
        <is>
          <t>❌</t>
        </is>
      </c>
      <c r="K12" s="972" t="inlineStr">
        <is>
          <t>单源单目标；简单映射；全量处理</t>
        </is>
      </c>
      <c r="L12" s="972" t="inlineStr">
        <is>
          <t>一条流程包含多步转换、增量处理、质量规则和调度依赖</t>
        </is>
      </c>
      <c r="M12" s="972" t="inlineStr">
        <is>
          <t>单一流程涉及多源血缘、CDC、流批结合、回放补数或严格时效</t>
        </is>
      </c>
      <c r="N12" s="972" t="inlineStr">
        <is>
          <t>包含多条可独立调度的处理流程，或需要建设数据处理平台本身</t>
        </is>
      </c>
    </row>
    <row r="13" ht="65" customHeight="1" s="1025">
      <c r="A13" s="979" t="inlineStr">
        <is>
          <t>TF-SYSTEM-INTEGRATION</t>
        </is>
      </c>
      <c r="B13" s="969" t="inlineStr">
        <is>
          <t>系统集成</t>
        </is>
      </c>
      <c r="C13" s="979" t="inlineStr">
        <is>
          <t>BU-INTERNAL-INTEGRATION</t>
        </is>
      </c>
      <c r="D13" s="970" t="inlineStr">
        <is>
          <t>内部系统对接</t>
        </is>
      </c>
      <c r="E13" s="950" t="inlineStr">
        <is>
          <t>一个集成记录所定义的单一交互方向</t>
        </is>
      </c>
      <c r="F13" s="950" t="inlineStr">
        <is>
          <t>接口定义、认证、数据转换与适配、幂等重试、异常处理和基本联调</t>
        </is>
      </c>
      <c r="G13" s="950" t="inlineStr">
        <is>
          <t>对端系统改造和另行开展的系统集成测试</t>
        </is>
      </c>
      <c r="H13" s="980" t="n">
        <v>2</v>
      </c>
      <c r="I13" s="980" t="n">
        <v>1.5</v>
      </c>
      <c r="J13" s="980" t="n">
        <v>1</v>
      </c>
      <c r="K13" s="972" t="inlineStr">
        <is>
          <t>同组织；稳定接口；单向；简单映射</t>
        </is>
      </c>
      <c r="L13" s="972" t="inlineStr">
        <is>
          <t>一个交互方向包含多个相关操作；跨团队；需要认证、重试或版本管理</t>
        </is>
      </c>
      <c r="M13" s="972" t="inlineStr">
        <is>
          <t>单一交互方向跨业务域；复杂一致性；联合发布或严格 SLA</t>
        </is>
      </c>
      <c r="N13" s="972" t="inlineStr">
        <is>
          <t>包含多个集成记录、多个交互方向，或对端系统改造也在本项目范围内</t>
        </is>
      </c>
    </row>
    <row r="14" ht="65" customHeight="1" s="1025">
      <c r="A14" s="979" t="inlineStr">
        <is>
          <t>TF-SYSTEM-INTEGRATION</t>
        </is>
      </c>
      <c r="B14" s="969" t="inlineStr">
        <is>
          <t>系统集成</t>
        </is>
      </c>
      <c r="C14" s="979" t="inlineStr">
        <is>
          <t>BU-EXTERNAL-INTEGRATION</t>
        </is>
      </c>
      <c r="D14" s="970" t="inlineStr">
        <is>
          <t>外部系统对接</t>
        </is>
      </c>
      <c r="E14" s="950" t="inlineStr">
        <is>
          <t>一个集成记录所定义的单一交互方向</t>
        </is>
      </c>
      <c r="F14" s="950" t="inlineStr">
        <is>
          <t>外部接口定义、连接认证、数据转换与适配、幂等重试、异常处理、环境配置和基本联调</t>
        </is>
      </c>
      <c r="G14" s="950" t="inlineStr">
        <is>
          <t>外部方实现和另行开展的系统集成测试</t>
        </is>
      </c>
      <c r="H14" s="980" t="n">
        <v>3</v>
      </c>
      <c r="I14" s="980" t="n">
        <v>2</v>
      </c>
      <c r="J14" s="980" t="n">
        <v>2</v>
      </c>
      <c r="K14" s="972" t="inlineStr">
        <is>
          <t>文档完整；标准协议和认证；单向</t>
        </is>
      </c>
      <c r="L14" s="972" t="inlineStr">
        <is>
          <t>一个交互方向包含多个相关接口；复杂映射；幂等重试；依赖外部测试环境</t>
        </is>
      </c>
      <c r="M14" s="972" t="inlineStr">
        <is>
          <t>单一交互方向使用专有协议；复杂对账；多方协调；严格安全、性能或可用性</t>
        </is>
      </c>
      <c r="N14" s="972" t="inlineStr">
        <is>
          <t>包含多个集成记录、多个交互方向，或外部方实现也计入本项目范围</t>
        </is>
      </c>
    </row>
    <row r="15" ht="65" customHeight="1" s="1025">
      <c r="A15" s="979" t="inlineStr">
        <is>
          <t>TF-QUALITY</t>
        </is>
      </c>
      <c r="B15" s="969" t="inlineStr">
        <is>
          <t>质量验证</t>
        </is>
      </c>
      <c r="C15" s="979" t="inlineStr">
        <is>
          <t>BU-MANUAL-TESTING</t>
        </is>
      </c>
      <c r="D15" s="970" t="inlineStr">
        <is>
          <t>人工测试</t>
        </is>
      </c>
      <c r="E15" s="950" t="inlineStr">
        <is>
          <t>约 10 条紧密相关的测试场景，或一个可独立出具结果的测试范围</t>
        </is>
      </c>
      <c r="F15" s="950" t="inlineStr">
        <is>
          <t>场景设计、测试数据、步骤与预期、执行、缺陷复测和结果记录</t>
        </is>
      </c>
      <c r="G15" s="950" t="inlineStr">
        <is>
          <t>自动化脚本实现</t>
        </is>
      </c>
      <c r="H15" s="980" t="n">
        <v>1.5</v>
      </c>
      <c r="I15" s="980" t="n">
        <v>1</v>
      </c>
      <c r="J15" s="980" t="inlineStr">
        <is>
          <t>❌</t>
        </is>
      </c>
      <c r="K15" s="972" t="inlineStr">
        <is>
          <t>约 10 条线性场景；单角色；环境和数据稳定</t>
        </is>
      </c>
      <c r="L15" s="972" t="inlineStr">
        <is>
          <t>约 10 条场景中存在多分支、多角色、跨模块或专门数据准备</t>
        </is>
      </c>
      <c r="M15" s="972" t="inlineStr">
        <is>
          <t>单一测试范围涉及跨系统异步、复杂权限或数据矩阵，并需要合规证据</t>
        </is>
      </c>
      <c r="N15" s="972" t="inlineStr">
        <is>
          <t>场景明显超过约 10 条，且可以分成多个独立测试范围</t>
        </is>
      </c>
    </row>
    <row r="16" ht="65" customHeight="1" s="1025">
      <c r="A16" s="979" t="inlineStr">
        <is>
          <t>TF-QUALITY</t>
        </is>
      </c>
      <c r="B16" s="969" t="inlineStr">
        <is>
          <t>质量验证</t>
        </is>
      </c>
      <c r="C16" s="979" t="inlineStr">
        <is>
          <t>BU-AUTOMATION-FRAMEWORK</t>
        </is>
      </c>
      <c r="D16" s="970" t="inlineStr">
        <is>
          <t>自动化测试框架</t>
        </is>
      </c>
      <c r="E16" s="950" t="inlineStr">
        <is>
          <t>一个应用或一类测试层级的自动化测试框架</t>
        </is>
      </c>
      <c r="F16" s="950" t="inlineStr">
        <is>
          <t>框架初始化、环境、测试数据准备、模拟服务、报告、CI 接入和示例流程</t>
        </is>
      </c>
      <c r="G16" s="950" t="inlineStr">
        <is>
          <t>大批量业务测试用例</t>
        </is>
      </c>
      <c r="H16" s="980" t="n">
        <v>4</v>
      </c>
      <c r="I16" s="980" t="n">
        <v>2.5</v>
      </c>
      <c r="J16" s="980" t="n">
        <v>2</v>
      </c>
      <c r="K16" s="972" t="inlineStr">
        <is>
          <t>标准技术栈；单应用；基础 CI 执行</t>
        </is>
      </c>
      <c r="L16" s="972" t="inlineStr">
        <is>
          <t>单应用包含 UI 与 API 多层、测试数据准备、报告和并行执行</t>
        </is>
      </c>
      <c r="M16" s="972" t="inlineStr">
        <is>
          <t>单应用需要多平台、服务虚拟化、大规模并行或复杂环境隔离</t>
        </is>
      </c>
      <c r="N16" s="972" t="inlineStr">
        <is>
          <t>包含多个应用，或多类彼此独立的自动化测试框架</t>
        </is>
      </c>
    </row>
    <row r="17" ht="65" customHeight="1" s="1025">
      <c r="A17" s="979" t="inlineStr">
        <is>
          <t>TF-QUALITY</t>
        </is>
      </c>
      <c r="B17" s="969" t="inlineStr">
        <is>
          <t>质量验证</t>
        </is>
      </c>
      <c r="C17" s="979" t="inlineStr">
        <is>
          <t>BU-AUTOMATION-CASES</t>
        </is>
      </c>
      <c r="D17" s="970" t="inlineStr">
        <is>
          <t>自动化测试用例</t>
        </is>
      </c>
      <c r="E17" s="950" t="inlineStr">
        <is>
          <t>约 10 条紧密相关且可重复执行的自动化场景</t>
        </is>
      </c>
      <c r="F17" s="950" t="inlineStr">
        <is>
          <t>相关自动化场景、测试数据准备、检查条件、执行和结果接入</t>
        </is>
      </c>
      <c r="G17" s="950" t="inlineStr">
        <is>
          <t>自动化测试框架建设</t>
        </is>
      </c>
      <c r="H17" s="980" t="n">
        <v>2</v>
      </c>
      <c r="I17" s="980" t="n">
        <v>1.5</v>
      </c>
      <c r="J17" s="980" t="inlineStr">
        <is>
          <t>❌</t>
        </is>
      </c>
      <c r="K17" s="972" t="inlineStr">
        <is>
          <t>约 10 条稳定 API 或简单 UI 场景；固定测试数据</t>
        </is>
      </c>
      <c r="L17" s="972" t="inlineStr">
        <is>
          <t>约 10 条场景存在分支流程、动态数据、异步等待或模拟外部依赖</t>
        </is>
      </c>
      <c r="M17" s="972" t="inlineStr">
        <is>
          <t>单一场景组贯穿多个系统，存在复杂流程协同、外部依赖或非功能检查</t>
        </is>
      </c>
      <c r="N17" s="972" t="inlineStr">
        <is>
          <t>场景明显超过约 10 条，或可以分成多个独立场景组</t>
        </is>
      </c>
    </row>
    <row r="18" ht="65" customHeight="1" s="1025">
      <c r="A18" s="979" t="inlineStr">
        <is>
          <t>TF-QUALITY</t>
        </is>
      </c>
      <c r="B18" s="969" t="inlineStr">
        <is>
          <t>质量验证</t>
        </is>
      </c>
      <c r="C18" s="979" t="inlineStr">
        <is>
          <t>BU-PERFORMANCE-TESTING</t>
        </is>
      </c>
      <c r="D18" s="970" t="inlineStr">
        <is>
          <t>性能与容量测试</t>
        </is>
      </c>
      <c r="E18" s="950" t="inlineStr">
        <is>
          <t>一个可独立出具结论的负载模型或测试范围</t>
        </is>
      </c>
      <c r="F18" s="950" t="inlineStr">
        <is>
          <t>负载模型、脚本、数据、执行、指标分析和报告</t>
        </is>
      </c>
      <c r="G18" s="950" t="inlineStr">
        <is>
          <t>性能问题修复和生产扩容实施</t>
        </is>
      </c>
      <c r="H18" s="980" t="n">
        <v>2.5</v>
      </c>
      <c r="I18" s="980" t="n">
        <v>1.5</v>
      </c>
      <c r="J18" s="980" t="inlineStr">
        <is>
          <t>❌</t>
        </is>
      </c>
      <c r="K18" s="972" t="inlineStr">
        <is>
          <t>单接口或界面；单一负载模型；标准阈值</t>
        </is>
      </c>
      <c r="L18" s="972" t="inlineStr">
        <is>
          <t>一个负载模型包含多场景、多指标、代表性数据和调优复测</t>
        </is>
      </c>
      <c r="M18" s="972" t="inlineStr">
        <is>
          <t>单一测试范围涉及分布式链路、峰值和长稳模型、容量评估或生产级数据规模</t>
        </is>
      </c>
      <c r="N18" s="972" t="inlineStr">
        <is>
          <t>包含多个独立负载模型，或需要长期专项调优</t>
        </is>
      </c>
    </row>
    <row r="19" ht="65" customHeight="1" s="1025">
      <c r="A19" s="979" t="inlineStr">
        <is>
          <t>TF-QUALITY</t>
        </is>
      </c>
      <c r="B19" s="969" t="inlineStr">
        <is>
          <t>质量验证</t>
        </is>
      </c>
      <c r="C19" s="979" t="inlineStr">
        <is>
          <t>BU-SECURITY-PRIVACY-TESTING</t>
        </is>
      </c>
      <c r="D19" s="970" t="inlineStr">
        <is>
          <t>安全与隐私测试</t>
        </is>
      </c>
      <c r="E19" s="950" t="inlineStr">
        <is>
          <t>一个应用或一条数据流的专项测试范围</t>
        </is>
      </c>
      <c r="F19" s="950" t="inlineStr">
        <is>
          <t>测试范围、测试用例或工具配置、执行、证据和报告</t>
        </is>
      </c>
      <c r="G19" s="950" t="inlineStr">
        <is>
          <t>安全问题整改</t>
        </is>
      </c>
      <c r="H19" s="980" t="n">
        <v>3</v>
      </c>
      <c r="I19" s="980" t="n">
        <v>2</v>
      </c>
      <c r="J19" s="980" t="inlineStr">
        <is>
          <t>❌</t>
        </is>
      </c>
      <c r="K19" s="972" t="inlineStr">
        <is>
          <t>标准扫描；单应用；常见配置检查</t>
        </is>
      </c>
      <c r="L19" s="972" t="inlineStr">
        <is>
          <t>认证授权、API 和数据流专项验证；部分人工检查</t>
        </is>
      </c>
      <c r="M19" s="972" t="inlineStr">
        <is>
          <t>高敏感数据；威胁建模；较深人工验证；需要较强合规证据</t>
        </is>
      </c>
      <c r="N19" s="972" t="inlineStr">
        <is>
          <t>需要由独立专业团队开展正式渗透测试或认证，或包含多个独立测试范围</t>
        </is>
      </c>
    </row>
    <row r="20" ht="65" customHeight="1" s="1025">
      <c r="A20" s="979" t="inlineStr">
        <is>
          <t>TF-QUALITY</t>
        </is>
      </c>
      <c r="B20" s="969" t="inlineStr">
        <is>
          <t>质量验证</t>
        </is>
      </c>
      <c r="C20" s="979" t="inlineStr">
        <is>
          <t>BU-COMPATIBILITY-ACCESSIBILITY-TESTING</t>
        </is>
      </c>
      <c r="D20" s="970" t="inlineStr">
        <is>
          <t>兼容性与无障碍测试</t>
        </is>
      </c>
      <c r="E20" s="950" t="inlineStr">
        <is>
          <t>一个明确的兼容矩阵或无障碍检查范围</t>
        </is>
      </c>
      <c r="F20" s="950" t="inlineStr">
        <is>
          <t>兼容范围或无障碍标准、场景、执行、问题和证据</t>
        </is>
      </c>
      <c r="G20" s="950" t="inlineStr">
        <is>
          <t>产品问题修复</t>
        </is>
      </c>
      <c r="H20" s="980" t="n">
        <v>2</v>
      </c>
      <c r="I20" s="980" t="n">
        <v>1.5</v>
      </c>
      <c r="J20" s="980" t="inlineStr">
        <is>
          <t>❌</t>
        </is>
      </c>
      <c r="K20" s="972" t="inlineStr">
        <is>
          <t>单浏览器或设备；标准检查</t>
        </is>
      </c>
      <c r="L20" s="972" t="inlineStr">
        <is>
          <t>一个明确矩阵内的多浏览器或设备、响应式、键盘和读屏验证</t>
        </is>
      </c>
      <c r="M20" s="972" t="inlineStr">
        <is>
          <t>单一产品范围涉及较大兼容矩阵、遗留环境或较深入的无障碍检查</t>
        </is>
      </c>
      <c r="N20" s="972" t="inlineStr">
        <is>
          <t>包含多个独立产品或平台矩阵，或需要正式无障碍审计</t>
        </is>
      </c>
    </row>
    <row r="21" ht="65" customHeight="1" s="1025">
      <c r="A21" s="979" t="inlineStr">
        <is>
          <t>TF-SHARED-TECH</t>
        </is>
      </c>
      <c r="B21" s="969" t="inlineStr">
        <is>
          <t>共性技术能力</t>
        </is>
      </c>
      <c r="C21" s="979" t="inlineStr">
        <is>
          <t>BU-I18N</t>
        </is>
      </c>
      <c r="D21" s="970" t="inlineStr">
        <is>
          <t>国际化支持</t>
        </is>
      </c>
      <c r="E21" s="950" t="inlineStr">
        <is>
          <t>一个应用或一个可独立发布的模块</t>
        </is>
      </c>
      <c r="F21" s="950" t="inlineStr">
        <is>
          <t>资源组织、语言切换、格式化、回退、伪本地化和基本验证</t>
        </is>
      </c>
      <c r="G21" s="950" t="inlineStr">
        <is>
          <t>业务内容翻译</t>
        </is>
      </c>
      <c r="H21" s="980" t="n">
        <v>3</v>
      </c>
      <c r="I21" s="980" t="n">
        <v>1.5</v>
      </c>
      <c r="J21" s="980" t="n">
        <v>1</v>
      </c>
      <c r="K21" s="972" t="inlineStr">
        <is>
          <t>资源提取；单一新增语言；标准格式</t>
        </is>
      </c>
      <c r="L21" s="972" t="inlineStr">
        <is>
          <t>一个应用或模块涉及复数、日期、货币和本地内容差异</t>
        </is>
      </c>
      <c r="M21" s="972" t="inlineStr">
        <is>
          <t>单一应用或模块涉及多语言工作流、从右向左书写、大量硬编码改造或动态内容</t>
        </is>
      </c>
      <c r="N21" s="972" t="inlineStr">
        <is>
          <t>包含多个可独立发布的应用或模块</t>
        </is>
      </c>
    </row>
    <row r="22" ht="65" customHeight="1" s="1025">
      <c r="A22" s="979" t="inlineStr">
        <is>
          <t>TF-SHARED-TECH</t>
        </is>
      </c>
      <c r="B22" s="969" t="inlineStr">
        <is>
          <t>共性技术能力</t>
        </is>
      </c>
      <c r="C22" s="979" t="inlineStr">
        <is>
          <t>BU-IDENTITY-ACCESS</t>
        </is>
      </c>
      <c r="D22" s="970" t="inlineStr">
        <is>
          <t>身份与权限管理</t>
        </is>
      </c>
      <c r="E22" s="950" t="inlineStr">
        <is>
          <t>一个资源范围内的一组角色、权限和策略</t>
        </is>
      </c>
      <c r="F22" s="950" t="inlineStr">
        <is>
          <t>角色、策略、授权规则、配置、审计挂接和权限验证</t>
        </is>
      </c>
      <c r="G22" s="950" t="inlineStr">
        <is>
          <t>独立身份系统对接</t>
        </is>
      </c>
      <c r="H22" s="980" t="n">
        <v>3</v>
      </c>
      <c r="I22" s="980" t="n">
        <v>2</v>
      </c>
      <c r="J22" s="980" t="n">
        <v>1.5</v>
      </c>
      <c r="K22" s="972" t="inlineStr">
        <is>
          <t>少量角色；标准 RBAC；单应用</t>
        </is>
      </c>
      <c r="L22" s="972" t="inlineStr">
        <is>
          <t>单一资源范围存在多角色、多资源或租户，并接入统一身份平台</t>
        </is>
      </c>
      <c r="M22" s="972" t="inlineStr">
        <is>
          <t>单一资源范围涉及 ABAC、委托授权、职责分离或跨系统权限一致性</t>
        </is>
      </c>
      <c r="N22" s="972" t="inlineStr">
        <is>
          <t>包含多个独立资源域，或需要改造统一身份平台本身</t>
        </is>
      </c>
    </row>
    <row r="23" ht="65" customHeight="1" s="1025">
      <c r="A23" s="979" t="inlineStr">
        <is>
          <t>TF-SHARED-TECH</t>
        </is>
      </c>
      <c r="B23" s="969" t="inlineStr">
        <is>
          <t>共性技术能力</t>
        </is>
      </c>
      <c r="C23" s="979" t="inlineStr">
        <is>
          <t>BU-SECURITY-PRIVACY</t>
        </is>
      </c>
      <c r="D23" s="970" t="inlineStr">
        <is>
          <t>安全与隐私保护</t>
        </is>
      </c>
      <c r="E23" s="950" t="inlineStr">
        <is>
          <t>一条数据流或一个明确的数据处理范围</t>
        </is>
      </c>
      <c r="F23" s="950" t="inlineStr">
        <is>
          <t>加密、脱敏、同意、留存或访问控制的实现、配置和基本验证</t>
        </is>
      </c>
      <c r="G23" s="950" t="inlineStr">
        <is>
          <t>另行开展的安全与隐私测试或认证</t>
        </is>
      </c>
      <c r="H23" s="980" t="n">
        <v>3</v>
      </c>
      <c r="I23" s="980" t="n">
        <v>2</v>
      </c>
      <c r="J23" s="980" t="n">
        <v>1.5</v>
      </c>
      <c r="K23" s="972" t="inlineStr">
        <is>
          <t>单一数据流；标准加密、脱敏或访问控制</t>
        </is>
      </c>
      <c r="L23" s="972" t="inlineStr">
        <is>
          <t>单一处理范围存在多跳数据流、数据分级、同意和审计要求</t>
        </is>
      </c>
      <c r="M23" s="972" t="inlineStr">
        <is>
          <t>单一处理范围涉及高敏感数据、跨境、复杂密钥管理或强监管要求</t>
        </is>
      </c>
      <c r="N23" s="972" t="inlineStr">
        <is>
          <t>包含多条独立数据流，或需要建设平台级安全能力</t>
        </is>
      </c>
    </row>
    <row r="24" ht="65" customHeight="1" s="1025">
      <c r="A24" s="979" t="inlineStr">
        <is>
          <t>TF-SHARED-TECH</t>
        </is>
      </c>
      <c r="B24" s="969" t="inlineStr">
        <is>
          <t>共性技术能力</t>
        </is>
      </c>
      <c r="C24" s="979" t="inlineStr">
        <is>
          <t>BU-OBSERVABILITY-AUDIT</t>
        </is>
      </c>
      <c r="D24" s="970" t="inlineStr">
        <is>
          <t>监控、追踪与审计</t>
        </is>
      </c>
      <c r="E24" s="950" t="inlineStr">
        <is>
          <t>一个服务或一条可独立观测的调用链</t>
        </is>
      </c>
      <c r="F24" s="950" t="inlineStr">
        <is>
          <t>日志、指标、追踪、审计事件、关联标识、基础看板、告警和验证</t>
        </is>
      </c>
      <c r="G24" s="950" t="inlineStr">
        <is>
          <t>监控平台建设</t>
        </is>
      </c>
      <c r="H24" s="980" t="n">
        <v>2</v>
      </c>
      <c r="I24" s="980" t="n">
        <v>1.5</v>
      </c>
      <c r="J24" s="980" t="n">
        <v>1</v>
      </c>
      <c r="K24" s="972" t="inlineStr">
        <is>
          <t>标准日志、指标和健康检查</t>
        </is>
      </c>
      <c r="L24" s="972" t="inlineStr">
        <is>
          <t>单一服务或调用链需要分布式追踪、告警、SLO 和审计关联</t>
        </is>
      </c>
      <c r="M24" s="972" t="inlineStr">
        <is>
          <t>单一服务或调用链涉及跨系统关联、高基数、长期留存或合规级防篡改</t>
        </is>
      </c>
      <c r="N24" s="972" t="inlineStr">
        <is>
          <t>包含多个可独立观测的服务或调用链，或需要建设监控平台</t>
        </is>
      </c>
    </row>
    <row r="25" ht="65" customHeight="1" s="1025">
      <c r="A25" s="979" t="inlineStr">
        <is>
          <t>TF-SHARED-TECH</t>
        </is>
      </c>
      <c r="B25" s="969" t="inlineStr">
        <is>
          <t>共性技术能力</t>
        </is>
      </c>
      <c r="C25" s="979" t="inlineStr">
        <is>
          <t>BU-PERFORMANCE-RELIABILITY</t>
        </is>
      </c>
      <c r="D25" s="970" t="inlineStr">
        <is>
          <t>性能与稳定性保障</t>
        </is>
      </c>
      <c r="E25" s="950" t="inlineStr">
        <is>
          <t>一个组件或一条调用链上的一组保障措施</t>
        </is>
      </c>
      <c r="F25" s="950" t="inlineStr">
        <is>
          <t>缓存、超时、重试、熔断、限流、降级和基本验证</t>
        </is>
      </c>
      <c r="G25" s="950" t="inlineStr">
        <is>
          <t>另行开展的性能与容量测试</t>
        </is>
      </c>
      <c r="H25" s="980" t="n">
        <v>2.5</v>
      </c>
      <c r="I25" s="980" t="n">
        <v>1.5</v>
      </c>
      <c r="J25" s="980" t="n">
        <v>1.5</v>
      </c>
      <c r="K25" s="972" t="inlineStr">
        <is>
          <t>单组件缓存、超时或重试</t>
        </is>
      </c>
      <c r="L25" s="972" t="inlineStr">
        <is>
          <t>单一调用链需要限流、熔断、降级和多个依赖协同</t>
        </is>
      </c>
      <c r="M25" s="972" t="inlineStr">
        <is>
          <t>单一调用链需要复杂限流降级、严格 SLA 或复杂故障恢复</t>
        </is>
      </c>
      <c r="N25" s="972" t="inlineStr">
        <is>
          <t>涉及多级容灾、跨地域，或包含多个可独立治理的调用链</t>
        </is>
      </c>
    </row>
    <row r="26" ht="65" customHeight="1" s="1025">
      <c r="A26" s="979" t="inlineStr">
        <is>
          <t>TF-SHARED-TECH</t>
        </is>
      </c>
      <c r="B26" s="969" t="inlineStr">
        <is>
          <t>共性技术能力</t>
        </is>
      </c>
      <c r="C26" s="979" t="inlineStr">
        <is>
          <t>BU-SHARED-TECH-COMPONENT</t>
        </is>
      </c>
      <c r="D26" s="970" t="inlineStr">
        <is>
          <t>公共技术组件</t>
        </is>
      </c>
      <c r="E26" s="950" t="inlineStr">
        <is>
          <t>一个可独立发布、版本管理和复用的技术组件</t>
        </is>
      </c>
      <c r="F26" s="950" t="inlineStr">
        <is>
          <t>新建或调整时包括稳定接口、可复用实现或配置、版本、说明和单元验证；接入复用时包括当前项目的依赖引入、注册、配置、适配和验证</t>
        </is>
      </c>
      <c r="G26" s="950" t="inlineStr">
        <is>
          <t>具体业务功能和通用界面组件</t>
        </is>
      </c>
      <c r="H26" s="980" t="n">
        <v>2.5</v>
      </c>
      <c r="I26" s="980" t="n">
        <v>1.5</v>
      </c>
      <c r="J26" s="980" t="n">
        <v>1</v>
      </c>
      <c r="K26" s="972" t="inlineStr">
        <is>
          <t>单应用内复用；接口简单</t>
        </is>
      </c>
      <c r="L26" s="972" t="inlineStr">
        <is>
          <t>一个组件需要多模块复用、配置、说明和兼容处理</t>
        </is>
      </c>
      <c r="M26" s="972" t="inlineStr">
        <is>
          <t>单一组件涉及跨应用版本治理、扩展机制或严格向后兼容</t>
        </is>
      </c>
      <c r="N26" s="972" t="inlineStr">
        <is>
          <t>包含多个可独立发布的组件，或需要建设平台级组件体系</t>
        </is>
      </c>
    </row>
    <row r="27" ht="65" customHeight="1" s="1025">
      <c r="A27" s="979" t="inlineStr">
        <is>
          <t>TF-SHARED-TECH</t>
        </is>
      </c>
      <c r="B27" s="969" t="inlineStr">
        <is>
          <t>共性技术能力</t>
        </is>
      </c>
      <c r="C27" s="979" t="inlineStr">
        <is>
          <t>BU-CONFIG-FEATURE-FLAG</t>
        </is>
      </c>
      <c r="D27" s="970" t="inlineStr">
        <is>
          <t>配置与功能开关</t>
        </is>
      </c>
      <c r="E27" s="950" t="inlineStr">
        <is>
          <t>一个应用中的一组紧密相关配置或开关</t>
        </is>
      </c>
      <c r="F27" s="950" t="inlineStr">
        <is>
          <t>配置结构、默认值、环境覆盖、开关生命周期、权限审计、回退和验证</t>
        </is>
      </c>
      <c r="G27" s="950" t="inlineStr">
        <is>
          <t>开关控制的业务功能</t>
        </is>
      </c>
      <c r="H27" s="980" t="n">
        <v>2</v>
      </c>
      <c r="I27" s="980" t="n">
        <v>1.5</v>
      </c>
      <c r="J27" s="980" t="n">
        <v>1</v>
      </c>
      <c r="K27" s="972" t="inlineStr">
        <is>
          <t>静态配置或单一开关</t>
        </is>
      </c>
      <c r="L27" s="972" t="inlineStr">
        <is>
          <t>一个应用内按环境、租户或角色控制，并需要审计</t>
        </is>
      </c>
      <c r="M27" s="972" t="inlineStr">
        <is>
          <t>单一配置范围涉及灰度发布、开关依赖、紧急止损或跨地域一致性</t>
        </is>
      </c>
      <c r="N27" s="972" t="inlineStr">
        <is>
          <t>包含多组独立配置或开关体系，或需要建设配置平台本身</t>
        </is>
      </c>
    </row>
    <row r="28" ht="65" customHeight="1" s="1025">
      <c r="A28" s="979" t="inlineStr">
        <is>
          <t>TF-ENGINEERING-PLATFORM</t>
        </is>
      </c>
      <c r="B28" s="969" t="inlineStr">
        <is>
          <t>工程平台</t>
        </is>
      </c>
      <c r="C28" s="979" t="inlineStr">
        <is>
          <t>BU-APP-BOOTSTRAP</t>
        </is>
      </c>
      <c r="D28" s="970" t="inlineStr">
        <is>
          <t>应用工程初始化</t>
        </is>
      </c>
      <c r="E28" s="950" t="inlineStr">
        <is>
          <t>一个仓库、应用或可独立构建的模块</t>
        </is>
      </c>
      <c r="F28" s="950" t="inlineStr">
        <is>
          <t>新建或调整时包括仓库或模块结构、依赖管理、构建约定、基础配置和测试入口；接入复用时只包括采用现有工程模板或开发平台所需的项目配置和验证</t>
        </is>
      </c>
      <c r="G28" s="950" t="inlineStr">
        <is>
          <t>业务功能</t>
        </is>
      </c>
      <c r="H28" s="980" t="n">
        <v>2.5</v>
      </c>
      <c r="I28" s="980" t="n">
        <v>1.5</v>
      </c>
      <c r="J28" s="980" t="n">
        <v>1</v>
      </c>
      <c r="K28" s="972" t="inlineStr">
        <is>
          <t>标准工程模板；单模块；默认约定</t>
        </is>
      </c>
      <c r="L28" s="972" t="inlineStr">
        <is>
          <t>一个仓库或应用包含多模块、自定义工程规范和多环境配置</t>
        </is>
      </c>
      <c r="M28" s="972" t="inlineStr">
        <is>
          <t>单一应用需要统一接入安全、监控和治理机制，并有较多工程定制</t>
        </is>
      </c>
      <c r="N28" s="972" t="inlineStr">
        <is>
          <t>包含多个独立仓库或应用，或需要建设组织级工程模板平台</t>
        </is>
      </c>
    </row>
    <row r="29" ht="65" customHeight="1" s="1025">
      <c r="A29" s="979" t="inlineStr">
        <is>
          <t>TF-ENGINEERING-PLATFORM</t>
        </is>
      </c>
      <c r="B29" s="969" t="inlineStr">
        <is>
          <t>工程平台</t>
        </is>
      </c>
      <c r="C29" s="979" t="inlineStr">
        <is>
          <t>BU-BUILD-DEPLOY-PIPELINE</t>
        </is>
      </c>
      <c r="D29" s="970" t="inlineStr">
        <is>
          <t>构建与部署流水线</t>
        </is>
      </c>
      <c r="E29" s="950" t="inlineStr">
        <is>
          <t>一条可独立构建、部署和回滚的流水线</t>
        </is>
      </c>
      <c r="F29" s="950" t="inlineStr">
        <is>
          <t>构建、测试、制品、部署、审批、密钥、回滚步骤和基本验证</t>
        </is>
      </c>
      <c r="G29" s="950" t="inlineStr">
        <is>
          <t>基础设施资源创建</t>
        </is>
      </c>
      <c r="H29" s="980" t="n">
        <v>2.5</v>
      </c>
      <c r="I29" s="980" t="n">
        <v>1.5</v>
      </c>
      <c r="J29" s="980" t="n">
        <v>1</v>
      </c>
      <c r="K29" s="972" t="inlineStr">
        <is>
          <t>单应用；标准构建、测试和部署</t>
        </is>
      </c>
      <c r="L29" s="972" t="inlineStr">
        <is>
          <t>单应用涉及多环境、审批、制品和密钥管理</t>
        </is>
      </c>
      <c r="M29" s="972" t="inlineStr">
        <is>
          <t>单应用需要蓝绿或金丝雀发布、自动回滚或合规检查</t>
        </is>
      </c>
      <c r="N29" s="972" t="inlineStr">
        <is>
          <t>包含多条独立流水线、多应用或多地域整体改造</t>
        </is>
      </c>
    </row>
    <row r="30" ht="65" customHeight="1" s="1025">
      <c r="A30" s="979" t="inlineStr">
        <is>
          <t>TF-ENGINEERING-PLATFORM</t>
        </is>
      </c>
      <c r="B30" s="969" t="inlineStr">
        <is>
          <t>工程平台</t>
        </is>
      </c>
      <c r="C30" s="979" t="inlineStr">
        <is>
          <t>BU-RUNTIME-ENV</t>
        </is>
      </c>
      <c r="D30" s="970" t="inlineStr">
        <is>
          <t>运行环境</t>
        </is>
      </c>
      <c r="E30" s="950" t="inlineStr">
        <is>
          <t>一个项目环境，例如开发、测试或生产环境</t>
        </is>
      </c>
      <c r="F30" s="950" t="inlineStr">
        <is>
          <t>运行时、中间件依赖、访问、配置、数据初始化和健康检查</t>
        </is>
      </c>
      <c r="G30" s="950" t="inlineStr">
        <is>
          <t>应用功能和独立基础设施资源</t>
        </is>
      </c>
      <c r="H30" s="980" t="n">
        <v>2</v>
      </c>
      <c r="I30" s="980" t="n">
        <v>1.5</v>
      </c>
      <c r="J30" s="980" t="n">
        <v>1</v>
      </c>
      <c r="K30" s="972" t="inlineStr">
        <is>
          <t>一个开发或测试环境；标准运行时</t>
        </is>
      </c>
      <c r="L30" s="972" t="inlineStr">
        <is>
          <t>单一环境包含多服务、共享依赖、数据初始化和权限配置</t>
        </is>
      </c>
      <c r="M30" s="972" t="inlineStr">
        <is>
          <t>单一生产环境涉及复杂网络、安全和外部依赖</t>
        </is>
      </c>
      <c r="N30" s="972" t="inlineStr">
        <is>
          <t>包含多个独立环境，或生产级高可用需要拆为基础设施任务</t>
        </is>
      </c>
    </row>
    <row r="31" ht="65" customHeight="1" s="1025">
      <c r="A31" s="979" t="inlineStr">
        <is>
          <t>TF-ENGINEERING-PLATFORM</t>
        </is>
      </c>
      <c r="B31" s="969" t="inlineStr">
        <is>
          <t>工程平台</t>
        </is>
      </c>
      <c r="C31" s="979" t="inlineStr">
        <is>
          <t>BU-INFRA-RESOURCE</t>
        </is>
      </c>
      <c r="D31" s="970" t="inlineStr">
        <is>
          <t>基础设施资源</t>
        </is>
      </c>
      <c r="E31" s="950" t="inlineStr">
        <is>
          <t>一个标准资源，或一组必须共同交付的关联资源</t>
        </is>
      </c>
      <c r="F31" s="950" t="inlineStr">
        <is>
          <t>IaC、计算、存储、网络、安全、备份、监控和基础验证</t>
        </is>
      </c>
      <c r="G31" s="950" t="inlineStr">
        <is>
          <t>应用部署和业务配置</t>
        </is>
      </c>
      <c r="H31" s="980" t="n">
        <v>3</v>
      </c>
      <c r="I31" s="980" t="n">
        <v>2</v>
      </c>
      <c r="J31" s="980" t="n">
        <v>1.5</v>
      </c>
      <c r="K31" s="972" t="inlineStr">
        <is>
          <t>一个标准托管资源；单环境</t>
        </is>
      </c>
      <c r="L31" s="972" t="inlineStr">
        <is>
          <t>一组必须共同交付的关联资源，包含 IaC、网络、备份和监控</t>
        </is>
      </c>
      <c r="M31" s="972" t="inlineStr">
        <is>
          <t>单地域高可用、私网互联，或有严格安全和合规要求</t>
        </is>
      </c>
      <c r="N31" s="972" t="inlineStr">
        <is>
          <t>包含多地域、容灾方案，或多个可独立交付的资源组</t>
        </is>
      </c>
    </row>
    <row r="32" ht="65" customHeight="1" s="1025">
      <c r="A32" s="979" t="inlineStr">
        <is>
          <t>TF-ENGINEERING-PLATFORM</t>
        </is>
      </c>
      <c r="B32" s="969" t="inlineStr">
        <is>
          <t>工程平台</t>
        </is>
      </c>
      <c r="C32" s="979" t="inlineStr">
        <is>
          <t>BU-DEV-TOOLS-STANDARDS</t>
        </is>
      </c>
      <c r="D32" s="970" t="inlineStr">
        <is>
          <t>开发工具与工程规范</t>
        </is>
      </c>
      <c r="E32" s="950" t="inlineStr">
        <is>
          <t>一个代码库，或一个采用同一技术栈的工程范围</t>
        </is>
      </c>
      <c r="F32" s="950" t="inlineStr">
        <is>
          <t>格式、Lint、静态分析、提交检查、质量门禁、配置和使用说明</t>
        </is>
      </c>
      <c r="G32" s="950" t="inlineStr">
        <is>
          <t>业务测试用例</t>
        </is>
      </c>
      <c r="H32" s="980" t="n">
        <v>1.5</v>
      </c>
      <c r="I32" s="980" t="n">
        <v>1</v>
      </c>
      <c r="J32" s="980" t="n">
        <v>0.5</v>
      </c>
      <c r="K32" s="972" t="inlineStr">
        <is>
          <t>单技术栈的格式、Lint 和基础规则</t>
        </is>
      </c>
      <c r="L32" s="972" t="inlineStr">
        <is>
          <t>一个代码库需要提交检查、静态分析和质量门禁</t>
        </is>
      </c>
      <c r="M32" s="972" t="inlineStr">
        <is>
          <t>单一代码库涉及多语言、自定义工具或较强治理要求</t>
        </is>
      </c>
      <c r="N32" s="972" t="inlineStr">
        <is>
          <t>包含多个代码库、互不相关的技术栈，或需要建设企业级规则平台</t>
        </is>
      </c>
    </row>
    <row r="33" ht="65" customHeight="1" s="1025">
      <c r="A33" s="979" t="inlineStr">
        <is>
          <t>TF-DATA-MIGRATION</t>
        </is>
      </c>
      <c r="B33" s="969" t="inlineStr">
        <is>
          <t>数据迁移</t>
        </is>
      </c>
      <c r="C33" s="979" t="inlineStr">
        <is>
          <t>BU-DATA-MIGRATION</t>
        </is>
      </c>
      <c r="D33" s="970" t="inlineStr">
        <is>
          <t>数据迁移</t>
        </is>
      </c>
      <c r="E33" s="950" t="inlineStr">
        <is>
          <t>一个源对象到一个目标对象的迁移</t>
        </is>
      </c>
      <c r="F33" s="950" t="inlineStr">
        <is>
          <t>源目标映射、转换、迁移执行、校验对账、异常处理和必要演练</t>
        </is>
      </c>
      <c r="G33" s="950" t="inlineStr">
        <is>
          <t>发布与切换、运行环境建设和持续同步平台建设</t>
        </is>
      </c>
      <c r="H33" s="980" t="n">
        <v>2</v>
      </c>
      <c r="I33" s="980" t="n">
        <v>1.5</v>
      </c>
      <c r="J33" s="980" t="inlineStr">
        <is>
          <t>❌</t>
        </is>
      </c>
      <c r="K33" s="972" t="inlineStr">
        <is>
          <t>单一源目标对象；一对一映射；数据干净；小规模；允许停机</t>
        </is>
      </c>
      <c r="L33" s="972" t="inlineStr">
        <is>
          <t>单一源目标对象需要转换清洗、中等规模、多次演练和核对</t>
        </is>
      </c>
      <c r="M33" s="972" t="inlineStr">
        <is>
          <t>单一源目标对象数据质量差、规模较大，并需要复杂回滚和对账</t>
        </is>
      </c>
      <c r="N33" s="972" t="inlineStr">
        <is>
          <t>包含多个源目标对象、持续同步，或大规模低停机迁移</t>
        </is>
      </c>
    </row>
    <row r="34" ht="65" customHeight="1" s="1025">
      <c r="A34" s="979" t="inlineStr">
        <is>
          <t>TF-RELEASE-CUTOVER</t>
        </is>
      </c>
      <c r="B34" s="969" t="inlineStr">
        <is>
          <t>发布与切换</t>
        </is>
      </c>
      <c r="C34" s="979" t="inlineStr">
        <is>
          <t>BU-RELEASE-CUTOVER</t>
        </is>
      </c>
      <c r="D34" s="970" t="inlineStr">
        <is>
          <t>发布切换</t>
        </is>
      </c>
      <c r="E34" s="950" t="inlineStr">
        <is>
          <t>一次具有统一窗口、统一责任范围和回滚方案的生产发布切换</t>
        </is>
      </c>
      <c r="F34" s="950" t="inlineStr">
        <is>
          <t>版本范围、前置条件、上线计划、窗口、执行顺序、依赖协调、RACI、Go/No-Go、演练、实际部署与切换、流量及数据检查、回滚条件与执行、上线确认和切换记录</t>
        </is>
      </c>
      <c r="G34" s="950" t="inlineStr">
        <is>
          <t>替代功能实现、任何数据迁移执行或迁移核对、运行环境或流水线建设、上线后支持</t>
        </is>
      </c>
      <c r="H34" s="980" t="n">
        <v>2.5</v>
      </c>
      <c r="I34" s="980" t="n">
        <v>1.5</v>
      </c>
      <c r="J34" s="980" t="inlineStr">
        <is>
          <t>❌</t>
        </is>
      </c>
      <c r="K34" s="972" t="inlineStr">
        <is>
          <t>单组件；允许停机；使用标准检查表</t>
        </is>
      </c>
      <c r="L34" s="972" t="inlineStr">
        <is>
          <t>一次切换涉及多个紧密关联组件、演练和明确回滚方案</t>
        </is>
      </c>
      <c r="M34" s="972" t="inlineStr">
        <is>
          <t>单一切换范围涉及多组件协同、低停机或较强业务连续性要求</t>
        </is>
      </c>
      <c r="N34" s="972" t="inlineStr">
        <is>
          <t>包含多个可独立切换的系统，或需要持续同步和完整业务连续性方案</t>
        </is>
      </c>
    </row>
    <row r="35" ht="65" customHeight="1" s="1025">
      <c r="A35" s="979" t="inlineStr">
        <is>
          <t>TF-RELEASE-CUTOVER</t>
        </is>
      </c>
      <c r="B35" s="969" t="inlineStr">
        <is>
          <t>发布与切换</t>
        </is>
      </c>
      <c r="C35" s="979" t="inlineStr">
        <is>
          <t>BU-SYSTEM-RETIREMENT</t>
        </is>
      </c>
      <c r="D35" s="970" t="inlineStr">
        <is>
          <t>系统功能下线</t>
        </is>
      </c>
      <c r="E35" s="950" t="inlineStr">
        <is>
          <t>一个系统、服务、模块或可独立关闭的功能</t>
        </is>
      </c>
      <c r="F35" s="950" t="inlineStr">
        <is>
          <t>依赖盘点、停流、停作业、数据归档留存、权限配置清理、资源处置和可恢复性验证</t>
        </is>
      </c>
      <c r="G35" s="950" t="inlineStr">
        <is>
          <t>替代功能实现</t>
        </is>
      </c>
      <c r="H35" s="980" t="n">
        <v>1.5</v>
      </c>
      <c r="I35" s="980" t="inlineStr">
        <is>
          <t>❌</t>
        </is>
      </c>
      <c r="J35" s="980" t="inlineStr">
        <is>
          <t>❌</t>
        </is>
      </c>
      <c r="K35" s="972" t="inlineStr">
        <is>
          <t>单一独立系统、服务、模块或功能；无重要数据和使用方</t>
        </is>
      </c>
      <c r="L35" s="972" t="inlineStr">
        <is>
          <t>单一下线对象有多个使用方，需要数据归档、权限和配置清理</t>
        </is>
      </c>
      <c r="M35" s="972" t="inlineStr">
        <is>
          <t>单一下线对象存在共享能力、监管留存或多系统依赖，并需要可恢复下线</t>
        </is>
      </c>
      <c r="N35" s="972" t="inlineStr">
        <is>
          <t>包含多个可独立下线对象，或监管留存、跨系统依赖需要另拆任务</t>
        </is>
      </c>
    </row>
    <row r="36" ht="65" customHeight="1" s="1025">
      <c r="A36" s="979" t="inlineStr">
        <is>
          <t>TF-PROBLEM-HANDLING</t>
        </is>
      </c>
      <c r="B36" s="969" t="inlineStr">
        <is>
          <t>问题处理</t>
        </is>
      </c>
      <c r="C36" s="979" t="inlineStr">
        <is>
          <t>BU-ROOT-CAUSE-REMEDIATION</t>
        </is>
      </c>
      <c r="D36" s="970" t="inlineStr">
        <is>
          <t>同一根因问题整改</t>
        </is>
      </c>
      <c r="E36" s="950" t="inlineStr">
        <is>
          <t>一个已确认根因及其边界明确的受影响范围</t>
        </is>
      </c>
      <c r="F36" s="950" t="inlineStr">
        <is>
          <t>对已确认同一根因的代码、配置或数据进行统一修复和针对性回归</t>
        </is>
      </c>
      <c r="G36" s="950" t="inlineStr">
        <is>
          <t>根因调查</t>
        </is>
      </c>
      <c r="H36" s="980" t="n">
        <v>1.5</v>
      </c>
      <c r="I36" s="980" t="inlineStr">
        <is>
          <t>❌</t>
        </is>
      </c>
      <c r="J36" s="980" t="inlineStr">
        <is>
          <t>❌</t>
        </is>
      </c>
      <c r="K36" s="972" t="inlineStr">
        <is>
          <t>根因明确；单模块；局部修复和回归</t>
        </is>
      </c>
      <c r="L36" s="972" t="inlineStr">
        <is>
          <t>同一根因影响多个紧密相关模块，并涉及配置、数据修复或较大回归</t>
        </is>
      </c>
      <c r="M36" s="972" t="inlineStr">
        <is>
          <t>同一根因跨多个模块，需要较复杂数据修复，或有较大安全影响</t>
        </is>
      </c>
      <c r="N36" s="972" t="inlineStr">
        <is>
          <t>根因尚未明确，或涉及多个独立根因、架构改造、大规模数据修复或独立安全专项</t>
        </is>
      </c>
    </row>
    <row r="37" ht="65" customHeight="1" s="1025">
      <c r="A37" s="979" t="inlineStr">
        <is>
          <t>TF-ARCHITECTURE</t>
        </is>
      </c>
      <c r="B37" s="969" t="inlineStr">
        <is>
          <t>架构设计</t>
        </is>
      </c>
      <c r="C37" s="979" t="inlineStr">
        <is>
          <t>BU-ARCHITECTURE-DESIGN</t>
        </is>
      </c>
      <c r="D37" s="970" t="inlineStr">
        <is>
          <t>架构方案设计</t>
        </is>
      </c>
      <c r="E37" s="950" t="inlineStr">
        <is>
          <t>一个需要独立决策和评审的架构问题</t>
        </is>
      </c>
      <c r="F37" s="950" t="inlineStr">
        <is>
          <t>背景、候选方案、权衡、决策、影响、约束和评审记录</t>
        </is>
      </c>
      <c r="G37" s="950" t="inlineStr">
        <is>
          <t>具体实现</t>
        </is>
      </c>
      <c r="H37" s="980" t="n">
        <v>2</v>
      </c>
      <c r="I37" s="980" t="n">
        <v>1.5</v>
      </c>
      <c r="J37" s="980" t="inlineStr">
        <is>
          <t>❌</t>
        </is>
      </c>
      <c r="K37" s="972" t="inlineStr">
        <is>
          <t>单组件局部决策；1～2 个明确选项</t>
        </is>
      </c>
      <c r="L37" s="972" t="inlineStr">
        <is>
          <t>一个跨组件问题存在多个方案，并涉及性能、安全等权衡</t>
        </is>
      </c>
      <c r="M37" s="972" t="inlineStr">
        <is>
          <t>一个系统级决策需要多个团队参与，并涉及迁移路径和强约束</t>
        </is>
      </c>
      <c r="N37" s="972" t="inlineStr">
        <is>
          <t>包含多个可独立决策的问题，或完整系统战略和迁移路线需要分开设计</t>
        </is>
      </c>
    </row>
    <row r="38" ht="65" customHeight="1" s="1025">
      <c r="A38" s="979" t="inlineStr">
        <is>
          <t>TF-ANALYSIS-RESEARCH</t>
        </is>
      </c>
      <c r="B38" s="969" t="inlineStr">
        <is>
          <t>分析与调研</t>
        </is>
      </c>
      <c r="C38" s="979" t="inlineStr">
        <is>
          <t>BU-RESEARCH</t>
        </is>
      </c>
      <c r="D38" s="970" t="inlineStr">
        <is>
          <t>专题调研</t>
        </is>
      </c>
      <c r="E38" s="950" t="inlineStr">
        <is>
          <t>一个问题明确且可以独立形成结论的调研主题</t>
        </is>
      </c>
      <c r="F38" s="950" t="inlineStr">
        <is>
          <t>明确问题、证据调查、必要原型或试验、结论和建议</t>
        </is>
      </c>
      <c r="G38" s="950" t="inlineStr">
        <is>
          <t>生产实现</t>
        </is>
      </c>
      <c r="H38" s="980" t="n">
        <v>2</v>
      </c>
      <c r="I38" s="980" t="inlineStr">
        <is>
          <t>❌</t>
        </is>
      </c>
      <c r="J38" s="980" t="inlineStr">
        <is>
          <t>❌</t>
        </is>
      </c>
      <c r="K38" s="972" t="inlineStr">
        <is>
          <t>单一问题；单系统；主要依赖已有证据</t>
        </is>
      </c>
      <c r="L38" s="972" t="inlineStr">
        <is>
          <t>一个问题需要多组件或多方案比较，并做验证实验</t>
        </is>
      </c>
      <c r="M38" s="972" t="inlineStr">
        <is>
          <t>一个跨系统问题需要原型或数据验证，并由多方共同形成结论</t>
        </is>
      </c>
      <c r="N38" s="972" t="inlineStr">
        <is>
          <t>包含多个独立问题，或原型、数据验证和多方评审可以分别交付</t>
        </is>
      </c>
    </row>
    <row r="39" ht="65" customHeight="1" s="1025">
      <c r="A39" s="979" t="inlineStr">
        <is>
          <t>TF-PROBLEM-HANDLING</t>
        </is>
      </c>
      <c r="B39" s="969" t="inlineStr">
        <is>
          <t>问题处理</t>
        </is>
      </c>
      <c r="C39" s="979" t="inlineStr">
        <is>
          <t>BU-TECH-SUPPORT</t>
        </is>
      </c>
      <c r="D39" s="970" t="inlineStr">
        <is>
          <t>问题诊断与恢复</t>
        </is>
      </c>
      <c r="E39" s="950" t="inlineStr">
        <is>
          <t>一个具有统一问题描述和处理结论的明确问题</t>
        </is>
      </c>
      <c r="F39" s="950" t="inlineStr">
        <is>
          <t>受理分诊、证据收集、诊断、恢复或建议及处理记录</t>
        </is>
      </c>
      <c r="G39" s="950" t="inlineStr">
        <is>
          <t>上线后值守、待命容量、持续监控、另行批准的产品改造，以及对已确认根因的代码、配置或数据整改</t>
        </is>
      </c>
      <c r="H39" s="980" t="n">
        <v>2</v>
      </c>
      <c r="I39" s="980" t="inlineStr">
        <is>
          <t>❌</t>
        </is>
      </c>
      <c r="J39" s="980" t="inlineStr">
        <is>
          <t>❌</t>
        </is>
      </c>
      <c r="K39" s="972" t="inlineStr">
        <is>
          <t>单一明确问题；标准诊断；单组件</t>
        </is>
      </c>
      <c r="L39" s="972" t="inlineStr">
        <is>
          <t>一个问题涉及多组件、多日志来源或跨团队协同</t>
        </is>
      </c>
      <c r="M39" s="972" t="inlineStr">
        <is>
          <t>一个关键问题需要跨系统排查、恢复方案和深入根因分析</t>
        </is>
      </c>
      <c r="N39" s="972" t="inlineStr">
        <is>
          <t>包含多个独立问题，或需要另行批准的产品改造和专项根因分析</t>
        </is>
      </c>
    </row>
    <row r="40" ht="65" customHeight="1" s="1025">
      <c r="A40" s="979" t="inlineStr">
        <is>
          <t>TF-DELIVERY-HANDOVER</t>
        </is>
      </c>
      <c r="B40" s="969" t="inlineStr">
        <is>
          <t>交付与移交</t>
        </is>
      </c>
      <c r="C40" s="979" t="inlineStr">
        <is>
          <t>BU-OPS-HANDOVER</t>
        </is>
      </c>
      <c r="D40" s="970" t="inlineStr">
        <is>
          <t>运维交接与操作手册</t>
        </is>
      </c>
      <c r="E40" s="950" t="inlineStr">
        <is>
          <t>一个服务，或一组共同部署和运维的紧密相关组件</t>
        </is>
      </c>
      <c r="F40" s="950" t="inlineStr">
        <is>
          <t>拓扑、部署、启停、监控告警、故障处理、回滚、联系范围和交接演练</t>
        </is>
      </c>
      <c r="G40" s="950" t="inlineStr">
        <is>
          <t>功能实现</t>
        </is>
      </c>
      <c r="H40" s="980" t="n">
        <v>1.5</v>
      </c>
      <c r="I40" s="980" t="n">
        <v>1</v>
      </c>
      <c r="J40" s="980" t="inlineStr">
        <is>
          <t>❌</t>
        </is>
      </c>
      <c r="K40" s="972" t="inlineStr">
        <is>
          <t>单服务；标准部署、监控和回滚说明</t>
        </is>
      </c>
      <c r="L40" s="972" t="inlineStr">
        <is>
          <t>一组共同部署和运维的组件，需要告警、值班和知识转移</t>
        </is>
      </c>
      <c r="M40" s="972" t="inlineStr">
        <is>
          <t>一个分布式服务范围涉及容灾、合规和多团队交接</t>
        </is>
      </c>
      <c r="N40" s="972" t="inlineStr">
        <is>
          <t>包含多个独立运维对象，或需要向多个运维团队分别交接</t>
        </is>
      </c>
    </row>
    <row r="41" ht="65" customHeight="1" s="1025">
      <c r="A41" s="979" t="inlineStr">
        <is>
          <t>TF-DELIVERY-HANDOVER</t>
        </is>
      </c>
      <c r="B41" s="969" t="inlineStr">
        <is>
          <t>交付与移交</t>
        </is>
      </c>
      <c r="C41" s="979" t="inlineStr">
        <is>
          <t>BU-USER-TRAINING</t>
        </is>
      </c>
      <c r="D41" s="970" t="inlineStr">
        <is>
          <t>用户培训与使用材料</t>
        </is>
      </c>
      <c r="E41" s="950" t="inlineStr">
        <is>
          <t>一个明确用户群体针对一项连贯能力的培训和材料交付</t>
        </is>
      </c>
      <c r="F41" s="950" t="inlineStr">
        <is>
          <t>培训需求确认、使用材料、演示或练习、培训实施、问答、出席记录及材料移交</t>
        </is>
      </c>
      <c r="G41" s="950" t="inlineStr">
        <is>
          <t>运维交接、技术架构培训、业务内容翻译和长期培训运营</t>
        </is>
      </c>
      <c r="H41" s="980" t="n">
        <v>1.5</v>
      </c>
      <c r="I41" s="980" t="n">
        <v>1</v>
      </c>
      <c r="J41" s="980" t="inlineStr">
        <is>
          <t>❌</t>
        </is>
      </c>
      <c r="K41" s="972" t="inlineStr">
        <is>
          <t>单一角色；标准流程；一次短时讲解；无专门练习环境</t>
        </is>
      </c>
      <c r="L41" s="972" t="inlineStr">
        <is>
          <t>一个用户群体包含多个相关角色；需要演示、练习和问答</t>
        </is>
      </c>
      <c r="M41" s="972" t="inlineStr">
        <is>
          <t>多语言、Train-the-Trainer、专门练习环境或正式能力考核</t>
        </is>
      </c>
      <c r="N41" s="972" t="inlineStr">
        <is>
          <t>多个独立用户群体或多个无关产品，必须拆分</t>
        </is>
      </c>
    </row>
    <row r="42"/>
    <row r="44" ht="30" customHeight="1" s="1025"/>
  </sheetData>
  <mergeCells count="8">
    <mergeCell ref="K3:N3"/>
    <mergeCell ref="A2:N2"/>
    <mergeCell ref="A3:D3"/>
    <mergeCell ref="F42:G42"/>
    <mergeCell ref="E3:G3"/>
    <mergeCell ref="H3:J3"/>
    <mergeCell ref="A42:D42"/>
    <mergeCell ref="A1:N1"/>
  </mergeCells>
  <conditionalFormatting sqref="H5:H224">
    <cfRule type="containsText" priority="1" operator="containsText" dxfId="19" text="已配置"/>
    <cfRule type="containsText" priority="2" operator="containsText" dxfId="20" text="待校准"/>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