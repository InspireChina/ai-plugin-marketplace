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4">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
      <patternFill patternType="solid">
        <fgColor rgb="00FFFFFF"/>
      </patternFill>
    </fill>
    <fill>
      <patternFill patternType="solid">
        <fgColor rgb="00FFF2CC"/>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62">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92" borderId="22" applyAlignment="1" applyProtection="1" pivotButton="0" quotePrefix="0" xfId="0">
      <alignment horizontal="left" vertical="center" wrapText="1"/>
      <protection locked="0" hidden="0"/>
    </xf>
    <xf numFmtId="0" fontId="44" fillId="122" borderId="26" applyAlignment="1" applyProtection="1" pivotButton="0" quotePrefix="0" xfId="0">
      <alignment horizontal="left" vertical="center" wrapText="1"/>
      <protection locked="0" hidden="0"/>
    </xf>
    <xf numFmtId="0" fontId="44" fillId="122" borderId="26" applyAlignment="1" applyProtection="1" pivotButton="0" quotePrefix="0" xfId="0">
      <alignment horizontal="center" vertical="center"/>
      <protection locked="0" hidden="0"/>
    </xf>
    <xf numFmtId="0" fontId="53" fillId="122" borderId="27" applyAlignment="1" applyProtection="1" pivotButton="0" quotePrefix="0" xfId="0">
      <alignment horizontal="left" vertical="center" wrapText="1"/>
      <protection locked="0" hidden="0"/>
    </xf>
    <xf numFmtId="0" fontId="53" fillId="122" borderId="27" applyAlignment="1" applyProtection="1" pivotButton="0" quotePrefix="0" xfId="0">
      <alignment horizontal="center" vertical="center" wrapText="1"/>
      <protection locked="0" hidden="0"/>
    </xf>
    <xf numFmtId="0" fontId="38" fillId="122" borderId="22" applyAlignment="1" applyProtection="1" pivotButton="0" quotePrefix="0" xfId="0">
      <alignment horizontal="left" vertical="center" wrapText="1"/>
      <protection locked="0" hidden="0"/>
    </xf>
    <xf numFmtId="0" fontId="0" fillId="0" borderId="22" applyProtection="1" pivotButton="0" quotePrefix="0" xfId="0">
      <protection locked="0" hidden="0"/>
    </xf>
    <xf numFmtId="0" fontId="53" fillId="123" borderId="27" applyAlignment="1" applyProtection="1" pivotButton="0" quotePrefix="0" xfId="0">
      <alignment horizontal="center" vertical="center" wrapText="1"/>
      <protection locked="0" hidden="0"/>
    </xf>
    <xf numFmtId="0" fontId="54" fillId="121" borderId="27" applyAlignment="1" applyProtection="1" pivotButton="0" quotePrefix="0" xfId="0">
      <alignment horizontal="left" vertical="center" wrapText="1"/>
      <protection locked="0" hidden="0"/>
    </xf>
    <xf numFmtId="0" fontId="54" fillId="121" borderId="27" applyAlignment="1" applyProtection="1" pivotButton="0" quotePrefix="0" xfId="0">
      <alignment horizontal="center" vertical="center" wrapText="1"/>
      <protection locked="0" hidden="0"/>
    </xf>
    <xf numFmtId="0" fontId="55" fillId="121" borderId="27" applyAlignment="1" applyProtection="1" pivotButton="0" quotePrefix="0" xfId="0">
      <alignment horizontal="left" vertical="center" wrapText="1"/>
      <protection locked="0" hidden="0"/>
    </xf>
    <xf numFmtId="0" fontId="55" fillId="121" borderId="27" applyAlignment="1" applyProtection="1" pivotButton="0" quotePrefix="0" xfId="0">
      <alignment horizontal="center" vertical="center" wrapText="1"/>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40">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
      <font>
        <color rgb="009C0006"/>
      </font>
      <fill>
        <patternFill patternType="solid">
          <fgColor rgb="00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5" headerRowCount="1" totalsRowCount="0" totalsRowShown="0">
  <autoFilter ref="A4:F5"/>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6" headerRowCount="1" totalsRowCount="0" totalsRowShown="0">
  <autoFilter ref="A4:G6"/>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5" headerRowCount="1" totalsRowCount="0" totalsRowShown="0">
  <autoFilter ref="A4:I5"/>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 array="1">IF(C5="","",IFERROR(_xlfn.TEXTJOIN(CHAR(10),TRUE,IF(AcceptanceCriterionTable[故事名称]=C5,"• "&amp;AcceptanceCriterionTable[验收条件名称],"")),""))</calculatedColumnFormula>
    </tableColumn>
    <tableColumn id="6" name="任务明细">
      <calculatedColumnFormula array="1">IF(C5="","",IFERROR(_xlfn.TEXTJOIN(CHAR(10),TRUE,IF(TaskTable[故事名称]=C5,"• "&amp;TaskTable[任务名称],"")),""))</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5" headerRowCount="1" totalsRowCount="0" totalsRowShown="0">
  <autoFilter ref="A4:D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7"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关联现状条目"/>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5"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5"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DetailTable" displayName="AsIsDetailTable" ref="A4:D5" headerRowCount="1">
  <autoFilter ref="A4:D5"/>
  <tableColumns count="4">
    <tableColumn id="1" name="主题名称"/>
    <tableColumn id="2" name="现状条目名称"/>
    <tableColumn id="3" name="现状描述"/>
    <tableColumn id="4" name="起点可用性"/>
  </tableColumns>
  <tableStyleInfo name="TableStyleMedium2" showFirstColumn="0" showLastColumn="0" showRowStripes="1" showColumnStripes="0"/>
</table>
</file>

<file path=xl/tables/table10.xml><?xml version="1.0" encoding="utf-8"?>
<table xmlns="http://schemas.openxmlformats.org/spreadsheetml/2006/main" id="10"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1.xml><?xml version="1.0" encoding="utf-8"?>
<table xmlns="http://schemas.openxmlformats.org/spreadsheetml/2006/main" id="11"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关联现状条目 / 判断依据与备注</t>
        </is>
      </c>
      <c r="C28" s="950" t="inlineStr">
        <is>
          <t>故事名称 / 任务名称 / 基础单元名称 / 工作模式及理由 / 复杂度及理由 / 关联现状条目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项目起点明细</t>
        </is>
      </c>
      <c r="C32" s="950" t="inlineStr">
        <is>
          <t>主题名称 / 现状条目名称 / 现状描述 / 起点可用性</t>
        </is>
      </c>
      <c r="D32" s="950" t="inlineStr">
        <is>
          <t>无</t>
        </is>
      </c>
      <c r="E32" s="1000" t="inlineStr">
        <is>
          <t>现状条目名称唯一；主题与起点可用性取固定范围；供设计与任务共用</t>
        </is>
      </c>
      <c r="F32" s="950" t="inlineStr">
        <is>
          <t>project.json / asis.json</t>
        </is>
      </c>
      <c r="G32" s="950" t="inlineStr">
        <is>
          <t>设计 / 任务 / 人工评审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inlineStr">
        <is>
          <t>ee806b28729ff8b4ecb4cd020d31b1f016c84d382d4a5f601d92cf5ff382a7ed</t>
        </is>
      </c>
      <c r="C44" s="1041" t="n"/>
      <c r="D44" s="1041" t="n"/>
      <c r="E44" s="1041" t="n"/>
      <c r="F44" s="1041" t="n"/>
      <c r="G44" s="1041" t="n"/>
      <c r="H44" s="1042" t="n"/>
    </row>
    <row r="45" ht="42" customHeight="1" s="1025">
      <c r="A45" s="1039" t="inlineStr">
        <is>
          <t>asis</t>
        </is>
      </c>
      <c r="B45" s="1040" t="inlineStr">
        <is>
          <t>7d125349439fe1439e226ec1ad7187585171f5d82bdf9d947112342fe425d506</t>
        </is>
      </c>
      <c r="C45" s="1041" t="n"/>
      <c r="D45" s="1041" t="n"/>
      <c r="E45" s="1041" t="n"/>
      <c r="F45" s="1041" t="n"/>
      <c r="G45" s="1041" t="n"/>
      <c r="H45" s="1042" t="n"/>
    </row>
    <row r="46" ht="42" customHeight="1" s="1025">
      <c r="A46" s="1039" t="inlineStr">
        <is>
          <t>design</t>
        </is>
      </c>
      <c r="B46" s="1040" t="inlineStr">
        <is>
          <t>7d125349439fe1439e226ec1ad7187585171f5d82bdf9d947112342fe425d506</t>
        </is>
      </c>
      <c r="C46" s="1041" t="n"/>
      <c r="D46" s="1041" t="n"/>
      <c r="E46" s="1041" t="n"/>
      <c r="F46" s="1041" t="n"/>
      <c r="G46" s="1041" t="n"/>
      <c r="H46" s="1042" t="n"/>
    </row>
    <row r="47" ht="42" customHeight="1" s="1025">
      <c r="A47" s="1039" t="inlineStr">
        <is>
          <t>derivedRequirements</t>
        </is>
      </c>
      <c r="B47" s="1040" t="inlineStr">
        <is>
          <t>7d125349439fe1439e226ec1ad7187585171f5d82bdf9d947112342fe425d506</t>
        </is>
      </c>
      <c r="C47" s="1041" t="n"/>
      <c r="D47" s="1041" t="n"/>
      <c r="E47" s="1041" t="n"/>
      <c r="F47" s="1041" t="n"/>
      <c r="G47" s="1041" t="n"/>
      <c r="H47" s="1042" t="n"/>
    </row>
    <row r="48" ht="42" customHeight="1" s="1025">
      <c r="A48" s="1039" t="inlineStr">
        <is>
          <t>delivery</t>
        </is>
      </c>
      <c r="B48" s="1040" t="inlineStr">
        <is>
          <t>0349220808ff3bb520b25dc0a0acf1a5171637847613a38a7e0dc4f36b1e7c58</t>
        </is>
      </c>
      <c r="C48" s="1041" t="n"/>
      <c r="D48" s="1041" t="n"/>
      <c r="E48" s="1041" t="n"/>
      <c r="F48" s="1041" t="n"/>
      <c r="G48" s="1041" t="n"/>
      <c r="H48" s="1042" t="n"/>
    </row>
    <row r="49" ht="42" customHeight="1" s="1025">
      <c r="A49" s="1039" t="inlineStr">
        <is>
          <t>estimate</t>
        </is>
      </c>
      <c r="B49" s="1040" t="inlineStr">
        <is>
          <t>0349220808ff3bb520b25dc0a0acf1a5171637847613a38a7e0dc4f36b1e7c58</t>
        </is>
      </c>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49" customHeight="1" s="1025">
      <c r="A5" s="1058" t="inlineStr">
        <is>
          <t>退款能力升级</t>
        </is>
      </c>
      <c r="B5" s="1059" t="inlineStr">
        <is>
          <t>业务</t>
        </is>
      </c>
      <c r="C5" s="1058" t="inlineStr">
        <is>
          <t>升级退款处理并保持状态通知一致。</t>
        </is>
      </c>
      <c r="D5" s="1058" t="inlineStr">
        <is>
          <t>退款编排流程</t>
        </is>
      </c>
      <c r="E5" s="1058" t="inlineStr">
        <is>
          <t>在既有退款能力上增加自动审核并保持可追踪结果。、退款状态变化后向用户提供一致的通知结果。</t>
        </is>
      </c>
      <c r="F5" s="1058" t="inlineStr"/>
    </row>
    <row r="6" s="1025"/>
    <row r="7" s="1025"/>
    <row r="8" s="1025"/>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58" t="inlineStr">
        <is>
          <t>退款能力升级</t>
        </is>
      </c>
      <c r="B5" s="1058" t="inlineStr">
        <is>
          <t>退款处理升级</t>
        </is>
      </c>
      <c r="C5" s="1058" t="inlineStr">
        <is>
          <t>在既有退款能力上增加自动审核并保持可追踪结果。</t>
        </is>
      </c>
      <c r="D5" s="1058" t="inlineStr">
        <is>
          <t>退款编排流程、支付平台退款</t>
        </is>
      </c>
      <c r="E5" s="1058" t="inlineStr">
        <is>
          <t>退款流程恢复目标</t>
        </is>
      </c>
      <c r="F5" s="1059" t="inlineStr">
        <is>
          <t>来源输入</t>
        </is>
      </c>
      <c r="G5" s="1058" t="inlineStr">
        <is>
          <t>本期需要在既有退款服务上交付自动审核。</t>
        </is>
      </c>
    </row>
    <row r="6" ht="34" customHeight="1" s="1025">
      <c r="A6" s="1058" t="inlineStr">
        <is>
          <t>退款能力升级</t>
        </is>
      </c>
      <c r="B6" s="1058" t="inlineStr">
        <is>
          <t>退款状态通知</t>
        </is>
      </c>
      <c r="C6" s="1058" t="inlineStr">
        <is>
          <t>退款状态变化后向用户提供一致的通知结果。</t>
        </is>
      </c>
      <c r="D6" s="1058" t="inlineStr">
        <is>
          <t>退款编排流程、支付平台退款</t>
        </is>
      </c>
      <c r="E6" s="1058" t="inlineStr">
        <is>
          <t>退款流程恢复目标</t>
        </is>
      </c>
      <c r="F6" s="1059" t="inlineStr">
        <is>
          <t>来源输入</t>
        </is>
      </c>
      <c r="G6" s="1058" t="inlineStr">
        <is>
          <t>退款状态通知是本期用户可见结果。</t>
        </is>
      </c>
    </row>
    <row r="7" s="1025"/>
    <row r="8" s="1025"/>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9" customHeight="1" s="1025">
      <c r="A5" s="926">
        <f>IF(B5="","",IFERROR(INDEX(FeatureTable[需求名称],MATCH(B5,FeatureTable[子需求名称],0)),"来源未匹配"))</f>
        <v/>
      </c>
      <c r="B5" s="1058" t="inlineStr">
        <is>
          <t>退款处理升级</t>
        </is>
      </c>
      <c r="C5" s="1058" t="inlineStr">
        <is>
          <t>完成退款自动审核与状态通知</t>
        </is>
      </c>
      <c r="D5" s="1059" t="inlineStr">
        <is>
          <t>是</t>
        </is>
      </c>
      <c r="E5" s="926">
        <f t="array" ref="E5">IF(C5="","",IFERROR(_xlfn.TEXTJOIN(CHAR(10),TRUE,IF(AcceptanceCriterionTable[故事名称]=C5,"• "&amp;AcceptanceCriterionTable[验收条件名称],"")),""))</f>
        <v/>
      </c>
      <c r="F5" s="928">
        <f t="array" ref="F5">IF(C5="","",IFERROR(_xlfn.TEXTJOIN(CHAR(10),TRUE,IF(TaskTable[故事名称]=C5,"• "&amp;TaskTable[任务名称],"")),""))</f>
        <v/>
      </c>
      <c r="G5" s="929">
        <f>IF(C5="","",CEILING(SUMIF(TaskTable[故事名称],C5,TaskTable[人天小计]),INDEX(ProjectParameterTable[值],MATCH("ROUND_STORY",ProjectParameterTable[参数代码],0))))</f>
        <v/>
      </c>
      <c r="H5" s="1058" t="inlineStr">
        <is>
          <t>支付沙箱按时可用</t>
        </is>
      </c>
      <c r="I5" s="930">
        <f>IF(H5="","",IFERROR(INDEX(AssumptionRiskTable[状态],MATCH(H5,AssumptionRiskTable[假设/风险名称],0)),"名称未匹配"))</f>
        <v/>
      </c>
    </row>
    <row r="6" ht="42" customHeight="1" s="1025">
      <c r="A6" s="926" t="n"/>
      <c r="B6" s="1043" t="n"/>
      <c r="C6" s="1043" t="n"/>
      <c r="D6" s="1044" t="n"/>
      <c r="E6" s="926" t="n"/>
      <c r="F6" s="926" t="n"/>
      <c r="G6" s="930" t="n"/>
      <c r="H6" s="1043" t="n"/>
      <c r="I6" s="929">
        <f>IF(H6="","",IFERROR(INDEX(AssumptionRiskTable[状态],MATCH(H6,AssumptionRiskTable[假设/风险名称],0)),"名称未匹配"))</f>
        <v/>
      </c>
    </row>
    <row r="7" ht="42" customHeight="1" s="1025">
      <c r="A7" s="926" t="n"/>
      <c r="B7" s="1043" t="n"/>
      <c r="C7" s="1043" t="n"/>
      <c r="D7" s="1044" t="n"/>
      <c r="E7" s="926" t="n"/>
      <c r="F7" s="926" t="n"/>
      <c r="G7" s="930" t="n"/>
      <c r="H7" s="1043" t="n"/>
      <c r="I7" s="929">
        <f>IF(H7="","",IFERROR(INDEX(AssumptionRiskTable[状态],MATCH(H7,AssumptionRiskTable[假设/风险名称],0)),"名称未匹配"))</f>
        <v/>
      </c>
    </row>
    <row r="8" ht="42" customHeight="1" s="1025">
      <c r="A8" s="926" t="n"/>
      <c r="B8" s="1043" t="n"/>
      <c r="C8" s="1043" t="n"/>
      <c r="D8" s="1044" t="n"/>
      <c r="E8" s="926" t="n"/>
      <c r="F8" s="926" t="n"/>
      <c r="G8" s="930" t="n"/>
      <c r="H8" s="1043" t="n"/>
      <c r="I8" s="929">
        <f>IF(H8="","",IFERROR(INDEX(AssumptionRiskTable[状态],MATCH(H8,AssumptionRiskTable[假设/风险名称],0)),"名称未匹配"))</f>
        <v/>
      </c>
    </row>
    <row r="9" ht="42" customHeight="1" s="1025">
      <c r="A9" s="926" t="n"/>
      <c r="B9" s="1043" t="n"/>
      <c r="C9" s="1043" t="n"/>
      <c r="D9" s="1044" t="n"/>
      <c r="E9" s="926" t="n"/>
      <c r="F9" s="926" t="n"/>
      <c r="G9" s="930" t="n"/>
      <c r="H9" s="1043" t="n"/>
      <c r="I9" s="929">
        <f>IF(H9="","",IFERROR(INDEX(AssumptionRiskTable[状态],MATCH(H9,AssumptionRiskTable[假设/风险名称],0)),"名称未匹配"))</f>
        <v/>
      </c>
    </row>
    <row r="10" ht="42" customHeight="1" s="1025">
      <c r="A10" s="926" t="n"/>
      <c r="B10" s="1043" t="n"/>
      <c r="C10" s="1043" t="n"/>
      <c r="D10" s="1044" t="n"/>
      <c r="E10" s="926" t="n"/>
      <c r="F10" s="926" t="n"/>
      <c r="G10" s="930" t="n"/>
      <c r="H10" s="1043" t="n"/>
      <c r="I10" s="929">
        <f>IF(H10="","",IFERROR(INDEX(AssumptionRiskTable[状态],MATCH(H10,AssumptionRiskTable[假设/风险名称],0)),"名称未匹配"))</f>
        <v/>
      </c>
    </row>
    <row r="11" ht="42" customHeight="1" s="1025">
      <c r="A11" s="926" t="n"/>
      <c r="B11" s="1043" t="n"/>
      <c r="C11" s="1043" t="n"/>
      <c r="D11" s="1044" t="n"/>
      <c r="E11" s="926" t="n"/>
      <c r="F11" s="926" t="n"/>
      <c r="G11" s="930" t="n"/>
      <c r="H11" s="1043" t="n"/>
      <c r="I11" s="929">
        <f>IF(H11="","",IFERROR(INDEX(AssumptionRiskTable[状态],MATCH(H11,AssumptionRiskTable[假设/风险名称],0)),"名称未匹配"))</f>
        <v/>
      </c>
    </row>
    <row r="12" ht="42" customHeight="1" s="1025">
      <c r="A12" s="926" t="n"/>
      <c r="B12" s="1043" t="n"/>
      <c r="C12" s="1043" t="n"/>
      <c r="D12" s="1044" t="n"/>
      <c r="E12" s="926" t="n"/>
      <c r="F12" s="926" t="n"/>
      <c r="G12" s="930" t="n"/>
      <c r="H12" s="1043" t="n"/>
      <c r="I12" s="929">
        <f>IF(H12="","",IFERROR(INDEX(AssumptionRiskTable[状态],MATCH(H12,AssumptionRiskTable[假设/风险名称],0)),"名称未匹配"))</f>
        <v/>
      </c>
    </row>
    <row r="13" ht="42" customHeight="1" s="1025">
      <c r="A13" s="926" t="n"/>
      <c r="B13" s="1043" t="n"/>
      <c r="C13" s="1043" t="n"/>
      <c r="D13" s="1044" t="n"/>
      <c r="E13" s="926" t="n"/>
      <c r="F13" s="926" t="n"/>
      <c r="G13" s="930" t="n"/>
      <c r="H13" s="1043" t="n"/>
      <c r="I13" s="929">
        <f>IF(H13="","",IFERROR(INDEX(AssumptionRiskTable[状态],MATCH(H13,AssumptionRiskTable[假设/风险名称],0)),"名称未匹配"))</f>
        <v/>
      </c>
    </row>
    <row r="14" ht="42" customHeight="1" s="1025">
      <c r="A14" s="926" t="n"/>
      <c r="B14" s="1043" t="n"/>
      <c r="C14" s="1043" t="n"/>
      <c r="D14" s="1044" t="n"/>
      <c r="E14" s="926" t="n"/>
      <c r="F14" s="926" t="n"/>
      <c r="G14" s="930" t="n"/>
      <c r="H14" s="1043" t="n"/>
      <c r="I14" s="929">
        <f>IF(H14="","",IFERROR(INDEX(AssumptionRiskTable[状态],MATCH(H14,AssumptionRiskTable[假设/风险名称],0)),"名称未匹配"))</f>
        <v/>
      </c>
    </row>
    <row r="15" ht="42" customHeight="1" s="1025">
      <c r="A15" s="926" t="n"/>
      <c r="B15" s="1043" t="n"/>
      <c r="C15" s="1043" t="n"/>
      <c r="D15" s="1044" t="n"/>
      <c r="E15" s="926" t="n"/>
      <c r="F15" s="926" t="n"/>
      <c r="G15" s="930" t="n"/>
      <c r="H15" s="1043" t="n"/>
      <c r="I15" s="929">
        <f>IF(H15="","",IFERROR(INDEX(AssumptionRiskTable[状态],MATCH(H15,AssumptionRiskTable[假设/风险名称],0)),"名称未匹配"))</f>
        <v/>
      </c>
    </row>
    <row r="16" ht="42" customHeight="1" s="1025">
      <c r="A16" s="926" t="n"/>
      <c r="B16" s="1043" t="n"/>
      <c r="C16" s="1043" t="n"/>
      <c r="D16" s="1044" t="n"/>
      <c r="E16" s="926" t="n"/>
      <c r="F16" s="926" t="n"/>
      <c r="G16" s="930" t="n"/>
      <c r="H16" s="1043" t="n"/>
      <c r="I16" s="929">
        <f>IF(H16="","",IFERROR(INDEX(AssumptionRiskTable[状态],MATCH(H16,AssumptionRiskTable[假设/风险名称],0)),"名称未匹配"))</f>
        <v/>
      </c>
    </row>
    <row r="17" ht="42" customHeight="1" s="1025">
      <c r="A17" s="926" t="n"/>
      <c r="B17" s="1043" t="n"/>
      <c r="C17" s="1043" t="n"/>
      <c r="D17" s="1044" t="n"/>
      <c r="E17" s="926" t="n"/>
      <c r="F17" s="926" t="n"/>
      <c r="G17" s="930" t="n"/>
      <c r="H17" s="1043" t="n"/>
      <c r="I17" s="929">
        <f>IF(H17="","",IFERROR(INDEX(AssumptionRiskTable[状态],MATCH(H17,AssumptionRiskTable[假设/风险名称],0)),"名称未匹配"))</f>
        <v/>
      </c>
    </row>
    <row r="18" ht="42" customHeight="1" s="1025">
      <c r="A18" s="926" t="n"/>
      <c r="B18" s="1043" t="n"/>
      <c r="C18" s="1043" t="n"/>
      <c r="D18" s="1044" t="n"/>
      <c r="E18" s="926" t="n"/>
      <c r="F18" s="926" t="n"/>
      <c r="G18" s="930" t="n"/>
      <c r="H18" s="1043" t="n"/>
      <c r="I18" s="929">
        <f>IF(H18="","",IFERROR(INDEX(AssumptionRiskTable[状态],MATCH(H18,AssumptionRiskTable[假设/风险名称],0)),"名称未匹配"))</f>
        <v/>
      </c>
    </row>
    <row r="19" ht="42" customHeight="1" s="1025">
      <c r="A19" s="926" t="n"/>
      <c r="B19" s="1043" t="n"/>
      <c r="C19" s="1043" t="n"/>
      <c r="D19" s="1044" t="n"/>
      <c r="E19" s="926" t="n"/>
      <c r="F19" s="926" t="n"/>
      <c r="G19" s="930" t="n"/>
      <c r="H19" s="1043" t="n"/>
      <c r="I19" s="929">
        <f>IF(H19="","",IFERROR(INDEX(AssumptionRiskTable[状态],MATCH(H19,AssumptionRiskTable[假设/风险名称],0)),"名称未匹配"))</f>
        <v/>
      </c>
    </row>
    <row r="20" ht="42" customHeight="1" s="1025">
      <c r="A20" s="926" t="n"/>
      <c r="B20" s="1043" t="n"/>
      <c r="C20" s="1043" t="n"/>
      <c r="D20" s="1044" t="n"/>
      <c r="E20" s="926" t="n"/>
      <c r="F20" s="926" t="n"/>
      <c r="G20" s="930" t="n"/>
      <c r="H20" s="1043" t="n"/>
      <c r="I20" s="929">
        <f>IF(H20="","",IFERROR(INDEX(AssumptionRiskTable[状态],MATCH(H20,AssumptionRiskTable[假设/风险名称],0)),"名称未匹配"))</f>
        <v/>
      </c>
    </row>
    <row r="21" ht="42" customHeight="1" s="1025">
      <c r="A21" s="926" t="n"/>
      <c r="B21" s="1043" t="n"/>
      <c r="C21" s="1043" t="n"/>
      <c r="D21" s="1044" t="n"/>
      <c r="E21" s="926" t="n"/>
      <c r="F21" s="926" t="n"/>
      <c r="G21" s="930" t="n"/>
      <c r="H21" s="1043" t="n"/>
      <c r="I21" s="929">
        <f>IF(H21="","",IFERROR(INDEX(AssumptionRiskTable[状态],MATCH(H21,AssumptionRiskTable[假设/风险名称],0)),"名称未匹配"))</f>
        <v/>
      </c>
    </row>
    <row r="22" ht="42" customHeight="1" s="1025">
      <c r="A22" s="926" t="n"/>
      <c r="B22" s="1043" t="n"/>
      <c r="C22" s="1043" t="n"/>
      <c r="D22" s="1044" t="n"/>
      <c r="E22" s="926" t="n"/>
      <c r="F22" s="926" t="n"/>
      <c r="G22" s="930" t="n"/>
      <c r="H22" s="1043" t="n"/>
      <c r="I22" s="929">
        <f>IF(H22="","",IFERROR(INDEX(AssumptionRiskTable[状态],MATCH(H22,AssumptionRiskTable[假设/风险名称],0)),"名称未匹配"))</f>
        <v/>
      </c>
    </row>
    <row r="23" ht="42" customHeight="1" s="1025">
      <c r="A23" s="926" t="n"/>
      <c r="B23" s="1043" t="n"/>
      <c r="C23" s="1043" t="n"/>
      <c r="D23" s="1044" t="n"/>
      <c r="E23" s="926" t="n"/>
      <c r="F23" s="926" t="n"/>
      <c r="G23" s="930" t="n"/>
      <c r="H23" s="1043" t="n"/>
      <c r="I23" s="929">
        <f>IF(H23="","",IFERROR(INDEX(AssumptionRiskTable[状态],MATCH(H23,AssumptionRiskTable[假设/风险名称],0)),"名称未匹配"))</f>
        <v/>
      </c>
    </row>
    <row r="24" ht="42" customHeight="1" s="1025">
      <c r="A24" s="926" t="n"/>
      <c r="B24" s="1043" t="n"/>
      <c r="C24" s="1043" t="n"/>
      <c r="D24" s="1044" t="n"/>
      <c r="E24" s="926" t="n"/>
      <c r="F24" s="926" t="n"/>
      <c r="G24" s="930" t="n"/>
      <c r="H24" s="1043" t="n"/>
      <c r="I24" s="929">
        <f>IF(H24="","",IFERROR(INDEX(AssumptionRiskTable[状态],MATCH(H24,AssumptionRiskTable[假设/风险名称],0)),"名称未匹配"))</f>
        <v/>
      </c>
    </row>
    <row r="25" ht="42" customHeight="1" s="1025">
      <c r="A25" s="926" t="n"/>
      <c r="B25" s="1043" t="n"/>
      <c r="C25" s="1043" t="n"/>
      <c r="D25" s="1044" t="n"/>
      <c r="E25" s="926" t="n"/>
      <c r="F25" s="926" t="n"/>
      <c r="G25" s="930" t="n"/>
      <c r="H25" s="1043" t="n"/>
      <c r="I25" s="929">
        <f>IF(H25="","",IFERROR(INDEX(AssumptionRiskTable[状态],MATCH(H25,AssumptionRiskTable[假设/风险名称],0)),"名称未匹配"))</f>
        <v/>
      </c>
    </row>
    <row r="26" ht="42" customHeight="1" s="1025">
      <c r="A26" s="926" t="n"/>
      <c r="B26" s="1043" t="n"/>
      <c r="C26" s="1043" t="n"/>
      <c r="D26" s="1044" t="n"/>
      <c r="E26" s="926" t="n"/>
      <c r="F26" s="926" t="n"/>
      <c r="G26" s="930" t="n"/>
      <c r="H26" s="1043" t="n"/>
      <c r="I26" s="929">
        <f>IF(H26="","",IFERROR(INDEX(AssumptionRiskTable[状态],MATCH(H26,AssumptionRiskTable[假设/风险名称],0)),"名称未匹配"))</f>
        <v/>
      </c>
    </row>
    <row r="27" ht="42" customHeight="1" s="1025">
      <c r="A27" s="926" t="n"/>
      <c r="B27" s="1043" t="n"/>
      <c r="C27" s="1043" t="n"/>
      <c r="D27" s="1044" t="n"/>
      <c r="E27" s="926" t="n"/>
      <c r="F27" s="926" t="n"/>
      <c r="G27" s="930" t="n"/>
      <c r="H27" s="1043" t="n"/>
      <c r="I27" s="929">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0" scenarios="0" formatColumns="0" deleteColumns="1" insertColumns="1" pivotTables="1" deleteRows="1" formatCells="1" formatRows="0" sort="0"/>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58" t="inlineStr">
        <is>
          <t>完成退款自动审核与状态通知</t>
        </is>
      </c>
      <c r="D5" s="1058" t="inlineStr">
        <is>
          <t>通过审核的退款获得支付结果和用户通知</t>
        </is>
      </c>
    </row>
    <row r="6" s="1025"/>
    <row r="7" s="1025"/>
    <row r="8" s="1025"/>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0" scenarios="0" formatColumns="0" deleteColumns="1" insertColumns="1" pivotTables="1" deleteRows="1" formatCells="1" formatRows="0" sort="0"/>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关联现状条目</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60" t="inlineStr">
        <is>
          <t>完成退款自动审核与状态通知</t>
        </is>
      </c>
      <c r="D5" s="1060" t="inlineStr">
        <is>
          <t>设计退款流程恢复目标与方案</t>
        </is>
      </c>
      <c r="E5" s="1060" t="inlineStr">
        <is>
          <t>架构方案设计</t>
        </is>
      </c>
      <c r="F5" s="945">
        <f>IF(E5="","",IFERROR(INDEX(BaseUnitCatalogTable[任务族名称],MATCH(E5,BaseUnitCatalogTable[基础单元名称],0)),""))</f>
        <v/>
      </c>
      <c r="G5" s="1061" t="inlineStr">
        <is>
          <t>新建</t>
        </is>
      </c>
      <c r="H5" s="1060" t="inlineStr">
        <is>
          <t>往期 SOW 未包含退款流程恢复目标设计。</t>
        </is>
      </c>
      <c r="I5" s="1061" t="inlineStr">
        <is>
          <t>M</t>
        </is>
      </c>
      <c r="J5" s="1060" t="inlineStr"/>
      <c r="K5" s="1060" t="inlineStr"/>
      <c r="L5" s="1060" t="inlineStr">
        <is>
          <t>以一项待明确恢复目标的方案设计实例计价。</t>
        </is>
      </c>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44">
        <f>IF(C6="","",IFERROR(INDEX(SOWStoryTable[需求名称],MATCH(C6,SOWStoryTable[故事名称],0)),"来源未匹配"))</f>
        <v/>
      </c>
      <c r="B6" s="944">
        <f>IF(C6="","",IFERROR(INDEX(SOWStoryTable[子需求名称],MATCH(C6,SOWStoryTable[故事名称],0)),"来源未匹配"))</f>
        <v/>
      </c>
      <c r="C6" s="1060" t="inlineStr">
        <is>
          <t>完成退款自动审核与状态通知</t>
        </is>
      </c>
      <c r="D6" s="1060" t="inlineStr">
        <is>
          <t>调整退款编排流程</t>
        </is>
      </c>
      <c r="E6" s="1060" t="inlineStr">
        <is>
          <t>业务服务与接口</t>
        </is>
      </c>
      <c r="F6" s="945">
        <f>IF(E6="","",IFERROR(INDEX(BaseUnitCatalogTable[任务族名称],MATCH(E6,BaseUnitCatalogTable[基础单元名称],0)),""))</f>
        <v/>
      </c>
      <c r="G6" s="1061" t="inlineStr">
        <is>
          <t>调整</t>
        </is>
      </c>
      <c r="H6" s="1060" t="inlineStr">
        <is>
          <t>在既有退款接口基础上调整退款编排流程。</t>
        </is>
      </c>
      <c r="I6" s="1061" t="inlineStr">
        <is>
          <t>M</t>
        </is>
      </c>
      <c r="J6" s="1060" t="inlineStr"/>
      <c r="K6" s="1060" t="inlineStr">
        <is>
          <t>既有退款接口</t>
        </is>
      </c>
      <c r="L6" s="1060" t="inlineStr">
        <is>
          <t>按一个既有退款业务操作调整实例计价。</t>
        </is>
      </c>
      <c r="M6" s="945">
        <f>IF(OR(D6="",E6="",G6=""),"",IFERROR(IF(G6="新建",INDEX(BaseUnitCatalogTable[新建M档人天],MATCH(E6,BaseUnitCatalogTable[基础单元名称],0)),IF(G6="调整",INDEX(BaseUnitCatalogTable[调整M档人天],MATCH(E6,BaseUnitCatalogTable[基础单元名称],0)),IF(G6="接入复用",INDEX(BaseUnitCatalogTable[接入复用M档人天],MATCH(E6,BaseUnitCatalogTable[基础单元名称],0)),""))),""))</f>
        <v/>
      </c>
      <c r="N6" s="945">
        <f>IF(OR(D6="",I6=""),"",IFERROR(INDEX(ProjectParameterTable[值],MATCH("K_COMPLEXITY_"&amp;I6,ProjectParameterTable[参数代码],0)),""))</f>
        <v/>
      </c>
      <c r="O6" s="945">
        <f>IF(OR(D6="",NOT(ISNUMBER(M6)),NOT(ISNUMBER(N6))),"",ROUND(M6*N6,1))</f>
        <v/>
      </c>
    </row>
    <row r="7" ht="38" customHeight="1" s="1025">
      <c r="A7" s="944">
        <f>IF(C7="","",IFERROR(INDEX(SOWStoryTable[需求名称],MATCH(C7,SOWStoryTable[故事名称],0)),"来源未匹配"))</f>
        <v/>
      </c>
      <c r="B7" s="944">
        <f>IF(C7="","",IFERROR(INDEX(SOWStoryTable[子需求名称],MATCH(C7,SOWStoryTable[故事名称],0)),"来源未匹配"))</f>
        <v/>
      </c>
      <c r="C7" s="1060" t="inlineStr">
        <is>
          <t>完成退款自动审核与状态通知</t>
        </is>
      </c>
      <c r="D7" s="1060" t="inlineStr">
        <is>
          <t>接入支付平台退款接口</t>
        </is>
      </c>
      <c r="E7" s="1060" t="inlineStr">
        <is>
          <t>外部系统对接</t>
        </is>
      </c>
      <c r="F7" s="945">
        <f>IF(E7="","",IFERROR(INDEX(BaseUnitCatalogTable[任务族名称],MATCH(E7,BaseUnitCatalogTable[基础单元名称],0)),""))</f>
        <v/>
      </c>
      <c r="G7" s="1061" t="inlineStr">
        <is>
          <t>新建</t>
        </is>
      </c>
      <c r="H7" s="1060" t="inlineStr">
        <is>
          <t>本期首次交付支付平台退款集成。</t>
        </is>
      </c>
      <c r="I7" s="1061" t="inlineStr">
        <is>
          <t>M</t>
        </is>
      </c>
      <c r="J7" s="1060" t="inlineStr"/>
      <c r="K7" s="1060" t="inlineStr"/>
      <c r="L7" s="1060" t="inlineStr">
        <is>
          <t>按一个外部支付平台退款对接实例计价。</t>
        </is>
      </c>
      <c r="M7" s="945">
        <f>IF(OR(D7="",E7="",G7=""),"",IFERROR(IF(G7="新建",INDEX(BaseUnitCatalogTable[新建M档人天],MATCH(E7,BaseUnitCatalogTable[基础单元名称],0)),IF(G7="调整",INDEX(BaseUnitCatalogTable[调整M档人天],MATCH(E7,BaseUnitCatalogTable[基础单元名称],0)),IF(G7="接入复用",INDEX(BaseUnitCatalogTable[接入复用M档人天],MATCH(E7,BaseUnitCatalogTable[基础单元名称],0)),""))),""))</f>
        <v/>
      </c>
      <c r="N7" s="945">
        <f>IF(OR(D7="",I7=""),"",IFERROR(INDEX(ProjectParameterTable[值],MATCH("K_COMPLEXITY_"&amp;I7,ProjectParameterTable[参数代码],0)),""))</f>
        <v/>
      </c>
      <c r="O7" s="945">
        <f>IF(OR(D7="",NOT(ISNUMBER(M7)),NOT(ISNUMBER(N7))),"",ROUND(M7*N7,1))</f>
        <v/>
      </c>
    </row>
    <row r="8" s="1025"/>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row r="105" s="1025"/>
    <row r="106" s="1025"/>
    <row r="107" s="1025"/>
    <row r="108" s="1025"/>
    <row r="109" s="1025"/>
    <row r="110" s="1025"/>
    <row r="111" s="1025"/>
    <row r="112" s="1025"/>
    <row r="113" s="1025"/>
    <row r="114" s="1025"/>
    <row r="115" s="1025"/>
    <row r="116" s="1025"/>
    <row r="117" s="1025"/>
    <row r="118" s="1025"/>
    <row r="119" s="1025"/>
    <row r="120" s="1025"/>
    <row r="121" s="1025"/>
    <row r="122" s="1025"/>
    <row r="123" s="1025"/>
    <row r="124" s="1025"/>
    <row r="125" s="1025"/>
    <row r="126" s="1025"/>
    <row r="127" s="1025"/>
    <row r="128" s="1025"/>
    <row r="129" s="1025"/>
    <row r="130" s="1025"/>
    <row r="131" s="1025"/>
    <row r="132" s="1025"/>
    <row r="133" s="1025"/>
    <row r="134" s="1025"/>
    <row r="135" s="1025"/>
    <row r="136" s="1025"/>
    <row r="137" s="1025"/>
    <row r="138" s="1025"/>
    <row r="139" s="1025"/>
    <row r="140" s="1025"/>
    <row r="141" s="1025"/>
    <row r="142" s="1025"/>
    <row r="143" s="1025"/>
    <row r="144" s="1025"/>
    <row r="145" s="1025"/>
    <row r="146" s="1025"/>
    <row r="147" s="1025"/>
    <row r="148" s="1025"/>
    <row r="149" s="1025"/>
    <row r="150" s="1025"/>
    <row r="151" s="1025"/>
    <row r="152" s="1025"/>
    <row r="153" s="1025"/>
    <row r="154" s="1025"/>
    <row r="155" s="1025"/>
    <row r="156" s="1025"/>
    <row r="157" s="1025"/>
    <row r="158" s="1025"/>
    <row r="159" s="1025"/>
    <row r="160" s="1025"/>
    <row r="161" s="1025"/>
    <row r="162" s="1025"/>
    <row r="163" s="1025"/>
    <row r="164" s="1025"/>
    <row r="165" s="1025"/>
    <row r="166" s="1025"/>
    <row r="167" s="1025"/>
    <row r="168" s="1025"/>
    <row r="169" s="1025"/>
    <row r="170" s="1025"/>
    <row r="171" s="1025"/>
    <row r="172" s="1025"/>
    <row r="173" s="1025"/>
    <row r="174" s="1025"/>
    <row r="175" s="1025"/>
    <row r="176" s="1025"/>
    <row r="177" s="1025"/>
    <row r="178" s="1025"/>
    <row r="179" s="1025"/>
    <row r="180" s="1025"/>
    <row r="181" s="1025"/>
    <row r="182" s="1025"/>
    <row r="183" s="1025"/>
    <row r="184" s="1025"/>
    <row r="185" s="1025"/>
    <row r="186" s="1025"/>
    <row r="187" s="1025"/>
    <row r="188" s="1025"/>
    <row r="189" s="1025"/>
    <row r="190" s="1025"/>
    <row r="191" s="1025"/>
    <row r="192" s="1025"/>
    <row r="193" s="1025"/>
    <row r="194" s="1025"/>
    <row r="195" s="1025"/>
    <row r="196" s="1025"/>
    <row r="197" s="1025"/>
    <row r="198" s="1025"/>
    <row r="199" s="1025"/>
    <row r="200" s="1025"/>
    <row r="201" s="1025"/>
    <row r="202" s="1025"/>
    <row r="203" s="1025"/>
    <row r="204" s="1025"/>
    <row r="205" s="1025"/>
    <row r="206" s="1025"/>
    <row r="207" s="1025"/>
    <row r="208" s="1025"/>
    <row r="209" s="1025"/>
    <row r="210" s="1025"/>
    <row r="211" s="1025"/>
    <row r="212" s="1025"/>
    <row r="213" s="1025"/>
    <row r="214" s="1025"/>
    <row r="215" s="1025"/>
    <row r="216" s="1025"/>
    <row r="217" s="1025"/>
    <row r="218" s="1025"/>
    <row r="219" s="1025"/>
    <row r="220" s="1025"/>
    <row r="221" s="1025"/>
    <row r="222" s="1025"/>
    <row r="223" s="1025"/>
    <row r="224" s="1025"/>
    <row r="225" s="1025"/>
    <row r="226" s="1025"/>
    <row r="227" s="1025"/>
    <row r="228" s="1025"/>
    <row r="229" s="1025"/>
    <row r="230" s="1025"/>
    <row r="231" s="1025"/>
    <row r="232" s="1025"/>
    <row r="233" s="1025"/>
    <row r="234" s="1025"/>
    <row r="235" s="1025"/>
    <row r="236" s="1025"/>
    <row r="237" s="1025"/>
    <row r="238" s="1025"/>
    <row r="239" s="1025"/>
    <row r="240" s="1025"/>
    <row r="241" s="1025"/>
    <row r="242" s="1025"/>
    <row r="243" s="1025"/>
    <row r="244" s="1025"/>
    <row r="245" s="1025"/>
    <row r="246" s="1025"/>
    <row r="247" s="1025"/>
    <row r="248" s="1025"/>
    <row r="249" s="1025"/>
    <row r="250" s="1025"/>
    <row r="251" s="1025"/>
    <row r="252" s="1025"/>
    <row r="253" s="1025"/>
    <row r="254" s="1025"/>
    <row r="255" s="1025"/>
    <row r="256" s="1025"/>
    <row r="257" s="1025"/>
    <row r="258" s="1025"/>
    <row r="259" s="1025"/>
    <row r="260" s="1025"/>
    <row r="261" s="1025"/>
    <row r="262" s="1025"/>
    <row r="263" s="1025"/>
    <row r="264" s="1025"/>
    <row r="265" s="1025"/>
    <row r="266" s="1025"/>
    <row r="267" s="1025"/>
    <row r="268" s="1025"/>
    <row r="269" s="1025"/>
    <row r="270" s="1025"/>
    <row r="271" s="1025"/>
    <row r="272" s="1025"/>
    <row r="273" s="1025"/>
    <row r="274" s="1025"/>
    <row r="275" s="1025"/>
    <row r="276" s="1025"/>
    <row r="277" s="1025"/>
    <row r="278" s="1025"/>
    <row r="279" s="1025"/>
    <row r="280" s="1025"/>
    <row r="281" s="1025"/>
    <row r="282" s="1025"/>
    <row r="283" s="1025"/>
    <row r="284" s="1025"/>
    <row r="285" s="1025"/>
    <row r="286" s="1025"/>
    <row r="287" s="1025"/>
    <row r="288" s="1025"/>
    <row r="289" s="1025"/>
    <row r="290" s="1025"/>
    <row r="291" s="1025"/>
    <row r="292" s="1025"/>
    <row r="293" s="1025"/>
    <row r="294" s="1025"/>
    <row r="295" s="1025"/>
    <row r="296" s="1025"/>
    <row r="297" s="1025"/>
    <row r="298" s="1025"/>
    <row r="299" s="1025"/>
    <row r="300" s="1025"/>
    <row r="301" s="1025"/>
    <row r="302" s="1025"/>
    <row r="303" s="1025"/>
    <row r="304" s="1025"/>
    <row r="305" s="1025"/>
    <row r="306" s="1025"/>
    <row r="307" s="1025"/>
    <row r="308" s="1025"/>
    <row r="309" s="1025"/>
    <row r="310" s="1025"/>
    <row r="311" s="1025"/>
    <row r="312" s="1025"/>
    <row r="313" s="1025"/>
    <row r="314" s="1025"/>
    <row r="315" s="1025"/>
    <row r="316" s="1025"/>
    <row r="317" s="1025"/>
    <row r="318" s="1025"/>
    <row r="319" s="1025"/>
    <row r="320" s="1025"/>
    <row r="321" s="1025"/>
    <row r="322" s="1025"/>
    <row r="323" s="1025"/>
    <row r="324" s="1025"/>
    <row r="325" s="1025"/>
    <row r="326" s="1025"/>
    <row r="327" s="1025"/>
    <row r="328" s="1025"/>
    <row r="329" s="1025"/>
    <row r="330" s="1025"/>
    <row r="331" s="1025"/>
    <row r="332" s="1025"/>
    <row r="333" s="1025"/>
    <row r="334" s="1025"/>
    <row r="335" s="1025"/>
    <row r="336" s="1025"/>
    <row r="337" s="1025"/>
    <row r="338" s="1025"/>
    <row r="339" s="1025"/>
    <row r="340" s="1025"/>
    <row r="341" s="1025"/>
    <row r="342" s="1025"/>
    <row r="343" s="1025"/>
    <row r="344" s="1025"/>
    <row r="345" s="1025"/>
    <row r="346" s="1025"/>
    <row r="347" s="1025"/>
    <row r="348" s="1025"/>
    <row r="349" s="1025"/>
    <row r="350" s="1025"/>
    <row r="351" s="1025"/>
    <row r="352" s="1025"/>
    <row r="353" s="1025"/>
    <row r="354" s="1025"/>
    <row r="355" s="1025"/>
    <row r="356" s="1025"/>
    <row r="357" s="1025"/>
    <row r="358" s="1025"/>
    <row r="359" s="1025"/>
    <row r="360" s="1025"/>
    <row r="361" s="1025"/>
    <row r="362" s="1025"/>
    <row r="363" s="1025"/>
    <row r="364" s="1025"/>
    <row r="365" s="1025"/>
    <row r="366" s="1025"/>
    <row r="367" s="1025"/>
    <row r="368" s="1025"/>
    <row r="369" s="1025"/>
    <row r="370" s="1025"/>
    <row r="371" s="1025"/>
    <row r="372" s="1025"/>
    <row r="373" s="1025"/>
    <row r="374" s="1025"/>
    <row r="375" s="1025"/>
    <row r="376" s="1025"/>
    <row r="377" s="1025"/>
    <row r="378" s="1025"/>
    <row r="379" s="1025"/>
    <row r="380" s="1025"/>
    <row r="381" s="1025"/>
    <row r="382" s="1025"/>
    <row r="383" s="1025"/>
    <row r="384" s="1025"/>
    <row r="385" s="1025"/>
    <row r="386" s="1025"/>
    <row r="387" s="1025"/>
    <row r="388" s="1025"/>
    <row r="389" s="1025"/>
    <row r="390" s="1025"/>
    <row r="391" s="1025"/>
    <row r="392" s="1025"/>
    <row r="393" s="1025"/>
    <row r="394" s="1025"/>
    <row r="395" s="1025"/>
    <row r="396" s="1025"/>
    <row r="397" s="1025"/>
    <row r="398" s="1025"/>
    <row r="399" s="1025"/>
    <row r="400" s="1025"/>
    <row r="401" s="1025"/>
    <row r="402" s="1025"/>
    <row r="403" s="1025"/>
    <row r="404" s="1025"/>
    <row r="405" s="1025"/>
    <row r="406" s="1025"/>
    <row r="407" s="1025"/>
    <row r="408" s="1025"/>
    <row r="409" s="1025"/>
    <row r="410" s="1025"/>
    <row r="411" s="1025"/>
    <row r="412" s="1025"/>
    <row r="413" s="1025"/>
    <row r="414" s="1025"/>
    <row r="415" s="1025"/>
    <row r="416" s="1025"/>
    <row r="417" s="1025"/>
    <row r="418" s="1025"/>
    <row r="419" s="1025"/>
    <row r="420" s="1025"/>
    <row r="421" s="1025"/>
    <row r="422" s="1025"/>
    <row r="423" s="1025"/>
    <row r="424" s="1025"/>
    <row r="425" s="1025"/>
    <row r="426" s="1025"/>
    <row r="427" s="1025"/>
    <row r="428" s="1025"/>
    <row r="429" s="1025"/>
    <row r="430" s="1025"/>
    <row r="431" s="1025"/>
    <row r="432" s="1025"/>
    <row r="433" s="1025"/>
    <row r="434" s="1025"/>
    <row r="435" s="1025"/>
    <row r="436" s="1025"/>
    <row r="437" s="1025"/>
    <row r="438" s="1025"/>
    <row r="439" s="1025"/>
    <row r="440" s="1025"/>
    <row r="441" s="1025"/>
    <row r="442" s="1025"/>
    <row r="443" s="1025"/>
    <row r="444" s="1025"/>
    <row r="445" s="1025"/>
    <row r="446" s="1025"/>
    <row r="447" s="1025"/>
    <row r="448" s="1025"/>
    <row r="449" s="1025"/>
    <row r="450" s="1025"/>
    <row r="451" s="1025"/>
    <row r="452" s="1025"/>
    <row r="453" s="1025"/>
    <row r="454" s="1025"/>
    <row r="455" s="1025"/>
    <row r="456" s="1025"/>
    <row r="457" s="1025"/>
    <row r="458" s="1025"/>
    <row r="459" s="1025"/>
    <row r="460" s="1025"/>
    <row r="461" s="1025"/>
    <row r="462" s="1025"/>
    <row r="463" s="1025"/>
    <row r="464" s="1025"/>
    <row r="465" s="1025"/>
    <row r="466" s="1025"/>
    <row r="467" s="1025"/>
    <row r="468" s="1025"/>
    <row r="469" s="1025"/>
    <row r="470" s="1025"/>
    <row r="471" s="1025"/>
    <row r="472" s="1025"/>
    <row r="473" s="1025"/>
    <row r="474" s="1025"/>
    <row r="475" s="1025"/>
    <row r="476" s="1025"/>
    <row r="477" s="1025"/>
    <row r="478" s="1025"/>
    <row r="479" s="1025"/>
    <row r="480" s="1025"/>
    <row r="481" s="1025"/>
    <row r="482" s="1025"/>
    <row r="483" s="1025"/>
    <row r="484" s="1025"/>
    <row r="485" s="1025"/>
    <row r="486" s="1025"/>
    <row r="487" s="1025"/>
    <row r="488" s="1025"/>
    <row r="489" s="1025"/>
    <row r="490" s="1025"/>
    <row r="491" s="1025"/>
    <row r="492" s="1025"/>
    <row r="493" s="1025"/>
    <row r="494" s="1025"/>
    <row r="495" s="1025"/>
    <row r="496" s="1025"/>
    <row r="497" s="1025"/>
    <row r="498" s="1025"/>
    <row r="499" s="1025"/>
    <row r="500" s="1025"/>
    <row r="501" s="1025"/>
    <row r="502" s="1025"/>
    <row r="503" s="1025"/>
    <row r="504" s="1025"/>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1" showErrorMessage="1" allowBlank="1" errorTitle="现状条目无效" error="请选择 90-系统现状 明细表中的现状条目名称。" promptTitle="关联现状条目" prompt="来源：90-系统现状 &gt; 现状条目名称" type="list" errorStyle="stop">
      <formula1>INDIRECT("AsIsDetailTable[现状条目名称]")</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inlineStr">
        <is>
          <t>完成退款自动审核与状态通知</t>
        </is>
      </c>
      <c r="D5" s="944" t="inlineStr">
        <is>
          <t>接入支付平台退款接口</t>
        </is>
      </c>
      <c r="E5" s="1060" t="inlineStr">
        <is>
          <t>退款编排服务</t>
        </is>
      </c>
      <c r="F5" s="1060" t="inlineStr">
        <is>
          <t>支付平台</t>
        </is>
      </c>
      <c r="G5" s="1060" t="inlineStr">
        <is>
          <t>退款申请通过审核</t>
        </is>
      </c>
      <c r="H5" s="1061" t="inlineStr">
        <is>
          <t>出站</t>
        </is>
      </c>
      <c r="I5" s="1060" t="inlineStr">
        <is>
          <t>发起退款并取得最终支付状态。</t>
        </is>
      </c>
      <c r="J5" s="1061" t="inlineStr">
        <is>
          <t>支付平台责任</t>
        </is>
      </c>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s="1025"/>
    <row r="7" s="1025"/>
    <row r="8" s="1025"/>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0" scenarios="0" formatColumns="0" deleteColumns="1" insertColumns="1" pivotTables="1" deleteRows="1" formatCells="1" formatRows="0" sort="0"/>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60" t="inlineStr">
        <is>
          <t>支付沙箱按时可用</t>
        </is>
      </c>
      <c r="B5" s="1061" t="inlineStr">
        <is>
          <t>假设</t>
        </is>
      </c>
      <c r="C5" s="1060" t="inlineStr">
        <is>
          <t>支付平台未在联调开始前提供沙箱</t>
        </is>
      </c>
      <c r="D5" s="1060" t="inlineStr">
        <is>
          <t>支付平台责任</t>
        </is>
      </c>
      <c r="E5" s="1061" t="inlineStr">
        <is>
          <t>已明确</t>
        </is>
      </c>
      <c r="F5" s="1060" t="inlineStr">
        <is>
          <t>沙箱延迟按项目变更控制调整联调计划。</t>
        </is>
      </c>
      <c r="G5" s="1049" t="n"/>
      <c r="H5" s="1049" t="n"/>
      <c r="I5" s="1049" t="n"/>
    </row>
    <row r="6" s="1025">
      <c r="G6" s="1049" t="n"/>
      <c r="H6" s="1049" t="n"/>
      <c r="I6" s="1049" t="n"/>
    </row>
    <row r="7" s="1025">
      <c r="G7" s="1049" t="n"/>
      <c r="H7" s="1049" t="n"/>
      <c r="I7" s="1049" t="n"/>
    </row>
    <row r="8" s="1025">
      <c r="G8" s="1049" t="n"/>
      <c r="H8" s="1049" t="n"/>
      <c r="I8" s="1049" t="n"/>
    </row>
    <row r="9" s="1025">
      <c r="G9" s="1049" t="n"/>
      <c r="H9" s="1049" t="n"/>
      <c r="I9" s="1049" t="n"/>
    </row>
    <row r="10" s="1025">
      <c r="G10" s="1049" t="n"/>
      <c r="H10" s="1049" t="n"/>
      <c r="I10" s="1049" t="n"/>
    </row>
    <row r="11" s="1025">
      <c r="G11" s="1049" t="n"/>
      <c r="H11" s="1049" t="n"/>
      <c r="I11" s="1049" t="n"/>
    </row>
    <row r="12" s="1025">
      <c r="G12" s="1049" t="n"/>
      <c r="H12" s="1049" t="n"/>
      <c r="I12" s="1049" t="n"/>
    </row>
    <row r="13" s="1025">
      <c r="G13" s="1049" t="n"/>
      <c r="H13" s="1049" t="n"/>
      <c r="I13" s="1049" t="n"/>
    </row>
    <row r="14" s="1025">
      <c r="G14" s="1049" t="n"/>
      <c r="H14" s="1049" t="n"/>
      <c r="I14" s="1049" t="n"/>
    </row>
    <row r="15" s="1025">
      <c r="G15" s="1049" t="n"/>
      <c r="H15" s="1049" t="n"/>
      <c r="I15" s="1049" t="n"/>
    </row>
    <row r="16" s="1025">
      <c r="G16" s="1049" t="n"/>
      <c r="H16" s="1049" t="n"/>
      <c r="I16" s="1049" t="n"/>
    </row>
    <row r="17" s="1025">
      <c r="G17" s="1049" t="n"/>
      <c r="H17" s="1049" t="n"/>
      <c r="I17" s="1049" t="n"/>
    </row>
    <row r="18" s="1025">
      <c r="G18" s="1049" t="n"/>
      <c r="H18" s="1049" t="n"/>
      <c r="I18" s="1049" t="n"/>
    </row>
    <row r="19" s="1025">
      <c r="G19" s="1049" t="n"/>
      <c r="H19" s="1049" t="n"/>
      <c r="I19" s="1049" t="n"/>
    </row>
    <row r="20" s="1025">
      <c r="G20" s="1049" t="n"/>
      <c r="H20" s="1049" t="n"/>
      <c r="I20" s="1049" t="n"/>
    </row>
    <row r="21" s="1025">
      <c r="G21" s="1049" t="n"/>
      <c r="H21" s="1049" t="n"/>
      <c r="I21" s="1049" t="n"/>
    </row>
    <row r="22" s="1025">
      <c r="G22" s="1049" t="n"/>
      <c r="H22" s="1049" t="n"/>
      <c r="I22" s="1049" t="n"/>
    </row>
    <row r="23" s="1025">
      <c r="G23" s="1049" t="n"/>
      <c r="H23" s="1049" t="n"/>
      <c r="I23" s="1049" t="n"/>
    </row>
    <row r="24" s="1025">
      <c r="G24" s="1049" t="n"/>
      <c r="H24" s="1049" t="n"/>
      <c r="I24" s="1049" t="n"/>
    </row>
    <row r="25" s="1025">
      <c r="G25" s="1049" t="n"/>
      <c r="H25" s="1049" t="n"/>
      <c r="I25" s="1049" t="n"/>
    </row>
    <row r="26" s="1025">
      <c r="G26" s="1049" t="n"/>
      <c r="H26" s="1049" t="n"/>
      <c r="I26" s="1049" t="n"/>
    </row>
    <row r="27" s="1025">
      <c r="G27" s="1049" t="n"/>
      <c r="H27" s="1049" t="n"/>
      <c r="I27" s="1049" t="n"/>
    </row>
    <row r="28" s="1025">
      <c r="G28" s="1049" t="n"/>
      <c r="H28" s="1049" t="n"/>
      <c r="I28" s="1049" t="n"/>
    </row>
    <row r="29" s="1025">
      <c r="G29" s="1049" t="n"/>
      <c r="H29" s="1049" t="n"/>
      <c r="I29" s="1049" t="n"/>
    </row>
    <row r="30" s="1025">
      <c r="G30" s="1049" t="n"/>
      <c r="H30" s="1049" t="n"/>
      <c r="I30" s="1049" t="n"/>
    </row>
    <row r="31" s="1025">
      <c r="G31" s="1049" t="n"/>
      <c r="H31" s="1049" t="n"/>
      <c r="I31" s="1049" t="n"/>
    </row>
    <row r="32" s="1025">
      <c r="G32" s="1049" t="n"/>
      <c r="H32" s="1049" t="n"/>
      <c r="I32" s="1049" t="n"/>
    </row>
    <row r="33" s="1025">
      <c r="G33" s="1049" t="n"/>
      <c r="H33" s="1049" t="n"/>
      <c r="I33" s="1049" t="n"/>
    </row>
    <row r="34" s="1025">
      <c r="G34" s="1049" t="n"/>
      <c r="H34" s="1049" t="n"/>
      <c r="I34" s="1049" t="n"/>
    </row>
    <row r="35" s="1025">
      <c r="G35" s="1049" t="n"/>
      <c r="H35" s="1049" t="n"/>
      <c r="I35" s="1049" t="n"/>
    </row>
    <row r="36" s="1025">
      <c r="G36" s="1049" t="n"/>
      <c r="H36" s="1049" t="n"/>
      <c r="I36" s="1049" t="n"/>
    </row>
    <row r="37" s="1025">
      <c r="G37" s="1049" t="n"/>
      <c r="H37" s="1049" t="n"/>
      <c r="I37" s="1049" t="n"/>
    </row>
    <row r="38" s="1025">
      <c r="G38" s="1049" t="n"/>
      <c r="H38" s="1049" t="n"/>
      <c r="I38" s="1049" t="n"/>
    </row>
    <row r="39" s="1025">
      <c r="G39" s="1049" t="n"/>
      <c r="H39" s="1049" t="n"/>
      <c r="I39" s="1049" t="n"/>
    </row>
    <row r="40" s="1025">
      <c r="G40" s="1049" t="n"/>
      <c r="H40" s="1049" t="n"/>
      <c r="I40" s="1049" t="n"/>
    </row>
    <row r="41" s="1025">
      <c r="G41" s="1049" t="n"/>
      <c r="H41" s="1049" t="n"/>
      <c r="I41" s="1049" t="n"/>
    </row>
    <row r="42" s="1025">
      <c r="G42" s="1049" t="n"/>
      <c r="H42" s="1049" t="n"/>
      <c r="I42" s="1049" t="n"/>
    </row>
    <row r="43" s="1025">
      <c r="G43" s="1049" t="n"/>
      <c r="H43" s="1049" t="n"/>
      <c r="I43" s="1049" t="n"/>
    </row>
    <row r="44" s="1025">
      <c r="G44" s="1049" t="n"/>
      <c r="H44" s="1049" t="n"/>
      <c r="I44" s="1049" t="n"/>
    </row>
    <row r="45" s="1025">
      <c r="G45" s="1049" t="n"/>
      <c r="H45" s="1049" t="n"/>
      <c r="I45" s="1049" t="n"/>
    </row>
    <row r="46" s="1025">
      <c r="G46" s="1049" t="n"/>
      <c r="H46" s="1049" t="n"/>
      <c r="I46" s="1049" t="n"/>
    </row>
    <row r="47" s="1025">
      <c r="G47" s="1049" t="n"/>
      <c r="H47" s="1049" t="n"/>
      <c r="I47" s="1049" t="n"/>
    </row>
    <row r="48" s="1025">
      <c r="G48" s="1049" t="n"/>
      <c r="H48" s="1049" t="n"/>
      <c r="I48" s="1049" t="n"/>
    </row>
    <row r="49" s="1025">
      <c r="G49" s="1049" t="n"/>
      <c r="H49" s="1049" t="n"/>
      <c r="I49" s="1049" t="n"/>
    </row>
    <row r="50" s="1025">
      <c r="G50" s="1049" t="n"/>
      <c r="H50" s="1049" t="n"/>
      <c r="I50" s="1049" t="n"/>
    </row>
    <row r="51" s="1025">
      <c r="G51" s="1049" t="n"/>
      <c r="H51" s="1049" t="n"/>
      <c r="I51" s="1049" t="n"/>
    </row>
    <row r="52" s="1025">
      <c r="G52" s="1049" t="n"/>
      <c r="H52" s="1049" t="n"/>
      <c r="I52" s="1049" t="n"/>
    </row>
    <row r="53" s="1025">
      <c r="G53" s="1049" t="n"/>
      <c r="H53" s="1049" t="n"/>
      <c r="I53" s="1049" t="n"/>
    </row>
    <row r="54" s="1025">
      <c r="G54" s="1049" t="n"/>
      <c r="H54" s="1049" t="n"/>
      <c r="I54" s="1049" t="n"/>
    </row>
    <row r="55" s="1025">
      <c r="G55" s="1049" t="n"/>
      <c r="H55" s="1049" t="n"/>
      <c r="I55" s="1049" t="n"/>
    </row>
    <row r="56" s="1025">
      <c r="G56" s="1049" t="n"/>
      <c r="H56" s="1049" t="n"/>
      <c r="I56" s="1049" t="n"/>
    </row>
    <row r="57" s="1025">
      <c r="G57" s="1049" t="n"/>
      <c r="H57" s="1049" t="n"/>
      <c r="I57" s="1049" t="n"/>
    </row>
    <row r="58" s="1025">
      <c r="G58" s="1049" t="n"/>
      <c r="H58" s="1049" t="n"/>
      <c r="I58" s="1049" t="n"/>
    </row>
    <row r="59" s="1025">
      <c r="G59" s="1049" t="n"/>
      <c r="H59" s="1049" t="n"/>
      <c r="I59" s="1049" t="n"/>
    </row>
    <row r="60" s="1025">
      <c r="G60" s="1049" t="n"/>
      <c r="H60" s="1049" t="n"/>
      <c r="I60" s="1049" t="n"/>
    </row>
    <row r="61" s="1025">
      <c r="G61" s="1049" t="n"/>
      <c r="H61" s="1049" t="n"/>
      <c r="I61" s="1049" t="n"/>
    </row>
    <row r="62" s="1025">
      <c r="G62" s="1049" t="n"/>
      <c r="H62" s="1049" t="n"/>
      <c r="I62" s="1049" t="n"/>
    </row>
    <row r="63" s="1025">
      <c r="G63" s="1049" t="n"/>
      <c r="H63" s="1049" t="n"/>
      <c r="I63" s="1049" t="n"/>
    </row>
    <row r="64" s="1025">
      <c r="G64" s="1049" t="n"/>
      <c r="H64" s="1049" t="n"/>
      <c r="I64" s="1049" t="n"/>
    </row>
    <row r="65" s="1025">
      <c r="G65" s="1049" t="n"/>
      <c r="H65" s="1049" t="n"/>
      <c r="I65" s="1049" t="n"/>
    </row>
    <row r="66" s="1025">
      <c r="G66" s="1049" t="n"/>
      <c r="H66" s="1049" t="n"/>
      <c r="I66" s="1049" t="n"/>
    </row>
    <row r="67" s="1025">
      <c r="G67" s="1049" t="n"/>
      <c r="H67" s="1049" t="n"/>
      <c r="I67" s="1049" t="n"/>
    </row>
    <row r="68" s="1025">
      <c r="G68" s="1049" t="n"/>
      <c r="H68" s="1049" t="n"/>
      <c r="I68" s="1049" t="n"/>
    </row>
    <row r="69" s="1025">
      <c r="G69" s="1049" t="n"/>
      <c r="H69" s="1049" t="n"/>
      <c r="I69" s="1049" t="n"/>
    </row>
    <row r="70" s="1025">
      <c r="G70" s="1049" t="n"/>
      <c r="H70" s="1049" t="n"/>
      <c r="I70" s="1049" t="n"/>
    </row>
    <row r="71" s="1025">
      <c r="G71" s="1049" t="n"/>
      <c r="H71" s="1049" t="n"/>
      <c r="I71" s="1049" t="n"/>
    </row>
    <row r="72" s="1025">
      <c r="G72" s="1049" t="n"/>
      <c r="H72" s="1049" t="n"/>
      <c r="I72" s="1049" t="n"/>
    </row>
    <row r="73" s="1025">
      <c r="G73" s="1049" t="n"/>
      <c r="H73" s="1049" t="n"/>
      <c r="I73" s="1049" t="n"/>
    </row>
    <row r="74" s="1025">
      <c r="G74" s="1049" t="n"/>
      <c r="H74" s="1049" t="n"/>
      <c r="I74" s="1049" t="n"/>
    </row>
    <row r="75" s="1025">
      <c r="G75" s="1049" t="n"/>
      <c r="H75" s="1049" t="n"/>
      <c r="I75" s="1049" t="n"/>
    </row>
    <row r="76" s="1025">
      <c r="G76" s="1049" t="n"/>
      <c r="H76" s="1049" t="n"/>
      <c r="I76" s="1049" t="n"/>
    </row>
    <row r="77" s="1025">
      <c r="G77" s="1049" t="n"/>
      <c r="H77" s="1049" t="n"/>
      <c r="I77" s="1049" t="n"/>
    </row>
    <row r="78" s="1025">
      <c r="G78" s="1049" t="n"/>
      <c r="H78" s="1049" t="n"/>
      <c r="I78" s="1049" t="n"/>
    </row>
    <row r="79" s="1025">
      <c r="G79" s="1049" t="n"/>
      <c r="H79" s="1049" t="n"/>
      <c r="I79" s="1049" t="n"/>
    </row>
    <row r="80" s="1025">
      <c r="G80" s="1049" t="n"/>
      <c r="H80" s="1049" t="n"/>
      <c r="I80" s="1049" t="n"/>
    </row>
    <row r="81" s="1025">
      <c r="G81" s="1049" t="n"/>
      <c r="H81" s="1049" t="n"/>
      <c r="I81" s="1049" t="n"/>
    </row>
    <row r="82" s="1025">
      <c r="G82" s="1049" t="n"/>
      <c r="H82" s="1049" t="n"/>
      <c r="I82" s="1049" t="n"/>
    </row>
    <row r="83" s="1025">
      <c r="G83" s="1049" t="n"/>
      <c r="H83" s="1049" t="n"/>
      <c r="I83" s="1049" t="n"/>
    </row>
    <row r="84" s="1025">
      <c r="G84" s="1049" t="n"/>
      <c r="H84" s="1049" t="n"/>
      <c r="I84" s="1049" t="n"/>
    </row>
    <row r="85" s="1025">
      <c r="G85" s="1049" t="n"/>
      <c r="H85" s="1049" t="n"/>
      <c r="I85" s="1049" t="n"/>
    </row>
    <row r="86" s="1025">
      <c r="G86" s="1049" t="n"/>
      <c r="H86" s="1049" t="n"/>
      <c r="I86" s="1049" t="n"/>
    </row>
    <row r="87" s="1025">
      <c r="G87" s="1049" t="n"/>
      <c r="H87" s="1049" t="n"/>
      <c r="I87" s="1049" t="n"/>
    </row>
    <row r="88" s="1025">
      <c r="G88" s="1049" t="n"/>
      <c r="H88" s="1049" t="n"/>
      <c r="I88" s="1049" t="n"/>
    </row>
    <row r="89" s="1025">
      <c r="G89" s="1049" t="n"/>
      <c r="H89" s="1049" t="n"/>
      <c r="I89" s="1049" t="n"/>
    </row>
    <row r="90" s="1025">
      <c r="G90" s="1049" t="n"/>
      <c r="H90" s="1049" t="n"/>
      <c r="I90" s="1049" t="n"/>
    </row>
    <row r="91" s="1025">
      <c r="G91" s="1049" t="n"/>
      <c r="H91" s="1049" t="n"/>
      <c r="I91" s="1049" t="n"/>
    </row>
    <row r="92" s="1025">
      <c r="G92" s="1049" t="n"/>
      <c r="H92" s="1049" t="n"/>
      <c r="I92" s="1049" t="n"/>
    </row>
    <row r="93" s="1025">
      <c r="G93" s="1049" t="n"/>
      <c r="H93" s="1049" t="n"/>
      <c r="I93" s="1049" t="n"/>
    </row>
    <row r="94" s="1025">
      <c r="G94" s="1049" t="n"/>
      <c r="H94" s="1049" t="n"/>
      <c r="I94" s="1049" t="n"/>
    </row>
    <row r="95" s="1025">
      <c r="G95" s="1049" t="n"/>
      <c r="H95" s="1049" t="n"/>
      <c r="I95" s="1049" t="n"/>
    </row>
    <row r="96" s="1025">
      <c r="G96" s="1049" t="n"/>
      <c r="H96" s="1049" t="n"/>
      <c r="I96" s="1049" t="n"/>
    </row>
    <row r="97" s="1025">
      <c r="G97" s="1049" t="n"/>
      <c r="H97" s="1049" t="n"/>
      <c r="I97" s="1049" t="n"/>
    </row>
    <row r="98" s="1025">
      <c r="G98" s="1049" t="n"/>
      <c r="H98" s="1049" t="n"/>
      <c r="I98" s="1049" t="n"/>
    </row>
    <row r="99" s="1025">
      <c r="G99" s="1049" t="n"/>
      <c r="H99" s="1049" t="n"/>
      <c r="I99" s="1049" t="n"/>
    </row>
    <row r="100" s="1025">
      <c r="G100" s="1049" t="n"/>
      <c r="H100" s="1049" t="n"/>
      <c r="I100" s="1049" t="n"/>
    </row>
    <row r="101" s="1025">
      <c r="G101" s="1049" t="n"/>
      <c r="H101" s="1049" t="n"/>
      <c r="I101" s="1049" t="n"/>
    </row>
    <row r="102" s="1025">
      <c r="G102" s="1049" t="n"/>
      <c r="H102" s="1049" t="n"/>
      <c r="I102" s="1049" t="n"/>
    </row>
    <row r="103" s="1025">
      <c r="G103" s="1049" t="n"/>
      <c r="H103" s="1049" t="n"/>
      <c r="I103" s="1049" t="n"/>
    </row>
    <row r="104" s="1025">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5"/>
  <sheetViews>
    <sheetView showGridLines="0" workbookViewId="0">
      <pane ySplit="4" topLeftCell="A5" activePane="bottomLeft" state="frozen"/>
      <selection pane="bottomLeft" activeCell="A1" sqref="A1"/>
    </sheetView>
  </sheetViews>
  <sheetFormatPr baseColWidth="8" defaultColWidth="9" defaultRowHeight="16.79999923706055"/>
  <cols>
    <col width="24" customWidth="1" style="1025" min="1" max="1"/>
    <col width="32" customWidth="1" style="1025" min="2" max="2"/>
    <col width="72" customWidth="1" style="1025" min="3" max="3"/>
    <col width="20" customWidth="1" style="1025" min="4" max="4"/>
    <col width="44" customWidth="1" style="1025" min="5" max="5"/>
    <col width="34" customWidth="1" style="1025" min="6" max="6"/>
    <col width="34" customWidth="1" style="1025" min="7" max="7"/>
    <col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row>
    <row r="2" ht="32" customHeight="1" s="1025">
      <c r="A2" s="1055" t="inlineStr">
        <is>
          <t>有效起点：1 项 | 往期承诺沿用：1 项 | 排除：0 项</t>
        </is>
      </c>
      <c r="B2" s="1056" t="n"/>
      <c r="C2" s="1056" t="n"/>
      <c r="D2" s="1056" t="n"/>
    </row>
    <row r="3" ht="9" customHeight="1" s="1025">
      <c r="A3" s="918" t="n"/>
      <c r="B3" s="948" t="n"/>
      <c r="C3" s="918" t="n"/>
      <c r="D3" s="948" t="n"/>
      <c r="E3" s="948" t="n"/>
      <c r="F3" s="948" t="n"/>
      <c r="G3" s="948" t="n"/>
      <c r="H3" s="918" t="n"/>
    </row>
    <row r="4" ht="38" customHeight="1" s="1025">
      <c r="A4" s="644" t="inlineStr">
        <is>
          <t>主题名称</t>
        </is>
      </c>
      <c r="B4" s="644" t="inlineStr">
        <is>
          <t>现状条目名称</t>
        </is>
      </c>
      <c r="C4" s="644" t="inlineStr">
        <is>
          <t>现状描述</t>
        </is>
      </c>
      <c r="D4" s="644" t="inlineStr">
        <is>
          <t>起点可用性</t>
        </is>
      </c>
    </row>
    <row r="5" ht="36" customHeight="1" s="1025">
      <c r="A5" s="1057" t="inlineStr">
        <is>
          <t>能力与流程</t>
        </is>
      </c>
      <c r="B5" s="1053" t="inlineStr">
        <is>
          <t>既有退款接口</t>
        </is>
      </c>
      <c r="C5" s="1053" t="inlineStr">
        <is>
          <t>项目启动时已有可调用的退款申请和状态查询接口。</t>
        </is>
      </c>
      <c r="D5" s="1057" t="inlineStr">
        <is>
          <t>当前已存在</t>
        </is>
      </c>
    </row>
    <row r="6" ht="28" customHeight="1" s="1025"/>
    <row r="7" ht="28" customHeight="1" s="1025"/>
    <row r="8" ht="28" customHeight="1" s="1025"/>
    <row r="9" ht="28" customHeight="1" s="1025"/>
    <row r="10" ht="28" customHeight="1" s="1025"/>
    <row r="11" ht="28" customHeight="1" s="1025"/>
    <row r="12" ht="28" customHeight="1" s="1025"/>
    <row r="13" ht="28" customHeight="1" s="1025"/>
    <row r="14" ht="44" customHeight="1" s="1025"/>
    <row r="17" ht="38" customHeight="1" s="1025"/>
    <row r="18" ht="36" customHeight="1" s="1025"/>
    <row r="19" ht="36" customHeight="1" s="1025"/>
    <row r="20" ht="36" customHeight="1" s="1025"/>
    <row r="21" ht="36" customHeight="1" s="1025"/>
    <row r="22" ht="36" customHeight="1" s="1025"/>
    <row r="23" ht="36" customHeight="1" s="1025"/>
    <row r="24" ht="36" customHeight="1" s="1025"/>
    <row r="25" ht="36" customHeight="1" s="1025"/>
  </sheetData>
  <mergeCells count="2">
    <mergeCell ref="A1:D1"/>
    <mergeCell ref="A2:D2"/>
  </mergeCells>
  <conditionalFormatting sqref="B5:B1004">
    <cfRule type="expression" priority="2" dxfId="39">
      <formula>AND(B5&lt;&gt;"",COUNTIF($B$5:$B$1004,B5)&gt;1)</formula>
    </cfRule>
  </conditionalFormatting>
  <dataValidations count="2">
    <dataValidation sqref="A5:A1004" showDropDown="0" showInputMessage="1" showErrorMessage="1" allowBlank="0" errorTitle="主题名称无效" error="请选择下拉列表中的主题名称。" promptTitle="主题名称" prompt="从九个系统现状主题中选择。" type="list" errorStyle="stop">
      <formula1>"系统边界与参与方,能力与流程,应用与组件,集成与外部依赖,数据与存储,平台、环境与部署,安全与合规,运维与质量,交付与约束"</formula1>
    </dataValidation>
    <dataValidation sqref="D5:D1004" showDropDown="0" showInputMessage="1" showErrorMessage="1" allowBlank="0" errorTitle="起点可用性无效" error="请选择“当前已存在”或“预计开工前具备”。" promptTitle="起点可用性" prompt="说明该条目现在已存在，还是预计在项目开工前具备。" type="list" errorStyle="stop">
      <formula1>"当前已存在,预计开工前具备"</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