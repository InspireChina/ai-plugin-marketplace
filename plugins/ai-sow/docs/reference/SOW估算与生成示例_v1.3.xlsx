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0-使用说明" sheetId="1" state="visible" r:id="rId1"/>
    <sheet name="01-需求" sheetId="2" state="visible" r:id="rId2"/>
    <sheet name="02-子需求" sheetId="3" state="visible" r:id="rId3"/>
    <sheet name="03-SOW主表" sheetId="4" state="visible" r:id="rId4"/>
    <sheet name="04-验收条件" sheetId="5" state="visible" r:id="rId5"/>
    <sheet name="05-任务明细" sheetId="6" state="visible" r:id="rId6"/>
    <sheet name="06-集成点" sheetId="7" state="visible" r:id="rId7"/>
    <sheet name="07-假设清单" sheetId="8" state="visible" r:id="rId8"/>
    <sheet name="20-项目汇总" sheetId="9" state="visible" r:id="rId9"/>
    <sheet name="90-系统现状" sheetId="10" state="visible" r:id="rId10"/>
    <sheet name="91-项目参数" sheetId="11" state="visible" r:id="rId11"/>
    <sheet name="92-基础人天" sheetId="12" state="visible" r:id="rId12"/>
  </sheets>
  <definedNames/>
  <calcPr calcId="124519" calcMode="auto" fullCalcOnLoad="1" calcOnSave="1" forceFullCalc="1"/>
</workbook>
</file>

<file path=xl/styles.xml><?xml version="1.0" encoding="utf-8"?>
<styleSheet xmlns="http://schemas.openxmlformats.org/spreadsheetml/2006/main">
  <numFmts count="3">
    <numFmt numFmtId="164" formatCode="0.0"/>
    <numFmt numFmtId="165" formatCode="_ * #,##0.00_ ;_ * \-#,##0.00_ ;_ * &quot;-&quot;??_ ;_ @_ "/>
    <numFmt numFmtId="166" formatCode="_ * #,##0_ ;_ * \-#,##0_ ;_ * &quot;-&quot;_ ;_ @_ "/>
  </numFmts>
  <fonts count="52">
    <font>
      <name val="Carlito"/>
      <sz val="11"/>
    </font>
    <font>
      <name val="Carlito"/>
      <b val="1"/>
      <color rgb="FFFFFFFF"/>
      <sz val="16"/>
    </font>
    <font>
      <name val="Carlito"/>
      <i val="1"/>
      <color rgb="FF44546A"/>
      <sz val="10"/>
    </font>
    <font>
      <name val="Carlito"/>
      <b val="1"/>
      <color rgb="FFFFFFFF"/>
      <sz val="10"/>
    </font>
    <font>
      <name val="Carlito"/>
      <color rgb="FF1F1F1F"/>
      <sz val="10"/>
    </font>
    <font>
      <name val="Carlito"/>
      <b val="1"/>
      <color rgb="FF17365D"/>
      <sz val="11"/>
    </font>
    <font>
      <name val="Carlito"/>
      <b val="1"/>
      <color rgb="FFFFFFFF"/>
      <sz val="11"/>
    </font>
    <font>
      <name val="Carlito"/>
      <i val="1"/>
      <color rgb="FF44546A"/>
      <sz val="11"/>
    </font>
    <font>
      <name val="Carlito"/>
      <color rgb="FF1F1F1F"/>
      <sz val="11"/>
    </font>
    <font>
      <name val="Carlito"/>
      <b val="1"/>
      <color rgb="FF17365D"/>
      <sz val="10"/>
    </font>
    <font>
      <name val="Carlito"/>
      <i val="1"/>
      <color rgb="FF666666"/>
      <sz val="11"/>
    </font>
    <font>
      <name val="Calibri"/>
      <color theme="1"/>
      <sz val="11"/>
    </font>
    <font>
      <name val="Calibri"/>
      <color rgb="FF0000FF"/>
      <sz val="11"/>
    </font>
    <font>
      <name val="Calibri"/>
      <color rgb="FF800080"/>
      <sz val="11"/>
    </font>
    <font>
      <name val="Calibri"/>
      <color rgb="FFFF0000"/>
      <sz val="11"/>
    </font>
    <font>
      <name val="Calibri"/>
      <b val="1"/>
      <color theme="3"/>
      <sz val="18"/>
    </font>
    <font>
      <name val="Calibri"/>
      <i val="1"/>
      <color rgb="FF7F7F7F"/>
      <sz val="11"/>
    </font>
    <font>
      <name val="Calibri"/>
      <b val="1"/>
      <color theme="3"/>
      <sz val="15"/>
    </font>
    <font>
      <name val="Calibri"/>
      <b val="1"/>
      <color theme="3"/>
      <sz val="13"/>
    </font>
    <font>
      <name val="Calibri"/>
      <b val="1"/>
      <color theme="3"/>
      <sz val="11"/>
    </font>
    <font>
      <name val="Calibri"/>
      <color rgb="FF3F3F76"/>
      <sz val="11"/>
    </font>
    <font>
      <name val="Calibri"/>
      <b val="1"/>
      <color rgb="FF3F3F3F"/>
      <sz val="11"/>
    </font>
    <font>
      <name val="Calibri"/>
      <b val="1"/>
      <color rgb="FFFA7D00"/>
      <sz val="11"/>
    </font>
    <font>
      <name val="Calibri"/>
      <b val="1"/>
      <color rgb="FFFFFFFF"/>
      <sz val="11"/>
    </font>
    <font>
      <name val="Calibri"/>
      <color rgb="FFFA7D00"/>
      <sz val="11"/>
    </font>
    <font>
      <name val="Calibri"/>
      <b val="1"/>
      <color theme="1"/>
      <sz val="11"/>
    </font>
    <font>
      <name val="Calibri"/>
      <color rgb="FF006100"/>
      <sz val="11"/>
    </font>
    <font>
      <name val="Calibri"/>
      <color rgb="FF9C0006"/>
      <sz val="11"/>
    </font>
    <font>
      <name val="Calibri"/>
      <color rgb="FF9C6500"/>
      <sz val="11"/>
    </font>
    <font>
      <name val="Calibri"/>
      <color theme="0"/>
      <sz val="11"/>
    </font>
    <font>
      <name val="Calibri"/>
      <color theme="1"/>
      <sz val="11"/>
    </font>
    <font>
      <name val="Carlito"/>
      <b val="1"/>
      <color rgb="FFFFFFFF"/>
      <sz val="15"/>
    </font>
    <font>
      <name val="Carlito"/>
      <color rgb="FF44546A"/>
      <sz val="11"/>
    </font>
    <font>
      <name val="Carlito"/>
      <i val="1"/>
      <color rgb="FF666666"/>
      <sz val="10"/>
    </font>
    <font>
      <name val="Carlito"/>
      <b val="1"/>
      <color rgb="FFFFFFFF"/>
      <sz val="13"/>
    </font>
    <font>
      <name val="Carlito"/>
      <b val="1"/>
      <i val="1"/>
      <color rgb="FF666666"/>
      <sz val="11"/>
    </font>
    <font>
      <name val="Carlito"/>
      <b val="1"/>
      <color rgb="FF1F1F1F"/>
      <sz val="11"/>
    </font>
    <font>
      <name val="Aptos Display"/>
      <b val="1"/>
      <color rgb="FFFFFFFF"/>
      <sz val="17"/>
    </font>
    <font>
      <name val="Aptos"/>
      <i val="1"/>
      <color rgb="FF667680"/>
      <sz val="10"/>
    </font>
    <font>
      <name val="Aptos"/>
      <b val="1"/>
      <color rgb="FFFFFFFF"/>
      <sz val="17"/>
    </font>
    <font>
      <name val="Aptos"/>
      <sz val="11"/>
    </font>
    <font>
      <name val="Aptos"/>
      <b val="1"/>
      <color rgb="FFFFFFFF"/>
      <sz val="11"/>
    </font>
    <font>
      <name val="Aptos"/>
      <color rgb="FF1F1F1F"/>
      <sz val="11"/>
    </font>
    <font>
      <name val="Aptos"/>
      <b val="1"/>
      <color rgb="FF24313A"/>
      <sz val="10"/>
    </font>
    <font>
      <name val="Aptos"/>
      <color rgb="FF24313A"/>
      <sz val="10"/>
    </font>
    <font>
      <name val="Aptos"/>
      <b val="1"/>
      <color rgb="FF315F61"/>
      <sz val="10"/>
    </font>
    <font>
      <name val="Aptos"/>
      <b val="1"/>
      <color rgb="FFFFFFFF"/>
      <sz val="10"/>
    </font>
    <font>
      <name val="Aptos"/>
      <color rgb="FF5E6B75"/>
      <sz val="10"/>
    </font>
    <font>
      <name val="Aptos"/>
      <b val="1"/>
      <color rgb="FF17324D"/>
      <sz val="11"/>
    </font>
    <font>
      <name val="Aptos"/>
      <b val="1"/>
      <color rgb="FF72531E"/>
      <sz val="10"/>
    </font>
    <font>
      <name val="Aptos"/>
      <b val="1"/>
      <color rgb="FF72531E"/>
      <sz val="11"/>
    </font>
    <font>
      <name val="Aptos"/>
      <color rgb="FF667680"/>
      <sz val="10"/>
    </font>
  </fonts>
  <fills count="107">
    <fill>
      <patternFill/>
    </fill>
    <fill>
      <patternFill patternType="gray125"/>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9EAF7"/>
      </patternFill>
    </fill>
    <fill>
      <patternFill patternType="solid">
        <fgColor rgb="FFDDEBF7"/>
      </patternFill>
    </fill>
    <fill>
      <patternFill patternType="solid">
        <fgColor rgb="FF2F75B5"/>
      </patternFill>
    </fill>
    <fill>
      <patternFill patternType="solid">
        <fgColor rgb="FFE2F0D9"/>
      </patternFill>
    </fill>
    <fill>
      <patternFill patternType="solid">
        <fgColor rgb="FFFCE4D6"/>
      </patternFill>
    </fill>
    <fill>
      <patternFill patternType="solid">
        <fgColor rgb="FFFFFFCC"/>
      </patternFill>
    </fill>
    <fill>
      <patternFill patternType="solid">
        <fgColor rgb="FFFFCC99"/>
      </patternFill>
    </fill>
    <fill>
      <patternFill patternType="solid">
        <fgColor rgb="FFA5A5A5"/>
      </patternFill>
    </fill>
    <fill>
      <patternFill patternType="solid">
        <fgColor rgb="FFC6EFCE"/>
      </patternFill>
    </fill>
    <fill>
      <patternFill patternType="solid">
        <fgColor rgb="FFFFC7CE"/>
      </patternFill>
    </fill>
    <fill>
      <patternFill patternType="solid">
        <fgColor rgb="FFFFEB9C"/>
      </patternFill>
    </fill>
    <fill>
      <patternFill patternType="solid">
        <fgColor theme="4"/>
      </patternFill>
    </fill>
    <fill>
      <patternFill patternType="solid">
        <fgColor theme="4" tint="0.79998"/>
      </patternFill>
    </fill>
    <fill>
      <patternFill patternType="solid">
        <fgColor theme="4" tint="0.59999"/>
      </patternFill>
    </fill>
    <fill>
      <patternFill patternType="solid">
        <fgColor theme="4" tint="0.39998"/>
      </patternFill>
    </fill>
    <fill>
      <patternFill patternType="solid">
        <fgColor theme="5"/>
      </patternFill>
    </fill>
    <fill>
      <patternFill patternType="solid">
        <fgColor theme="5" tint="0.79998"/>
      </patternFill>
    </fill>
    <fill>
      <patternFill patternType="solid">
        <fgColor theme="5" tint="0.59999"/>
      </patternFill>
    </fill>
    <fill>
      <patternFill patternType="solid">
        <fgColor theme="5" tint="0.39998"/>
      </patternFill>
    </fill>
    <fill>
      <patternFill patternType="solid">
        <fgColor theme="6"/>
      </patternFill>
    </fill>
    <fill>
      <patternFill patternType="solid">
        <fgColor theme="6" tint="0.79998"/>
      </patternFill>
    </fill>
    <fill>
      <patternFill patternType="solid">
        <fgColor theme="6" tint="0.59999"/>
      </patternFill>
    </fill>
    <fill>
      <patternFill patternType="solid">
        <fgColor theme="6" tint="0.39998"/>
      </patternFill>
    </fill>
    <fill>
      <patternFill patternType="solid">
        <fgColor theme="7"/>
      </patternFill>
    </fill>
    <fill>
      <patternFill patternType="solid">
        <fgColor theme="7" tint="0.79998"/>
      </patternFill>
    </fill>
    <fill>
      <patternFill patternType="solid">
        <fgColor theme="7" tint="0.59999"/>
      </patternFill>
    </fill>
    <fill>
      <patternFill patternType="solid">
        <fgColor theme="7" tint="0.39998"/>
      </patternFill>
    </fill>
    <fill>
      <patternFill patternType="solid">
        <fgColor theme="8"/>
      </patternFill>
    </fill>
    <fill>
      <patternFill patternType="solid">
        <fgColor theme="8" tint="0.79998"/>
      </patternFill>
    </fill>
    <fill>
      <patternFill patternType="solid">
        <fgColor theme="8" tint="0.59999"/>
      </patternFill>
    </fill>
    <fill>
      <patternFill patternType="solid">
        <fgColor theme="8" tint="0.39998"/>
      </patternFill>
    </fill>
    <fill>
      <patternFill patternType="solid">
        <fgColor theme="9"/>
      </patternFill>
    </fill>
    <fill>
      <patternFill patternType="solid">
        <fgColor theme="9" tint="0.79998"/>
      </patternFill>
    </fill>
    <fill>
      <patternFill patternType="solid">
        <fgColor theme="9" tint="0.59999"/>
      </patternFill>
    </fill>
    <fill>
      <patternFill patternType="solid">
        <fgColor theme="9" tint="0.39998"/>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2F75B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FFF"/>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FFF"/>
      </patternFill>
    </fill>
    <fill>
      <patternFill patternType="solid">
        <fgColor rgb="FF5B9BD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2F75B5"/>
      </patternFill>
    </fill>
    <fill>
      <patternFill patternType="solid">
        <fgColor rgb="FFBF9000"/>
      </patternFill>
    </fill>
    <fill>
      <patternFill patternType="solid">
        <fgColor rgb="FF70AD47"/>
      </patternFill>
    </fill>
    <fill>
      <patternFill patternType="solid">
        <fgColor rgb="FF5B9BD5"/>
      </patternFill>
    </fill>
    <fill>
      <patternFill patternType="solid">
        <fgColor rgb="FFEAF2F8"/>
      </patternFill>
    </fill>
    <fill>
      <patternFill patternType="solid">
        <fgColor rgb="FFFFFFFF"/>
      </patternFill>
    </fill>
    <fill>
      <patternFill patternType="solid">
        <fgColor rgb="FFFFF2CC"/>
      </patternFill>
    </fill>
    <fill>
      <patternFill patternType="solid">
        <fgColor rgb="FFE2F0D9"/>
      </patternFill>
    </fill>
    <fill>
      <patternFill patternType="solid">
        <fgColor rgb="FF17324D"/>
      </patternFill>
    </fill>
    <fill>
      <patternFill patternType="solid">
        <fgColor rgb="FFF7F9FA"/>
      </patternFill>
    </fill>
    <fill>
      <patternFill patternType="solid">
        <fgColor rgb="FF26465F"/>
      </patternFill>
    </fill>
    <fill>
      <patternFill patternType="solid">
        <fgColor rgb="FFFFFFFF"/>
      </patternFill>
    </fill>
    <fill>
      <patternFill patternType="solid">
        <fgColor rgb="FFE8F1F0"/>
      </patternFill>
    </fill>
    <fill>
      <patternFill patternType="solid">
        <fgColor rgb="FF315F61"/>
      </patternFill>
    </fill>
    <fill>
      <patternFill patternType="solid">
        <fgColor rgb="FFFFF5E3"/>
      </patternFill>
    </fill>
    <fill>
      <patternFill patternType="solid">
        <fgColor rgb="FFF1F4F6"/>
      </patternFill>
    </fill>
    <fill>
      <patternFill patternType="solid">
        <fgColor rgb="FFDCEEE7"/>
      </patternFill>
    </fill>
    <fill>
      <patternFill patternType="solid">
        <fgColor rgb="FF5E6B75"/>
      </patternFill>
    </fill>
    <fill>
      <patternFill patternType="solid">
        <fgColor rgb="FF3F7778"/>
      </patternFill>
    </fill>
    <fill>
      <patternFill patternType="solid">
        <fgColor rgb="FFA8762E"/>
      </patternFill>
    </fill>
    <fill>
      <patternFill patternType="solid">
        <fgColor rgb="FFF1F4F6"/>
      </patternFill>
    </fill>
    <fill>
      <patternFill patternType="solid">
        <fgColor rgb="FFFFFFFF"/>
      </patternFill>
    </fill>
    <fill>
      <patternFill patternType="solid">
        <fgColor rgb="FFE8F1F0"/>
      </patternFill>
    </fill>
    <fill>
      <patternFill patternType="solid">
        <fgColor rgb="FFFFF5E3"/>
      </patternFill>
    </fill>
  </fills>
  <borders count="38">
    <border/>
    <border>
      <left style="thin">
        <color rgb="FFB4C6E7"/>
      </left>
      <right style="thin">
        <color rgb="FFB4C6E7"/>
      </right>
      <top style="thin">
        <color rgb="FFB4C6E7"/>
      </top>
      <bottom style="thin">
        <color rgb="FFB4C6E7"/>
      </bottom>
    </border>
    <border>
      <left style="thin">
        <color rgb="FFB4C6E7"/>
      </left>
      <top style="thin">
        <color rgb="FFB4C6E7"/>
      </top>
      <bottom style="thin">
        <color rgb="FFB4C6E7"/>
      </bottom>
    </border>
    <border>
      <top style="thin">
        <color rgb="FFB4C6E7"/>
      </top>
      <bottom style="thin">
        <color rgb="FFB4C6E7"/>
      </bottom>
    </border>
    <border>
      <right style="thin">
        <color rgb="FFB4C6E7"/>
      </right>
      <top style="thin">
        <color rgb="FFB4C6E7"/>
      </top>
      <bottom style="thin">
        <color rgb="FFB4C6E7"/>
      </bottom>
    </border>
    <border>
      <left style="thin">
        <color rgb="FFB2B2B2"/>
      </left>
      <right style="thin">
        <color rgb="FFB2B2B2"/>
      </right>
      <top style="thin">
        <color rgb="FFB2B2B2"/>
      </top>
      <bottom style="thin">
        <color rgb="FFB2B2B2"/>
      </bottom>
    </border>
    <border>
      <bottom style="medium">
        <color theme="4"/>
      </bottom>
    </border>
    <border>
      <bottom style="medium">
        <color theme="4" tint="0.49998"/>
      </bottom>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double">
        <color rgb="FF3F3F3F"/>
      </left>
      <right style="double">
        <color rgb="FF3F3F3F"/>
      </right>
      <top style="double">
        <color rgb="FF3F3F3F"/>
      </top>
      <bottom style="double">
        <color rgb="FF3F3F3F"/>
      </bottom>
    </border>
    <border>
      <bottom style="double">
        <color rgb="FFFF8001"/>
      </bottom>
    </border>
    <border>
      <top style="thin">
        <color theme="4"/>
      </top>
      <bottom style="double">
        <color theme="4"/>
      </bottom>
    </border>
    <border>
      <left style="thin">
        <color rgb="FFA9C7EA"/>
      </left>
      <right style="thin">
        <color rgb="FFA9C7EA"/>
      </right>
      <top style="thin">
        <color rgb="FFA9C7EA"/>
      </top>
      <bottom style="thin">
        <color rgb="FFA9C7EA"/>
      </bottom>
    </border>
    <border>
      <top style="thin">
        <color rgb="FFA9C7EA"/>
      </top>
    </border>
    <border>
      <right style="thin">
        <color rgb="FFA9C7EA"/>
      </right>
      <top style="thin">
        <color rgb="FFA9C7EA"/>
      </top>
    </border>
    <border>
      <top style="thin">
        <color rgb="FFA9C7EA"/>
      </top>
      <bottom style="thin">
        <color rgb="FFA9C7EA"/>
      </bottom>
    </border>
    <border>
      <right style="thin">
        <color rgb="FFA9C7EA"/>
      </right>
      <top style="thin">
        <color rgb="FFA9C7EA"/>
      </top>
      <bottom style="thin">
        <color rgb="FFA9C7EA"/>
      </bottom>
    </border>
    <border>
      <top style="thin">
        <color rgb="FFB4C6E7"/>
      </top>
    </border>
    <border>
      <right style="thin">
        <color rgb="FFB4C6E7"/>
      </right>
      <top style="thin">
        <color rgb="FFB4C6E7"/>
      </top>
    </border>
    <border>
      <left style="thin">
        <color rgb="FFD9E2F3"/>
      </left>
      <right style="thin">
        <color rgb="FFD9E2F3"/>
      </right>
      <top style="thin">
        <color rgb="FFD9E2F3"/>
      </top>
      <bottom style="thin">
        <color rgb="FFD9E2F3"/>
      </bottom>
    </border>
    <border>
      <bottom style="medium">
        <color rgb="FF3F7778"/>
      </bottom>
    </border>
    <border>
      <bottom style="thin">
        <color rgb="FFB9C7CE"/>
      </bottom>
    </border>
    <border>
      <left style="thin">
        <color rgb="FFA9C7EA"/>
      </left>
      <right style="thin">
        <color rgb="FFA9C7EA"/>
      </right>
      <top style="thin">
        <color rgb="FFA9C7EA"/>
      </top>
      <bottom style="medium">
        <color rgb="FF3F7778"/>
      </bottom>
    </border>
    <border>
      <top style="thin">
        <color rgb="FFA9C7EA"/>
      </top>
      <bottom style="medium">
        <color rgb="FF3F7778"/>
      </bottom>
    </border>
    <border>
      <right style="thin">
        <color rgb="FFA9C7EA"/>
      </right>
      <top style="thin">
        <color rgb="FFA9C7EA"/>
      </top>
      <bottom style="medium">
        <color rgb="FF3F7778"/>
      </bottom>
    </border>
    <border>
      <left style="thin">
        <color rgb="FFD6DEE3"/>
      </left>
      <right style="thin">
        <color rgb="FFD6DEE3"/>
      </right>
      <top style="thin">
        <color rgb="FFD6DEE3"/>
      </top>
      <bottom style="thin">
        <color rgb="FFD6DEE3"/>
      </bottom>
    </border>
    <border>
      <left style="thin">
        <color rgb="FFDCE7E7"/>
      </left>
      <right style="thin">
        <color rgb="FFDCE7E7"/>
      </right>
      <top style="thin">
        <color rgb="FFDCE7E7"/>
      </top>
      <bottom style="thin">
        <color rgb="FFDCE7E7"/>
      </bottom>
    </border>
    <border>
      <left style="medium">
        <color rgb="FF17324D"/>
      </left>
      <right style="medium">
        <color rgb="FF17324D"/>
      </right>
      <top style="medium">
        <color rgb="FF17324D"/>
      </top>
      <bottom style="medium">
        <color rgb="FF17324D"/>
      </bottom>
    </border>
    <border>
      <left style="thin">
        <color rgb="FFFFFFFF"/>
      </left>
      <right style="thin">
        <color rgb="FFFFFFFF"/>
      </right>
      <top style="thin">
        <color rgb="FFFFFFFF"/>
      </top>
      <bottom style="thin">
        <color rgb="FFFFFFFF"/>
      </bottom>
    </border>
    <border>
      <top style="thin">
        <color rgb="FFD6DEE3"/>
      </top>
    </border>
    <border>
      <right style="thin">
        <color rgb="FFD6DEE3"/>
      </right>
      <top style="thin">
        <color rgb="FFD6DEE3"/>
      </top>
    </border>
    <border>
      <top style="thin">
        <color rgb="FFD6DEE3"/>
      </top>
      <bottom style="thin">
        <color rgb="FFD6DEE3"/>
      </bottom>
    </border>
    <border>
      <right style="thin">
        <color rgb="FFD6DEE3"/>
      </right>
      <top style="thin">
        <color rgb="FFD6DEE3"/>
      </top>
      <bottom style="thin">
        <color rgb="FFD6DEE3"/>
      </bottom>
    </border>
    <border>
      <top style="thin">
        <color rgb="FFFFFFFF"/>
      </top>
    </border>
    <border>
      <right style="thin">
        <color rgb="FFFFFFFF"/>
      </right>
      <top style="thin">
        <color rgb="FFFFFFFF"/>
      </top>
    </border>
    <border>
      <top style="thin">
        <color rgb="FFFFFFFF"/>
      </top>
      <bottom style="thin">
        <color rgb="FFFFFFFF"/>
      </bottom>
    </border>
    <border>
      <right style="thin">
        <color rgb="FFFFFFFF"/>
      </right>
      <top style="thin">
        <color rgb="FFFFFFFF"/>
      </top>
      <bottom style="thin">
        <color rgb="FFFFFFFF"/>
      </bottom>
    </border>
  </borders>
  <cellStyleXfs count="49">
    <xf numFmtId="0" fontId="0" fillId="0" borderId="0"/>
    <xf numFmtId="165" fontId="30" fillId="0" borderId="0" applyAlignment="1">
      <alignment vertical="center"/>
    </xf>
    <xf numFmtId="44" fontId="30" fillId="0" borderId="0" applyAlignment="1">
      <alignment vertical="center"/>
    </xf>
    <xf numFmtId="9" fontId="30" fillId="0" borderId="0" applyAlignment="1">
      <alignment vertical="center"/>
    </xf>
    <xf numFmtId="166" fontId="30" fillId="0" borderId="0" applyAlignment="1">
      <alignment vertical="center"/>
    </xf>
    <xf numFmtId="42" fontId="30" fillId="0" borderId="0" applyAlignment="1">
      <alignment vertical="center"/>
    </xf>
    <xf numFmtId="0" fontId="12" fillId="0" borderId="0" applyAlignment="1">
      <alignment vertical="center"/>
    </xf>
    <xf numFmtId="0" fontId="13" fillId="0" borderId="0" applyAlignment="1">
      <alignment vertical="center"/>
    </xf>
    <xf numFmtId="0" fontId="30" fillId="11" borderId="5" applyAlignment="1">
      <alignment vertical="center"/>
    </xf>
    <xf numFmtId="0" fontId="14" fillId="0" borderId="0" applyAlignment="1">
      <alignment vertical="center"/>
    </xf>
    <xf numFmtId="0" fontId="15" fillId="0" borderId="0" applyAlignment="1">
      <alignment vertical="center"/>
    </xf>
    <xf numFmtId="0" fontId="16" fillId="0" borderId="0" applyAlignment="1">
      <alignment vertical="center"/>
    </xf>
    <xf numFmtId="0" fontId="17" fillId="0" borderId="6" applyAlignment="1">
      <alignment vertical="center"/>
    </xf>
    <xf numFmtId="0" fontId="18" fillId="0" borderId="6" applyAlignment="1">
      <alignment vertical="center"/>
    </xf>
    <xf numFmtId="0" fontId="19" fillId="0" borderId="7" applyAlignment="1">
      <alignment vertical="center"/>
    </xf>
    <xf numFmtId="0" fontId="19" fillId="0" borderId="0" applyAlignment="1">
      <alignment vertical="center"/>
    </xf>
    <xf numFmtId="0" fontId="20" fillId="12" borderId="8" applyAlignment="1">
      <alignment vertical="center"/>
    </xf>
    <xf numFmtId="0" fontId="21" fillId="82" borderId="9" applyAlignment="1">
      <alignment vertical="center"/>
    </xf>
    <xf numFmtId="0" fontId="22" fillId="82" borderId="8" applyAlignment="1">
      <alignment vertical="center"/>
    </xf>
    <xf numFmtId="0" fontId="23" fillId="13" borderId="10" applyAlignment="1">
      <alignment vertical="center"/>
    </xf>
    <xf numFmtId="0" fontId="24" fillId="0" borderId="11" applyAlignment="1">
      <alignment vertical="center"/>
    </xf>
    <xf numFmtId="0" fontId="25" fillId="0" borderId="12" applyAlignment="1">
      <alignment vertical="center"/>
    </xf>
    <xf numFmtId="0" fontId="26" fillId="14" borderId="0" applyAlignment="1">
      <alignment vertical="center"/>
    </xf>
    <xf numFmtId="0" fontId="27" fillId="15" borderId="0" applyAlignment="1">
      <alignment vertical="center"/>
    </xf>
    <xf numFmtId="0" fontId="28" fillId="16" borderId="0" applyAlignment="1">
      <alignment vertical="center"/>
    </xf>
    <xf numFmtId="0" fontId="29" fillId="17" borderId="0" applyAlignment="1">
      <alignment vertical="center"/>
    </xf>
    <xf numFmtId="0" fontId="30" fillId="18" borderId="0" applyAlignment="1">
      <alignment vertical="center"/>
    </xf>
    <xf numFmtId="0" fontId="30" fillId="19" borderId="0" applyAlignment="1">
      <alignment vertical="center"/>
    </xf>
    <xf numFmtId="0" fontId="29" fillId="20" borderId="0" applyAlignment="1">
      <alignment vertical="center"/>
    </xf>
    <xf numFmtId="0" fontId="29" fillId="21" borderId="0" applyAlignment="1">
      <alignment vertical="center"/>
    </xf>
    <xf numFmtId="0" fontId="30" fillId="22" borderId="0" applyAlignment="1">
      <alignment vertical="center"/>
    </xf>
    <xf numFmtId="0" fontId="30" fillId="23" borderId="0" applyAlignment="1">
      <alignment vertical="center"/>
    </xf>
    <xf numFmtId="0" fontId="29" fillId="24" borderId="0" applyAlignment="1">
      <alignment vertical="center"/>
    </xf>
    <xf numFmtId="0" fontId="29" fillId="25" borderId="0" applyAlignment="1">
      <alignment vertical="center"/>
    </xf>
    <xf numFmtId="0" fontId="30" fillId="26" borderId="0" applyAlignment="1">
      <alignment vertical="center"/>
    </xf>
    <xf numFmtId="0" fontId="30" fillId="27" borderId="0" applyAlignment="1">
      <alignment vertical="center"/>
    </xf>
    <xf numFmtId="0" fontId="29" fillId="28" borderId="0" applyAlignment="1">
      <alignment vertical="center"/>
    </xf>
    <xf numFmtId="0" fontId="29" fillId="29" borderId="0" applyAlignment="1">
      <alignment vertical="center"/>
    </xf>
    <xf numFmtId="0" fontId="30" fillId="30" borderId="0" applyAlignment="1">
      <alignment vertical="center"/>
    </xf>
    <xf numFmtId="0" fontId="30" fillId="31" borderId="0" applyAlignment="1">
      <alignment vertical="center"/>
    </xf>
    <xf numFmtId="0" fontId="29" fillId="32" borderId="0" applyAlignment="1">
      <alignment vertical="center"/>
    </xf>
    <xf numFmtId="0" fontId="29" fillId="33" borderId="0" applyAlignment="1">
      <alignment vertical="center"/>
    </xf>
    <xf numFmtId="0" fontId="30" fillId="34" borderId="0" applyAlignment="1">
      <alignment vertical="center"/>
    </xf>
    <xf numFmtId="0" fontId="30" fillId="35" borderId="0" applyAlignment="1">
      <alignment vertical="center"/>
    </xf>
    <xf numFmtId="0" fontId="29" fillId="36" borderId="0" applyAlignment="1">
      <alignment vertical="center"/>
    </xf>
    <xf numFmtId="0" fontId="29" fillId="37" borderId="0" applyAlignment="1">
      <alignment vertical="center"/>
    </xf>
    <xf numFmtId="0" fontId="30" fillId="38" borderId="0" applyAlignment="1">
      <alignment vertical="center"/>
    </xf>
    <xf numFmtId="0" fontId="30" fillId="39" borderId="0" applyAlignment="1">
      <alignment vertical="center"/>
    </xf>
    <xf numFmtId="0" fontId="29" fillId="40" borderId="0" applyAlignment="1">
      <alignment vertical="center"/>
    </xf>
  </cellStyleXfs>
  <cellXfs count="655">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wrapText="1"/>
    </xf>
    <xf numFmtId="0" fontId="3" fillId="4" borderId="1" applyAlignment="1" pivotButton="0" quotePrefix="0" xfId="0">
      <alignment horizontal="center" vertical="center" wrapText="1"/>
    </xf>
    <xf numFmtId="0" fontId="4" fillId="5" borderId="1" applyAlignment="1" pivotButton="0" quotePrefix="0" xfId="0">
      <alignment vertical="top" wrapText="1"/>
    </xf>
    <xf numFmtId="164" fontId="4" fillId="5" borderId="1" applyAlignment="1" pivotButton="0" quotePrefix="0" xfId="0">
      <alignment vertical="top" wrapText="1"/>
    </xf>
    <xf numFmtId="0" fontId="4" fillId="0" borderId="1" applyAlignment="1" pivotButton="0" quotePrefix="0" xfId="0">
      <alignment vertical="top" wrapText="1"/>
    </xf>
    <xf numFmtId="0" fontId="5" fillId="6" borderId="1" applyAlignment="1" pivotButton="0" quotePrefix="0" xfId="0">
      <alignment vertical="center" wrapText="1"/>
    </xf>
    <xf numFmtId="9" fontId="4" fillId="5" borderId="1" applyAlignment="1" pivotButton="0" quotePrefix="0" xfId="0">
      <alignment vertical="top" wrapText="1"/>
    </xf>
    <xf numFmtId="0" fontId="6" fillId="2" borderId="0" applyAlignment="1" pivotButton="0" quotePrefix="0" xfId="0">
      <alignment vertical="center"/>
    </xf>
    <xf numFmtId="0" fontId="7" fillId="3" borderId="0" applyAlignment="1" pivotButton="0" quotePrefix="0" xfId="0">
      <alignment vertical="center" wrapText="1"/>
    </xf>
    <xf numFmtId="0" fontId="5" fillId="7" borderId="2" applyAlignment="1" pivotButton="0" quotePrefix="0" xfId="0">
      <alignment vertical="center"/>
    </xf>
    <xf numFmtId="0" fontId="5" fillId="7" borderId="3" applyAlignment="1" pivotButton="0" quotePrefix="0" xfId="0">
      <alignment vertical="center"/>
    </xf>
    <xf numFmtId="0" fontId="5" fillId="7" borderId="4" applyAlignment="1" pivotButton="0" quotePrefix="0" xfId="0">
      <alignment vertical="center"/>
    </xf>
    <xf numFmtId="0" fontId="6" fillId="4" borderId="1" applyAlignment="1" pivotButton="0" quotePrefix="0" xfId="0">
      <alignment horizontal="center" vertical="center" wrapText="1"/>
    </xf>
    <xf numFmtId="0" fontId="8" fillId="5" borderId="1" applyAlignment="1" pivotButton="0" quotePrefix="0" xfId="0">
      <alignment vertical="center" wrapText="1"/>
    </xf>
    <xf numFmtId="0" fontId="8" fillId="7" borderId="1" applyAlignment="1" pivotButton="0" quotePrefix="0" xfId="0">
      <alignment vertical="center" wrapText="1"/>
    </xf>
    <xf numFmtId="164" fontId="4" fillId="7" borderId="1" applyAlignment="1" pivotButton="0" quotePrefix="0" xfId="0">
      <alignment vertical="top" wrapText="1"/>
    </xf>
    <xf numFmtId="0" fontId="4" fillId="7" borderId="1" applyAlignment="1" pivotButton="0" quotePrefix="0" xfId="0">
      <alignment vertical="top" wrapText="1"/>
    </xf>
    <xf numFmtId="0" fontId="9" fillId="6" borderId="1" applyAlignment="1" pivotButton="0" quotePrefix="0" xfId="0">
      <alignment vertical="top" wrapText="1"/>
    </xf>
    <xf numFmtId="164" fontId="9" fillId="6" borderId="1" applyAlignment="1" pivotButton="0" quotePrefix="0" xfId="0">
      <alignment vertical="top" wrapText="1"/>
    </xf>
    <xf numFmtId="0" fontId="3" fillId="2" borderId="1" applyAlignment="1" pivotButton="0" quotePrefix="0" xfId="0">
      <alignment vertical="top" wrapText="1"/>
    </xf>
    <xf numFmtId="164" fontId="3" fillId="2" borderId="1" applyAlignment="1" pivotButton="0" quotePrefix="0" xfId="0">
      <alignment vertical="top" wrapText="1"/>
    </xf>
    <xf numFmtId="164" fontId="8" fillId="5" borderId="1" applyAlignment="1" pivotButton="0" quotePrefix="0" xfId="0">
      <alignment vertical="center" wrapText="1"/>
    </xf>
    <xf numFmtId="164" fontId="8" fillId="7" borderId="1" applyAlignment="1" pivotButton="0" quotePrefix="0" xfId="0">
      <alignment vertical="center" wrapText="1"/>
    </xf>
    <xf numFmtId="0" fontId="10" fillId="3" borderId="0" applyAlignment="1" pivotButton="0" quotePrefix="0" xfId="0">
      <alignment vertical="center"/>
    </xf>
    <xf numFmtId="0" fontId="0" fillId="5" borderId="1" applyAlignment="1" pivotButton="0" quotePrefix="0" xfId="0">
      <alignment vertical="top" wrapText="1"/>
    </xf>
    <xf numFmtId="0" fontId="0" fillId="5" borderId="1" applyAlignment="1" pivotButton="0" quotePrefix="0" xfId="0">
      <alignment horizontal="center" vertical="top" wrapText="1"/>
    </xf>
    <xf numFmtId="0" fontId="8" fillId="7" borderId="1" applyAlignment="1" pivotButton="0" quotePrefix="0" xfId="0">
      <alignment vertical="top" wrapText="1"/>
    </xf>
    <xf numFmtId="0" fontId="5" fillId="6" borderId="1" applyAlignment="1" pivotButton="0" quotePrefix="0" xfId="0">
      <alignment vertical="center"/>
    </xf>
    <xf numFmtId="0" fontId="3" fillId="8" borderId="1" applyAlignment="1" pivotButton="0" quotePrefix="0" xfId="0">
      <alignment horizontal="center" vertical="top" wrapText="1"/>
    </xf>
    <xf numFmtId="0" fontId="9" fillId="7" borderId="1" applyAlignment="1" pivotButton="0" quotePrefix="0" xfId="0">
      <alignment vertical="top" wrapText="1"/>
    </xf>
    <xf numFmtId="0" fontId="4" fillId="9" borderId="1" applyAlignment="1" pivotButton="0" quotePrefix="0" xfId="0">
      <alignment vertical="top" wrapText="1"/>
    </xf>
    <xf numFmtId="0" fontId="4" fillId="10" borderId="1" applyAlignment="1" pivotButton="0" quotePrefix="0" xfId="0">
      <alignment vertical="top" wrapText="1"/>
    </xf>
    <xf numFmtId="0" fontId="3" fillId="8" borderId="1" applyAlignment="1" pivotButton="0" quotePrefix="0" xfId="0">
      <alignment horizontal="center" vertical="center" wrapText="1"/>
    </xf>
    <xf numFmtId="0" fontId="9" fillId="6" borderId="1" applyAlignment="1" pivotButton="0" quotePrefix="0" xfId="0">
      <alignment vertical="center" wrapText="1"/>
    </xf>
    <xf numFmtId="0" fontId="3" fillId="2" borderId="1" applyAlignment="1" pivotButton="0" quotePrefix="0" xfId="0">
      <alignment horizontal="center" vertical="center" wrapText="1"/>
    </xf>
    <xf numFmtId="0" fontId="1" fillId="41" borderId="0" applyAlignment="1" pivotButton="0" quotePrefix="0" xfId="0">
      <alignment vertical="center"/>
    </xf>
    <xf numFmtId="0" fontId="0" fillId="41" borderId="0" pivotButton="0" quotePrefix="0" xfId="0"/>
    <xf numFmtId="0" fontId="31" fillId="41" borderId="0" applyAlignment="1" pivotButton="0" quotePrefix="0" xfId="0">
      <alignment vertical="center"/>
    </xf>
    <xf numFmtId="0" fontId="31" fillId="41" borderId="0" pivotButton="0" quotePrefix="0" xfId="0"/>
    <xf numFmtId="0" fontId="2" fillId="42" borderId="0" applyAlignment="1" pivotButton="0" quotePrefix="0" xfId="0">
      <alignment vertical="center" wrapText="1"/>
    </xf>
    <xf numFmtId="0" fontId="0" fillId="42" borderId="0" pivotButton="0" quotePrefix="0" xfId="0"/>
    <xf numFmtId="0" fontId="7" fillId="42" borderId="0" pivotButton="0" quotePrefix="0" xfId="0"/>
    <xf numFmtId="0" fontId="7" fillId="42" borderId="0" applyAlignment="1" pivotButton="0" quotePrefix="0" xfId="0">
      <alignment wrapText="1"/>
    </xf>
    <xf numFmtId="0" fontId="7" fillId="42" borderId="0" applyAlignment="1" pivotButton="0" quotePrefix="0" xfId="0">
      <alignment vertical="center" wrapText="1"/>
    </xf>
    <xf numFmtId="0" fontId="3" fillId="43" borderId="1" applyAlignment="1" pivotButton="0" quotePrefix="0" xfId="0">
      <alignment horizontal="center" vertical="center" wrapText="1"/>
    </xf>
    <xf numFmtId="0" fontId="0" fillId="43" borderId="0" pivotButton="0" quotePrefix="0" xfId="0"/>
    <xf numFmtId="0" fontId="6" fillId="43" borderId="0" pivotButton="0" quotePrefix="0" xfId="0"/>
    <xf numFmtId="0" fontId="3" fillId="43" borderId="13" applyAlignment="1" pivotButton="0" quotePrefix="0" xfId="0">
      <alignment horizontal="center" vertical="center" wrapText="1"/>
    </xf>
    <xf numFmtId="0" fontId="6" fillId="43" borderId="13" pivotButton="0" quotePrefix="0" xfId="0"/>
    <xf numFmtId="0" fontId="6" fillId="43" borderId="13" applyAlignment="1" pivotButton="0" quotePrefix="0" xfId="0">
      <alignment wrapText="1"/>
    </xf>
    <xf numFmtId="0" fontId="6" fillId="43" borderId="13" applyAlignment="1" pivotButton="0" quotePrefix="0" xfId="0">
      <alignment horizontal="center" wrapText="1"/>
    </xf>
    <xf numFmtId="0" fontId="6" fillId="43" borderId="13" applyAlignment="1" pivotButton="0" quotePrefix="0" xfId="0">
      <alignment horizontal="center" vertical="center" wrapText="1"/>
    </xf>
    <xf numFmtId="0" fontId="4" fillId="44" borderId="1" applyAlignment="1" pivotButton="0" quotePrefix="0" xfId="0">
      <alignment vertical="top" wrapText="1"/>
    </xf>
    <xf numFmtId="164" fontId="4" fillId="44" borderId="1" applyAlignment="1" pivotButton="0" quotePrefix="0" xfId="0">
      <alignment vertical="top" wrapText="1"/>
    </xf>
    <xf numFmtId="0" fontId="0" fillId="44" borderId="0" pivotButton="0" quotePrefix="0" xfId="0"/>
    <xf numFmtId="0" fontId="8" fillId="44" borderId="0" pivotButton="0" quotePrefix="0" xfId="0"/>
    <xf numFmtId="0" fontId="4" fillId="44" borderId="13" applyAlignment="1" pivotButton="0" quotePrefix="0" xfId="0">
      <alignment vertical="top" wrapText="1"/>
    </xf>
    <xf numFmtId="164" fontId="4" fillId="44" borderId="13" applyAlignment="1" pivotButton="0" quotePrefix="0" xfId="0">
      <alignment vertical="top" wrapText="1"/>
    </xf>
    <xf numFmtId="0" fontId="8" fillId="44" borderId="13" pivotButton="0" quotePrefix="0" xfId="0"/>
    <xf numFmtId="0" fontId="8" fillId="44" borderId="13" applyAlignment="1" pivotButton="0" quotePrefix="0" xfId="0">
      <alignment wrapText="1"/>
    </xf>
    <xf numFmtId="0" fontId="4" fillId="44" borderId="13" applyAlignment="1" pivotButton="0" quotePrefix="0" xfId="0">
      <alignment vertical="center" wrapText="1"/>
    </xf>
    <xf numFmtId="164" fontId="4" fillId="44" borderId="13" applyAlignment="1" pivotButton="0" quotePrefix="0" xfId="0">
      <alignment vertical="center" wrapText="1"/>
    </xf>
    <xf numFmtId="0" fontId="8" fillId="44" borderId="13" applyAlignment="1" pivotButton="0" quotePrefix="0" xfId="0">
      <alignment vertical="center" wrapText="1"/>
    </xf>
    <xf numFmtId="0" fontId="4" fillId="45" borderId="13" applyAlignment="1" pivotButton="0" quotePrefix="0" xfId="0">
      <alignment vertical="center" wrapText="1"/>
    </xf>
    <xf numFmtId="0" fontId="8" fillId="45" borderId="13" applyAlignment="1" pivotButton="0" quotePrefix="0" xfId="0">
      <alignment vertical="center" wrapText="1"/>
    </xf>
    <xf numFmtId="164" fontId="4" fillId="45" borderId="13" applyAlignment="1" pivotButton="0" quotePrefix="0" xfId="0">
      <alignment vertical="center" wrapText="1"/>
    </xf>
    <xf numFmtId="164" fontId="8" fillId="44" borderId="13" applyAlignment="1" pivotButton="0" quotePrefix="0" xfId="0">
      <alignment vertical="center" wrapText="1"/>
    </xf>
    <xf numFmtId="164" fontId="8" fillId="45" borderId="13" applyAlignment="1" pivotButton="0" quotePrefix="0" xfId="0">
      <alignment vertical="center" wrapText="1"/>
    </xf>
    <xf numFmtId="164" fontId="8" fillId="45" borderId="1" applyAlignment="1" pivotButton="0" quotePrefix="0" xfId="0">
      <alignment vertical="center" wrapText="1"/>
    </xf>
    <xf numFmtId="0" fontId="0" fillId="45" borderId="0" pivotButton="0" quotePrefix="0" xfId="0"/>
    <xf numFmtId="0" fontId="8" fillId="45" borderId="0" pivotButton="0" quotePrefix="0" xfId="0"/>
    <xf numFmtId="0" fontId="8" fillId="45" borderId="13" pivotButton="0" quotePrefix="0" xfId="0"/>
    <xf numFmtId="0" fontId="8" fillId="45" borderId="13" applyAlignment="1" pivotButton="0" quotePrefix="0" xfId="0">
      <alignment wrapText="1"/>
    </xf>
    <xf numFmtId="0" fontId="6" fillId="41" borderId="0" applyAlignment="1" pivotButton="0" quotePrefix="0" xfId="0">
      <alignment vertical="center"/>
    </xf>
    <xf numFmtId="0" fontId="8" fillId="43" borderId="13" applyAlignment="1" pivotButton="0" quotePrefix="0" xfId="0">
      <alignment vertical="center" wrapText="1"/>
    </xf>
    <xf numFmtId="0" fontId="6" fillId="43" borderId="13" applyAlignment="1" pivotButton="0" quotePrefix="0" xfId="0">
      <alignment vertical="center" wrapText="1"/>
    </xf>
    <xf numFmtId="0" fontId="1" fillId="46" borderId="0" applyAlignment="1" pivotButton="0" quotePrefix="0" xfId="0">
      <alignment vertical="center"/>
    </xf>
    <xf numFmtId="0" fontId="31" fillId="46" borderId="0" applyAlignment="1" pivotButton="0" quotePrefix="0" xfId="0">
      <alignment vertical="center"/>
    </xf>
    <xf numFmtId="0" fontId="2" fillId="47" borderId="0" applyAlignment="1" pivotButton="0" quotePrefix="0" xfId="0">
      <alignment vertical="center" wrapText="1"/>
    </xf>
    <xf numFmtId="0" fontId="0" fillId="48" borderId="0" pivotButton="0" quotePrefix="0" xfId="0"/>
    <xf numFmtId="0" fontId="6" fillId="48" borderId="0" pivotButton="0" quotePrefix="0" xfId="0"/>
    <xf numFmtId="0" fontId="6" fillId="48" borderId="13" pivotButton="0" quotePrefix="0" xfId="0"/>
    <xf numFmtId="0" fontId="6" fillId="48" borderId="13" applyAlignment="1" pivotButton="0" quotePrefix="0" xfId="0">
      <alignment wrapText="1"/>
    </xf>
    <xf numFmtId="0" fontId="6" fillId="48" borderId="13" applyAlignment="1" pivotButton="0" quotePrefix="0" xfId="0">
      <alignment horizontal="left" wrapText="1"/>
    </xf>
    <xf numFmtId="0" fontId="6" fillId="48" borderId="13" applyAlignment="1" pivotButton="0" quotePrefix="0" xfId="0">
      <alignment horizontal="left" vertical="center" wrapText="1"/>
    </xf>
    <xf numFmtId="0" fontId="0" fillId="49" borderId="0" pivotButton="0" quotePrefix="0" xfId="0"/>
    <xf numFmtId="0" fontId="6" fillId="49" borderId="0" pivotButton="0" quotePrefix="0" xfId="0"/>
    <xf numFmtId="0" fontId="6" fillId="49" borderId="13" pivotButton="0" quotePrefix="0" xfId="0"/>
    <xf numFmtId="0" fontId="6" fillId="49" borderId="13" applyAlignment="1" pivotButton="0" quotePrefix="0" xfId="0">
      <alignment wrapText="1"/>
    </xf>
    <xf numFmtId="0" fontId="6" fillId="49" borderId="13" applyAlignment="1" pivotButton="0" quotePrefix="0" xfId="0">
      <alignment horizontal="center" wrapText="1"/>
    </xf>
    <xf numFmtId="0" fontId="6" fillId="49" borderId="13" applyAlignment="1" pivotButton="0" quotePrefix="0" xfId="0">
      <alignment horizontal="center" vertical="center" wrapText="1"/>
    </xf>
    <xf numFmtId="0" fontId="0" fillId="50" borderId="0" pivotButton="0" quotePrefix="0" xfId="0"/>
    <xf numFmtId="0" fontId="8" fillId="50" borderId="0" pivotButton="0" quotePrefix="0" xfId="0"/>
    <xf numFmtId="0" fontId="8" fillId="50" borderId="13" pivotButton="0" quotePrefix="0" xfId="0"/>
    <xf numFmtId="0" fontId="8" fillId="50" borderId="13" applyAlignment="1" pivotButton="0" quotePrefix="0" xfId="0">
      <alignment wrapText="1"/>
    </xf>
    <xf numFmtId="0" fontId="8" fillId="50" borderId="13" applyAlignment="1" pivotButton="0" quotePrefix="0" xfId="0">
      <alignment vertical="center" wrapText="1"/>
    </xf>
    <xf numFmtId="0" fontId="0" fillId="51" borderId="0" pivotButton="0" quotePrefix="0" xfId="0"/>
    <xf numFmtId="0" fontId="8" fillId="51" borderId="0" pivotButton="0" quotePrefix="0" xfId="0"/>
    <xf numFmtId="0" fontId="8" fillId="51" borderId="13" pivotButton="0" quotePrefix="0" xfId="0"/>
    <xf numFmtId="0" fontId="8" fillId="51" borderId="13" applyAlignment="1" pivotButton="0" quotePrefix="0" xfId="0">
      <alignment wrapText="1"/>
    </xf>
    <xf numFmtId="0" fontId="8" fillId="51" borderId="13" applyAlignment="1" pivotButton="0" quotePrefix="0" xfId="0">
      <alignment vertical="center" wrapText="1"/>
    </xf>
    <xf numFmtId="0" fontId="6" fillId="48" borderId="13" applyAlignment="1" pivotButton="0" quotePrefix="0" xfId="0">
      <alignment horizontal="center" wrapText="1"/>
    </xf>
    <xf numFmtId="0" fontId="6" fillId="48" borderId="13" applyAlignment="1" pivotButton="0" quotePrefix="0" xfId="0">
      <alignment horizontal="center" vertical="center" wrapText="1"/>
    </xf>
    <xf numFmtId="0" fontId="6" fillId="48" borderId="1" applyAlignment="1" pivotButton="0" quotePrefix="0" xfId="0">
      <alignment horizontal="center" vertical="center" wrapText="1"/>
    </xf>
    <xf numFmtId="0" fontId="8" fillId="50" borderId="1" applyAlignment="1" pivotButton="0" quotePrefix="0" xfId="0">
      <alignment vertical="center" wrapText="1"/>
    </xf>
    <xf numFmtId="0" fontId="8" fillId="51" borderId="1" applyAlignment="1" pivotButton="0" quotePrefix="0" xfId="0">
      <alignment vertical="center" wrapText="1"/>
    </xf>
    <xf numFmtId="0" fontId="8" fillId="51" borderId="1" applyAlignment="1" pivotButton="0" quotePrefix="0" xfId="0">
      <alignment vertical="top" wrapText="1"/>
    </xf>
    <xf numFmtId="164" fontId="8" fillId="51" borderId="1" applyAlignment="1" pivotButton="0" quotePrefix="0" xfId="0">
      <alignment vertical="center" wrapText="1"/>
    </xf>
    <xf numFmtId="0" fontId="8" fillId="51" borderId="13" applyAlignment="1" pivotButton="0" quotePrefix="0" xfId="0">
      <alignment vertical="top" wrapText="1"/>
    </xf>
    <xf numFmtId="164" fontId="8" fillId="51" borderId="13" applyAlignment="1" pivotButton="0" quotePrefix="0" xfId="0">
      <alignment vertical="center" wrapText="1"/>
    </xf>
    <xf numFmtId="0" fontId="0" fillId="50" borderId="1" applyAlignment="1" pivotButton="0" quotePrefix="0" xfId="0">
      <alignment vertical="top" wrapText="1"/>
    </xf>
    <xf numFmtId="0" fontId="0" fillId="50" borderId="1" applyAlignment="1" pivotButton="0" quotePrefix="0" xfId="0">
      <alignment horizontal="center" vertical="top" wrapText="1"/>
    </xf>
    <xf numFmtId="0" fontId="8" fillId="50" borderId="1" applyAlignment="1" pivotButton="0" quotePrefix="0" xfId="0">
      <alignment vertical="top" wrapText="1"/>
    </xf>
    <xf numFmtId="0" fontId="8" fillId="50" borderId="1" applyAlignment="1" pivotButton="0" quotePrefix="0" xfId="0">
      <alignment horizontal="center" vertical="top" wrapText="1"/>
    </xf>
    <xf numFmtId="0" fontId="8" fillId="50" borderId="13" applyAlignment="1" pivotButton="0" quotePrefix="0" xfId="0">
      <alignment vertical="top" wrapText="1"/>
    </xf>
    <xf numFmtId="0" fontId="8" fillId="50" borderId="13" applyAlignment="1" pivotButton="0" quotePrefix="0" xfId="0">
      <alignment horizontal="center" vertical="top" wrapText="1"/>
    </xf>
    <xf numFmtId="0" fontId="8" fillId="50" borderId="13" applyAlignment="1" pivotButton="0" quotePrefix="0" xfId="0">
      <alignment horizontal="center" vertical="center" wrapText="1"/>
    </xf>
    <xf numFmtId="164" fontId="8" fillId="50" borderId="1" applyAlignment="1" pivotButton="0" quotePrefix="0" xfId="0">
      <alignment vertical="center" wrapText="1"/>
    </xf>
    <xf numFmtId="164" fontId="8" fillId="50" borderId="13" applyAlignment="1" pivotButton="0" quotePrefix="0" xfId="0">
      <alignment vertical="center" wrapText="1"/>
    </xf>
    <xf numFmtId="0" fontId="0" fillId="46" borderId="0" pivotButton="0" quotePrefix="0" xfId="0"/>
    <xf numFmtId="0" fontId="31" fillId="46" borderId="0" pivotButton="0" quotePrefix="0" xfId="0"/>
    <xf numFmtId="0" fontId="0" fillId="47" borderId="0" pivotButton="0" quotePrefix="0" xfId="0"/>
    <xf numFmtId="0" fontId="7" fillId="47" borderId="0" pivotButton="0" quotePrefix="0" xfId="0"/>
    <xf numFmtId="0" fontId="7" fillId="47" borderId="0" applyAlignment="1" pivotButton="0" quotePrefix="0" xfId="0">
      <alignment wrapText="1"/>
    </xf>
    <xf numFmtId="0" fontId="7" fillId="47" borderId="0" applyAlignment="1" pivotButton="0" quotePrefix="0" xfId="0">
      <alignment vertical="center" wrapText="1"/>
    </xf>
    <xf numFmtId="0" fontId="3" fillId="48" borderId="1" applyAlignment="1" pivotButton="0" quotePrefix="0" xfId="0">
      <alignment horizontal="center" vertical="center" wrapText="1"/>
    </xf>
    <xf numFmtId="0" fontId="3" fillId="48" borderId="13" applyAlignment="1" pivotButton="0" quotePrefix="0" xfId="0">
      <alignment horizontal="center" vertical="center" wrapText="1"/>
    </xf>
    <xf numFmtId="0" fontId="4" fillId="50" borderId="1" applyAlignment="1" pivotButton="0" quotePrefix="0" xfId="0">
      <alignment vertical="top" wrapText="1"/>
    </xf>
    <xf numFmtId="0" fontId="4" fillId="50" borderId="13" applyAlignment="1" pivotButton="0" quotePrefix="0" xfId="0">
      <alignment vertical="top" wrapText="1"/>
    </xf>
    <xf numFmtId="0" fontId="4" fillId="50" borderId="13" applyAlignment="1" pivotButton="0" quotePrefix="0" xfId="0">
      <alignment vertical="center" wrapText="1"/>
    </xf>
    <xf numFmtId="164" fontId="4" fillId="51" borderId="1" applyAlignment="1" pivotButton="0" quotePrefix="0" xfId="0">
      <alignment vertical="top" wrapText="1"/>
    </xf>
    <xf numFmtId="164" fontId="4" fillId="51" borderId="13" applyAlignment="1" pivotButton="0" quotePrefix="0" xfId="0">
      <alignment vertical="top" wrapText="1"/>
    </xf>
    <xf numFmtId="164" fontId="4" fillId="51" borderId="13" applyAlignment="1" pivotButton="0" quotePrefix="0" xfId="0">
      <alignment vertical="center" wrapText="1"/>
    </xf>
    <xf numFmtId="0" fontId="4" fillId="51" borderId="1" applyAlignment="1" pivotButton="0" quotePrefix="0" xfId="0">
      <alignment vertical="top" wrapText="1"/>
    </xf>
    <xf numFmtId="0" fontId="4" fillId="51" borderId="13" applyAlignment="1" pivotButton="0" quotePrefix="0" xfId="0">
      <alignment vertical="top" wrapText="1"/>
    </xf>
    <xf numFmtId="0" fontId="4" fillId="51" borderId="13" applyAlignment="1" pivotButton="0" quotePrefix="0" xfId="0">
      <alignment vertical="center" wrapText="1"/>
    </xf>
    <xf numFmtId="164" fontId="0" fillId="0" borderId="0" pivotButton="0" quotePrefix="0" xfId="0"/>
    <xf numFmtId="164" fontId="8" fillId="7" borderId="13" applyAlignment="1" pivotButton="0" quotePrefix="0" xfId="0">
      <alignment vertical="center" wrapText="1"/>
    </xf>
    <xf numFmtId="0" fontId="0" fillId="0" borderId="16" pivotButton="0" quotePrefix="0" xfId="0"/>
    <xf numFmtId="0" fontId="0" fillId="0" borderId="17" pivotButton="0" quotePrefix="0" xfId="0"/>
    <xf numFmtId="164" fontId="8" fillId="51" borderId="13" applyAlignment="1" pivotButton="0" quotePrefix="0" xfId="0">
      <alignment vertical="center" wrapText="1"/>
    </xf>
    <xf numFmtId="164" fontId="8" fillId="7" borderId="1" applyAlignment="1" pivotButton="0" quotePrefix="0" xfId="0">
      <alignment vertical="center" wrapText="1"/>
    </xf>
    <xf numFmtId="164" fontId="0" fillId="0" borderId="0" pivotButton="0" quotePrefix="0" xfId="0"/>
    <xf numFmtId="164" fontId="8" fillId="50" borderId="13" applyAlignment="1" pivotButton="0" quotePrefix="0" xfId="0">
      <alignment vertical="center" wrapText="1"/>
    </xf>
    <xf numFmtId="164" fontId="8" fillId="5" borderId="1" applyAlignment="1" pivotButton="0" quotePrefix="0" xfId="0">
      <alignment vertical="center" wrapText="1"/>
    </xf>
    <xf numFmtId="164" fontId="8" fillId="7" borderId="13" applyAlignment="1" pivotButton="0" quotePrefix="0" xfId="0">
      <alignment vertical="center" wrapText="1"/>
    </xf>
    <xf numFmtId="164" fontId="4" fillId="51" borderId="13" applyAlignment="1" pivotButton="0" quotePrefix="0" xfId="0">
      <alignment vertical="center" wrapText="1"/>
    </xf>
    <xf numFmtId="164" fontId="4" fillId="7" borderId="1" applyAlignment="1" pivotButton="0" quotePrefix="0" xfId="0">
      <alignment vertical="top" wrapText="1"/>
    </xf>
    <xf numFmtId="164" fontId="9" fillId="6" borderId="1" applyAlignment="1" pivotButton="0" quotePrefix="0" xfId="0">
      <alignment vertical="top" wrapText="1"/>
    </xf>
    <xf numFmtId="164" fontId="3" fillId="2" borderId="1" applyAlignment="1" pivotButton="0" quotePrefix="0" xfId="0">
      <alignment vertical="top" wrapText="1"/>
    </xf>
    <xf numFmtId="164" fontId="4" fillId="5" borderId="1" applyAlignment="1" pivotButton="0" quotePrefix="0" xfId="0">
      <alignment vertical="top" wrapText="1"/>
    </xf>
    <xf numFmtId="164" fontId="4" fillId="44" borderId="13" applyAlignment="1" pivotButton="0" quotePrefix="0" xfId="0">
      <alignment vertical="center" wrapText="1"/>
    </xf>
    <xf numFmtId="164" fontId="4" fillId="45" borderId="13" applyAlignment="1" pivotButton="0" quotePrefix="0" xfId="0">
      <alignment vertical="center" wrapText="1"/>
    </xf>
    <xf numFmtId="164" fontId="8" fillId="44" borderId="13" applyAlignment="1" pivotButton="0" quotePrefix="0" xfId="0">
      <alignment vertical="center" wrapText="1"/>
    </xf>
    <xf numFmtId="164" fontId="8" fillId="45" borderId="13" applyAlignment="1" pivotButton="0" quotePrefix="0" xfId="0">
      <alignment vertical="center" wrapText="1"/>
    </xf>
    <xf numFmtId="0" fontId="0" fillId="0" borderId="3" pivotButton="0" quotePrefix="0" xfId="0"/>
    <xf numFmtId="0" fontId="0" fillId="0" borderId="4" pivotButton="0" quotePrefix="0" xfId="0"/>
    <xf numFmtId="0" fontId="0" fillId="52" borderId="0" pivotButton="0" quotePrefix="0" xfId="0"/>
    <xf numFmtId="0" fontId="6" fillId="52" borderId="0" pivotButton="0" quotePrefix="0" xfId="0"/>
    <xf numFmtId="0" fontId="6" fillId="52" borderId="0" applyAlignment="1" pivotButton="0" quotePrefix="0" xfId="0">
      <alignment vertical="center"/>
    </xf>
    <xf numFmtId="0" fontId="0" fillId="53" borderId="0" pivotButton="0" quotePrefix="0" xfId="0"/>
    <xf numFmtId="0" fontId="32" fillId="53" borderId="0" pivotButton="0" quotePrefix="0" xfId="0"/>
    <xf numFmtId="0" fontId="32" fillId="53" borderId="0" applyAlignment="1" pivotButton="0" quotePrefix="0" xfId="0">
      <alignment wrapText="1"/>
    </xf>
    <xf numFmtId="0" fontId="32" fillId="53" borderId="0" applyAlignment="1" pivotButton="0" quotePrefix="0" xfId="0">
      <alignment vertical="center" wrapText="1"/>
    </xf>
    <xf numFmtId="0" fontId="0" fillId="54" borderId="0" pivotButton="0" quotePrefix="0" xfId="0"/>
    <xf numFmtId="0" fontId="6" fillId="54" borderId="0" pivotButton="0" quotePrefix="0" xfId="0"/>
    <xf numFmtId="0" fontId="6" fillId="54" borderId="13" pivotButton="0" quotePrefix="0" xfId="0"/>
    <xf numFmtId="0" fontId="6" fillId="54" borderId="13" applyAlignment="1" pivotButton="0" quotePrefix="0" xfId="0">
      <alignment wrapText="1"/>
    </xf>
    <xf numFmtId="0" fontId="6" fillId="54" borderId="13" applyAlignment="1" pivotButton="0" quotePrefix="0" xfId="0">
      <alignment horizontal="center" wrapText="1"/>
    </xf>
    <xf numFmtId="0" fontId="6" fillId="54" borderId="13" applyAlignment="1" pivotButton="0" quotePrefix="0" xfId="0">
      <alignment horizontal="center" vertical="center" wrapText="1"/>
    </xf>
    <xf numFmtId="0" fontId="0" fillId="55" borderId="0" pivotButton="0" quotePrefix="0" xfId="0"/>
    <xf numFmtId="0" fontId="8" fillId="55" borderId="0" pivotButton="0" quotePrefix="0" xfId="0"/>
    <xf numFmtId="0" fontId="8" fillId="55" borderId="20" pivotButton="0" quotePrefix="0" xfId="0"/>
    <xf numFmtId="0" fontId="8" fillId="55" borderId="20" applyAlignment="1" pivotButton="0" quotePrefix="0" xfId="0">
      <alignment wrapText="1"/>
    </xf>
    <xf numFmtId="0" fontId="8" fillId="55" borderId="20" applyAlignment="1" pivotButton="0" quotePrefix="0" xfId="0">
      <alignment vertical="center" wrapText="1"/>
    </xf>
    <xf numFmtId="0" fontId="0" fillId="56" borderId="0" pivotButton="0" quotePrefix="0" xfId="0"/>
    <xf numFmtId="0" fontId="6" fillId="56" borderId="0" pivotButton="0" quotePrefix="0" xfId="0"/>
    <xf numFmtId="0" fontId="6" fillId="56" borderId="0" applyAlignment="1" pivotButton="0" quotePrefix="0" xfId="0">
      <alignment vertical="center"/>
    </xf>
    <xf numFmtId="0" fontId="0" fillId="57" borderId="0" pivotButton="0" quotePrefix="0" xfId="0"/>
    <xf numFmtId="0" fontId="32" fillId="57" borderId="0" pivotButton="0" quotePrefix="0" xfId="0"/>
    <xf numFmtId="0" fontId="32" fillId="57" borderId="0" applyAlignment="1" pivotButton="0" quotePrefix="0" xfId="0">
      <alignment wrapText="1"/>
    </xf>
    <xf numFmtId="0" fontId="32" fillId="57" borderId="0" applyAlignment="1" pivotButton="0" quotePrefix="0" xfId="0">
      <alignment vertical="center" wrapText="1"/>
    </xf>
    <xf numFmtId="0" fontId="0" fillId="58" borderId="0" pivotButton="0" quotePrefix="0" xfId="0"/>
    <xf numFmtId="0" fontId="6" fillId="58" borderId="0" pivotButton="0" quotePrefix="0" xfId="0"/>
    <xf numFmtId="0" fontId="6" fillId="58" borderId="13" pivotButton="0" quotePrefix="0" xfId="0"/>
    <xf numFmtId="0" fontId="6" fillId="58" borderId="13" applyAlignment="1" pivotButton="0" quotePrefix="0" xfId="0">
      <alignment wrapText="1"/>
    </xf>
    <xf numFmtId="0" fontId="6" fillId="58" borderId="13" applyAlignment="1" pivotButton="0" quotePrefix="0" xfId="0">
      <alignment horizontal="center" wrapText="1"/>
    </xf>
    <xf numFmtId="0" fontId="6" fillId="58" borderId="13" applyAlignment="1" pivotButton="0" quotePrefix="0" xfId="0">
      <alignment horizontal="center" vertical="center" wrapText="1"/>
    </xf>
    <xf numFmtId="0" fontId="0" fillId="59" borderId="0" pivotButton="0" quotePrefix="0" xfId="0"/>
    <xf numFmtId="0" fontId="8" fillId="59" borderId="0" pivotButton="0" quotePrefix="0" xfId="0"/>
    <xf numFmtId="0" fontId="8" fillId="59" borderId="20" pivotButton="0" quotePrefix="0" xfId="0"/>
    <xf numFmtId="0" fontId="8" fillId="59" borderId="20" applyAlignment="1" pivotButton="0" quotePrefix="0" xfId="0">
      <alignment wrapText="1"/>
    </xf>
    <xf numFmtId="0" fontId="8" fillId="59" borderId="20" applyAlignment="1" pivotButton="0" quotePrefix="0" xfId="0">
      <alignment vertical="center" wrapText="1"/>
    </xf>
    <xf numFmtId="0" fontId="6" fillId="60" borderId="13" applyAlignment="1" pivotButton="0" quotePrefix="0" xfId="0">
      <alignment horizontal="center" vertical="center" wrapText="1"/>
    </xf>
    <xf numFmtId="0" fontId="0" fillId="60" borderId="0" pivotButton="0" quotePrefix="0" xfId="0"/>
    <xf numFmtId="0" fontId="6" fillId="60" borderId="0" pivotButton="0" quotePrefix="0" xfId="0"/>
    <xf numFmtId="0" fontId="6" fillId="60" borderId="13" pivotButton="0" quotePrefix="0" xfId="0"/>
    <xf numFmtId="0" fontId="6" fillId="60" borderId="13" applyAlignment="1" pivotButton="0" quotePrefix="0" xfId="0">
      <alignment wrapText="1"/>
    </xf>
    <xf numFmtId="0" fontId="6" fillId="60" borderId="13" applyAlignment="1" pivotButton="0" quotePrefix="0" xfId="0">
      <alignment horizontal="center" wrapText="1"/>
    </xf>
    <xf numFmtId="0" fontId="8" fillId="61" borderId="13" applyAlignment="1" pivotButton="0" quotePrefix="0" xfId="0">
      <alignment vertical="center" wrapText="1"/>
    </xf>
    <xf numFmtId="164" fontId="8" fillId="62" borderId="13" applyAlignment="1" pivotButton="0" quotePrefix="0" xfId="0">
      <alignment vertical="center" wrapText="1"/>
    </xf>
    <xf numFmtId="0" fontId="0" fillId="62" borderId="0" pivotButton="0" quotePrefix="0" xfId="0"/>
    <xf numFmtId="0" fontId="8" fillId="62" borderId="0" pivotButton="0" quotePrefix="0" xfId="0"/>
    <xf numFmtId="0" fontId="8" fillId="62" borderId="13" pivotButton="0" quotePrefix="0" xfId="0"/>
    <xf numFmtId="0" fontId="8" fillId="62" borderId="13" applyAlignment="1" pivotButton="0" quotePrefix="0" xfId="0">
      <alignment wrapText="1"/>
    </xf>
    <xf numFmtId="0" fontId="8" fillId="62" borderId="13" applyAlignment="1" pivotButton="0" quotePrefix="0" xfId="0">
      <alignment vertical="center" wrapText="1"/>
    </xf>
    <xf numFmtId="0" fontId="31" fillId="63" borderId="0" applyAlignment="1" pivotButton="0" quotePrefix="0" xfId="0">
      <alignment vertical="center"/>
    </xf>
    <xf numFmtId="0" fontId="0" fillId="63" borderId="0" pivotButton="0" quotePrefix="0" xfId="0"/>
    <xf numFmtId="0" fontId="1" fillId="63" borderId="0" applyAlignment="1" pivotButton="0" quotePrefix="0" xfId="0">
      <alignment vertical="center"/>
    </xf>
    <xf numFmtId="0" fontId="1" fillId="63" borderId="0" pivotButton="0" quotePrefix="0" xfId="0"/>
    <xf numFmtId="0" fontId="7" fillId="64" borderId="0" applyAlignment="1" pivotButton="0" quotePrefix="0" xfId="0">
      <alignment vertical="center" wrapText="1"/>
    </xf>
    <xf numFmtId="0" fontId="0" fillId="64" borderId="0" pivotButton="0" quotePrefix="0" xfId="0"/>
    <xf numFmtId="0" fontId="33" fillId="64" borderId="0" applyAlignment="1" pivotButton="0" quotePrefix="0" xfId="0">
      <alignment vertical="center" wrapText="1"/>
    </xf>
    <xf numFmtId="0" fontId="33" fillId="64" borderId="0" pivotButton="0" quotePrefix="0" xfId="0"/>
    <xf numFmtId="0" fontId="33" fillId="64" borderId="0" applyAlignment="1" pivotButton="0" quotePrefix="0" xfId="0">
      <alignment wrapText="1"/>
    </xf>
    <xf numFmtId="0" fontId="6" fillId="65" borderId="13" applyAlignment="1" pivotButton="0" quotePrefix="0" xfId="0">
      <alignment horizontal="center" vertical="center" wrapText="1"/>
    </xf>
    <xf numFmtId="0" fontId="8" fillId="66" borderId="13" applyAlignment="1" pivotButton="0" quotePrefix="0" xfId="0">
      <alignment vertical="center" wrapText="1"/>
    </xf>
    <xf numFmtId="0" fontId="8" fillId="67" borderId="13" applyAlignment="1" pivotButton="0" quotePrefix="0" xfId="0">
      <alignment vertical="center" wrapText="1"/>
    </xf>
    <xf numFmtId="164" fontId="8" fillId="67" borderId="13" applyAlignment="1" pivotButton="0" quotePrefix="0" xfId="0">
      <alignment vertical="center" wrapText="1"/>
    </xf>
    <xf numFmtId="0" fontId="6" fillId="63" borderId="0" applyAlignment="1" pivotButton="0" quotePrefix="0" xfId="0">
      <alignment vertical="center"/>
    </xf>
    <xf numFmtId="0" fontId="0" fillId="65" borderId="0" pivotButton="0" quotePrefix="0" xfId="0"/>
    <xf numFmtId="0" fontId="6" fillId="65" borderId="0" pivotButton="0" quotePrefix="0" xfId="0"/>
    <xf numFmtId="0" fontId="6" fillId="65" borderId="0" applyAlignment="1" pivotButton="0" quotePrefix="0" xfId="0">
      <alignment wrapText="1"/>
    </xf>
    <xf numFmtId="0" fontId="6" fillId="65" borderId="0" applyAlignment="1" pivotButton="0" quotePrefix="0" xfId="0">
      <alignment horizontal="center" wrapText="1"/>
    </xf>
    <xf numFmtId="0" fontId="6" fillId="65" borderId="0" applyAlignment="1" pivotButton="0" quotePrefix="0" xfId="0">
      <alignment horizontal="center" vertical="center" wrapText="1"/>
    </xf>
    <xf numFmtId="164" fontId="8" fillId="66" borderId="13" applyAlignment="1" pivotButton="0" quotePrefix="0" xfId="0">
      <alignment vertical="center" wrapText="1"/>
    </xf>
    <xf numFmtId="0" fontId="0" fillId="67" borderId="0" pivotButton="0" quotePrefix="0" xfId="0"/>
    <xf numFmtId="0" fontId="0" fillId="67" borderId="0" applyAlignment="1" pivotButton="0" quotePrefix="0" xfId="0">
      <alignment wrapText="1"/>
    </xf>
    <xf numFmtId="0" fontId="2" fillId="64" borderId="0" applyAlignment="1" pivotButton="0" quotePrefix="0" xfId="0">
      <alignment vertical="center" wrapText="1"/>
    </xf>
    <xf numFmtId="0" fontId="3" fillId="65" borderId="13" applyAlignment="1" pivotButton="0" quotePrefix="0" xfId="0">
      <alignment horizontal="center" vertical="center" wrapText="1"/>
    </xf>
    <xf numFmtId="0" fontId="4" fillId="66" borderId="13" applyAlignment="1" pivotButton="0" quotePrefix="0" xfId="0">
      <alignment vertical="center" wrapText="1"/>
    </xf>
    <xf numFmtId="164" fontId="4" fillId="66" borderId="13" applyAlignment="1" pivotButton="0" quotePrefix="0" xfId="0">
      <alignment vertical="center" wrapText="1"/>
    </xf>
    <xf numFmtId="0" fontId="0" fillId="66" borderId="0" pivotButton="0" quotePrefix="0" xfId="0"/>
    <xf numFmtId="0" fontId="8" fillId="66" borderId="0" pivotButton="0" quotePrefix="0" xfId="0"/>
    <xf numFmtId="0" fontId="8" fillId="66" borderId="0" applyAlignment="1" pivotButton="0" quotePrefix="0" xfId="0">
      <alignment wrapText="1"/>
    </xf>
    <xf numFmtId="0" fontId="4" fillId="66" borderId="13" applyAlignment="1" pivotButton="0" quotePrefix="0" xfId="0">
      <alignment vertical="top" wrapText="1"/>
    </xf>
    <xf numFmtId="164" fontId="4" fillId="66" borderId="13" applyAlignment="1" pivotButton="0" quotePrefix="0" xfId="0">
      <alignment vertical="top" wrapText="1"/>
    </xf>
    <xf numFmtId="0" fontId="8" fillId="66" borderId="13" applyAlignment="1" pivotButton="0" quotePrefix="0" xfId="0">
      <alignment vertical="top" wrapText="1"/>
    </xf>
    <xf numFmtId="0" fontId="8" fillId="66" borderId="0" applyAlignment="1" pivotButton="0" quotePrefix="0" xfId="0">
      <alignment vertical="top" wrapText="1"/>
    </xf>
    <xf numFmtId="0" fontId="4" fillId="63" borderId="13" applyAlignment="1" pivotButton="0" quotePrefix="0" xfId="0">
      <alignment vertical="center" wrapText="1"/>
    </xf>
    <xf numFmtId="0" fontId="34" fillId="63" borderId="13" applyAlignment="1" pivotButton="0" quotePrefix="0" xfId="0">
      <alignment vertical="center" wrapText="1"/>
    </xf>
    <xf numFmtId="0" fontId="4" fillId="65" borderId="13" applyAlignment="1" pivotButton="0" quotePrefix="0" xfId="0">
      <alignment vertical="center" wrapText="1"/>
    </xf>
    <xf numFmtId="0" fontId="3" fillId="65" borderId="13" applyAlignment="1" pivotButton="0" quotePrefix="0" xfId="0">
      <alignment vertical="center" wrapText="1"/>
    </xf>
    <xf numFmtId="164" fontId="4" fillId="63" borderId="13" applyAlignment="1" pivotButton="0" quotePrefix="0" xfId="0">
      <alignment vertical="center" wrapText="1"/>
    </xf>
    <xf numFmtId="164" fontId="34" fillId="63" borderId="13" applyAlignment="1" pivotButton="0" quotePrefix="0" xfId="0">
      <alignment vertical="center" wrapText="1"/>
    </xf>
    <xf numFmtId="164" fontId="4" fillId="65" borderId="13" applyAlignment="1" pivotButton="0" quotePrefix="0" xfId="0">
      <alignment vertical="center" wrapText="1"/>
    </xf>
    <xf numFmtId="164" fontId="3" fillId="65" borderId="13" applyAlignment="1" pivotButton="0" quotePrefix="0" xfId="0">
      <alignment vertical="center" wrapText="1"/>
    </xf>
    <xf numFmtId="164" fontId="3" fillId="65" borderId="13" applyAlignment="1" pivotButton="0" quotePrefix="0" xfId="0">
      <alignment horizontal="center" vertical="center" wrapText="1"/>
    </xf>
    <xf numFmtId="164" fontId="4" fillId="68" borderId="13" applyAlignment="1" pivotButton="0" quotePrefix="0" xfId="0">
      <alignment vertical="center" wrapText="1"/>
    </xf>
    <xf numFmtId="164" fontId="1" fillId="63" borderId="0" applyAlignment="1" pivotButton="0" quotePrefix="0" xfId="0">
      <alignment vertical="center"/>
    </xf>
    <xf numFmtId="0" fontId="3" fillId="65" borderId="1" applyAlignment="1" pivotButton="0" quotePrefix="0" xfId="0">
      <alignment horizontal="center" vertical="center" wrapText="1"/>
    </xf>
    <xf numFmtId="0" fontId="4" fillId="66" borderId="1" applyAlignment="1" pivotButton="0" quotePrefix="0" xfId="0">
      <alignment vertical="top" wrapText="1"/>
    </xf>
    <xf numFmtId="164" fontId="4" fillId="66" borderId="1" applyAlignment="1" pivotButton="0" quotePrefix="0" xfId="0">
      <alignment vertical="top" wrapText="1"/>
    </xf>
    <xf numFmtId="0" fontId="5" fillId="64" borderId="1" applyAlignment="1" pivotButton="0" quotePrefix="0" xfId="0">
      <alignment vertical="center" wrapText="1"/>
    </xf>
    <xf numFmtId="0" fontId="0" fillId="64" borderId="3" pivotButton="0" quotePrefix="0" xfId="0"/>
    <xf numFmtId="0" fontId="0" fillId="64" borderId="4" pivotButton="0" quotePrefix="0" xfId="0"/>
    <xf numFmtId="0" fontId="35" fillId="64" borderId="1" applyAlignment="1" pivotButton="0" quotePrefix="0" xfId="0">
      <alignment vertical="center" wrapText="1"/>
    </xf>
    <xf numFmtId="0" fontId="10" fillId="64" borderId="3" pivotButton="0" quotePrefix="0" xfId="0"/>
    <xf numFmtId="0" fontId="10" fillId="64" borderId="4" pivotButton="0" quotePrefix="0" xfId="0"/>
    <xf numFmtId="0" fontId="10" fillId="64" borderId="3" applyAlignment="1" pivotButton="0" quotePrefix="0" xfId="0">
      <alignment wrapText="1"/>
    </xf>
    <xf numFmtId="0" fontId="10" fillId="64" borderId="4" applyAlignment="1" pivotButton="0" quotePrefix="0" xfId="0">
      <alignment wrapText="1"/>
    </xf>
    <xf numFmtId="0" fontId="31" fillId="2" borderId="0" applyAlignment="1" pivotButton="0" quotePrefix="0" xfId="0">
      <alignment vertical="center" wrapText="1"/>
    </xf>
    <xf numFmtId="0" fontId="0" fillId="0" borderId="0" applyAlignment="1" pivotButton="0" quotePrefix="0" xfId="0">
      <alignment wrapText="1"/>
    </xf>
    <xf numFmtId="0" fontId="2" fillId="3" borderId="0" applyAlignment="1" pivotButton="0" quotePrefix="0" xfId="0">
      <alignment vertical="center" wrapText="1"/>
    </xf>
    <xf numFmtId="0" fontId="6" fillId="4" borderId="13" applyAlignment="1" pivotButton="0" quotePrefix="0" xfId="0">
      <alignment horizontal="left" vertical="center" wrapText="1"/>
    </xf>
    <xf numFmtId="0" fontId="0" fillId="0" borderId="16" applyAlignment="1" pivotButton="0" quotePrefix="0" xfId="0">
      <alignment wrapText="1"/>
    </xf>
    <xf numFmtId="0" fontId="6" fillId="8" borderId="13" applyAlignment="1" pivotButton="0" quotePrefix="0" xfId="0">
      <alignment horizontal="center" vertical="center" wrapText="1"/>
    </xf>
    <xf numFmtId="0" fontId="8" fillId="5" borderId="13" applyAlignment="1" pivotButton="0" quotePrefix="0" xfId="0">
      <alignment vertical="center" wrapText="1"/>
    </xf>
    <xf numFmtId="0" fontId="8" fillId="7" borderId="13" applyAlignment="1" pivotButton="0" quotePrefix="0" xfId="0">
      <alignment vertical="center" wrapText="1"/>
    </xf>
    <xf numFmtId="0" fontId="6" fillId="4" borderId="13" applyAlignment="1" pivotButton="0" quotePrefix="0" xfId="0">
      <alignment horizontal="center" vertical="center" wrapText="1"/>
    </xf>
    <xf numFmtId="0" fontId="1" fillId="69" borderId="0" applyAlignment="1" pivotButton="0" quotePrefix="0" xfId="0">
      <alignment vertical="center"/>
    </xf>
    <xf numFmtId="0" fontId="33" fillId="70" borderId="0" applyAlignment="1" pivotButton="0" quotePrefix="0" xfId="0">
      <alignment vertical="center" wrapText="1"/>
    </xf>
    <xf numFmtId="0" fontId="6" fillId="71" borderId="13" applyAlignment="1" pivotButton="0" quotePrefix="0" xfId="0">
      <alignment horizontal="center" vertical="center" wrapText="1"/>
    </xf>
    <xf numFmtId="0" fontId="8" fillId="72" borderId="13" applyAlignment="1" pivotButton="0" quotePrefix="0" xfId="0">
      <alignment vertical="center" wrapText="1"/>
    </xf>
    <xf numFmtId="0" fontId="8" fillId="73" borderId="13" applyAlignment="1" pivotButton="0" quotePrefix="0" xfId="0">
      <alignment vertical="center" wrapText="1"/>
    </xf>
    <xf numFmtId="164" fontId="8" fillId="73" borderId="13" applyAlignment="1" pivotButton="0" quotePrefix="0" xfId="0">
      <alignment vertical="center" wrapText="1"/>
    </xf>
    <xf numFmtId="0" fontId="6" fillId="71" borderId="0" applyAlignment="1" pivotButton="0" quotePrefix="0" xfId="0">
      <alignment horizontal="center" vertical="center" wrapText="1"/>
    </xf>
    <xf numFmtId="164" fontId="8" fillId="72" borderId="13" applyAlignment="1" pivotButton="0" quotePrefix="0" xfId="0">
      <alignment vertical="center" wrapText="1"/>
    </xf>
    <xf numFmtId="0" fontId="0" fillId="73" borderId="0" applyAlignment="1" pivotButton="0" quotePrefix="0" xfId="0">
      <alignment wrapText="1"/>
    </xf>
    <xf numFmtId="0" fontId="3" fillId="71" borderId="13" applyAlignment="1" pivotButton="0" quotePrefix="0" xfId="0">
      <alignment horizontal="center" vertical="center" wrapText="1"/>
    </xf>
    <xf numFmtId="0" fontId="4" fillId="72" borderId="13" applyAlignment="1" pivotButton="0" quotePrefix="0" xfId="0">
      <alignment vertical="center" wrapText="1"/>
    </xf>
    <xf numFmtId="164" fontId="1" fillId="69" borderId="0" applyAlignment="1" pivotButton="0" quotePrefix="0" xfId="0">
      <alignment vertical="center"/>
    </xf>
    <xf numFmtId="0" fontId="4" fillId="72" borderId="13" applyAlignment="1" pivotButton="0" quotePrefix="0" xfId="0">
      <alignment vertical="top" wrapText="1"/>
    </xf>
    <xf numFmtId="164" fontId="4" fillId="72" borderId="13" applyAlignment="1" pivotButton="0" quotePrefix="0" xfId="0">
      <alignment vertical="top" wrapText="1"/>
    </xf>
    <xf numFmtId="0" fontId="8" fillId="72" borderId="13" applyAlignment="1" pivotButton="0" quotePrefix="0" xfId="0">
      <alignment vertical="top" wrapText="1"/>
    </xf>
    <xf numFmtId="0" fontId="8" fillId="72" borderId="0" applyAlignment="1" pivotButton="0" quotePrefix="0" xfId="0">
      <alignment vertical="top" wrapText="1"/>
    </xf>
    <xf numFmtId="0" fontId="34" fillId="69" borderId="13" applyAlignment="1" pivotButton="0" quotePrefix="0" xfId="0">
      <alignment vertical="center" wrapText="1"/>
    </xf>
    <xf numFmtId="164" fontId="4" fillId="72" borderId="13" applyAlignment="1" pivotButton="0" quotePrefix="0" xfId="0">
      <alignment vertical="center" wrapText="1"/>
    </xf>
    <xf numFmtId="164" fontId="34" fillId="69" borderId="13" applyAlignment="1" pivotButton="0" quotePrefix="0" xfId="0">
      <alignment vertical="center" wrapText="1"/>
    </xf>
    <xf numFmtId="164" fontId="3" fillId="71" borderId="13" applyAlignment="1" pivotButton="0" quotePrefix="0" xfId="0">
      <alignment horizontal="center" vertical="center" wrapText="1"/>
    </xf>
    <xf numFmtId="164" fontId="4" fillId="74" borderId="13" applyAlignment="1" pivotButton="0" quotePrefix="0" xfId="0">
      <alignment vertical="center" wrapText="1"/>
    </xf>
    <xf numFmtId="0" fontId="3" fillId="71" borderId="1" applyAlignment="1" pivotButton="0" quotePrefix="0" xfId="0">
      <alignment horizontal="center" vertical="center" wrapText="1"/>
    </xf>
    <xf numFmtId="0" fontId="4" fillId="72" borderId="1" applyAlignment="1" pivotButton="0" quotePrefix="0" xfId="0">
      <alignment vertical="top" wrapText="1"/>
    </xf>
    <xf numFmtId="164" fontId="4" fillId="72" borderId="1" applyAlignment="1" pivotButton="0" quotePrefix="0" xfId="0">
      <alignment vertical="top" wrapText="1"/>
    </xf>
    <xf numFmtId="0" fontId="35" fillId="70" borderId="1" applyAlignment="1" pivotButton="0" quotePrefix="0" xfId="0">
      <alignment vertical="center" wrapText="1"/>
    </xf>
    <xf numFmtId="0" fontId="10" fillId="70" borderId="3" applyAlignment="1" pivotButton="0" quotePrefix="0" xfId="0">
      <alignment wrapText="1"/>
    </xf>
    <xf numFmtId="0" fontId="10" fillId="70" borderId="4" applyAlignment="1" pivotButton="0" quotePrefix="0" xfId="0">
      <alignment wrapText="1"/>
    </xf>
    <xf numFmtId="0" fontId="1" fillId="75" borderId="0" applyAlignment="1" pivotButton="0" quotePrefix="0" xfId="0">
      <alignment vertical="center"/>
    </xf>
    <xf numFmtId="0" fontId="33" fillId="76" borderId="0" applyAlignment="1" pivotButton="0" quotePrefix="0" xfId="0">
      <alignment vertical="center" wrapText="1"/>
    </xf>
    <xf numFmtId="0" fontId="6" fillId="77" borderId="13" applyAlignment="1" pivotButton="0" quotePrefix="0" xfId="0">
      <alignment horizontal="center" vertical="center" wrapText="1"/>
    </xf>
    <xf numFmtId="0" fontId="8" fillId="78" borderId="13" applyAlignment="1" pivotButton="0" quotePrefix="0" xfId="0">
      <alignment vertical="center" wrapText="1"/>
    </xf>
    <xf numFmtId="0" fontId="8" fillId="79" borderId="13" applyAlignment="1" pivotButton="0" quotePrefix="0" xfId="0">
      <alignment vertical="center" wrapText="1"/>
    </xf>
    <xf numFmtId="164" fontId="8" fillId="79" borderId="13" applyAlignment="1" pivotButton="0" quotePrefix="0" xfId="0">
      <alignment vertical="center" wrapText="1"/>
    </xf>
    <xf numFmtId="0" fontId="6" fillId="77" borderId="0" applyAlignment="1" pivotButton="0" quotePrefix="0" xfId="0">
      <alignment horizontal="center" vertical="center" wrapText="1"/>
    </xf>
    <xf numFmtId="164" fontId="8" fillId="78" borderId="13" applyAlignment="1" pivotButton="0" quotePrefix="0" xfId="0">
      <alignment vertical="center" wrapText="1"/>
    </xf>
    <xf numFmtId="0" fontId="0" fillId="79" borderId="0" applyAlignment="1" pivotButton="0" quotePrefix="0" xfId="0">
      <alignment wrapText="1"/>
    </xf>
    <xf numFmtId="0" fontId="3" fillId="77" borderId="13" applyAlignment="1" pivotButton="0" quotePrefix="0" xfId="0">
      <alignment horizontal="center" vertical="center" wrapText="1"/>
    </xf>
    <xf numFmtId="0" fontId="4" fillId="78" borderId="13" applyAlignment="1" pivotButton="0" quotePrefix="0" xfId="0">
      <alignment vertical="center" wrapText="1"/>
    </xf>
    <xf numFmtId="164" fontId="1" fillId="75" borderId="0" applyAlignment="1" pivotButton="0" quotePrefix="0" xfId="0">
      <alignment vertical="center"/>
    </xf>
    <xf numFmtId="0" fontId="4" fillId="78" borderId="13" applyAlignment="1" pivotButton="0" quotePrefix="0" xfId="0">
      <alignment vertical="top" wrapText="1"/>
    </xf>
    <xf numFmtId="164" fontId="4" fillId="78" borderId="13" applyAlignment="1" pivotButton="0" quotePrefix="0" xfId="0">
      <alignment vertical="top" wrapText="1"/>
    </xf>
    <xf numFmtId="0" fontId="8" fillId="78" borderId="13" applyAlignment="1" pivotButton="0" quotePrefix="0" xfId="0">
      <alignment vertical="top" wrapText="1"/>
    </xf>
    <xf numFmtId="0" fontId="8" fillId="78" borderId="0" applyAlignment="1" pivotButton="0" quotePrefix="0" xfId="0">
      <alignment vertical="top" wrapText="1"/>
    </xf>
    <xf numFmtId="0" fontId="34" fillId="75" borderId="13" applyAlignment="1" pivotButton="0" quotePrefix="0" xfId="0">
      <alignment vertical="center" wrapText="1"/>
    </xf>
    <xf numFmtId="164" fontId="4" fillId="78" borderId="13" applyAlignment="1" pivotButton="0" quotePrefix="0" xfId="0">
      <alignment vertical="center" wrapText="1"/>
    </xf>
    <xf numFmtId="164" fontId="34" fillId="75" borderId="13" applyAlignment="1" pivotButton="0" quotePrefix="0" xfId="0">
      <alignment vertical="center" wrapText="1"/>
    </xf>
    <xf numFmtId="164" fontId="3" fillId="77" borderId="13" applyAlignment="1" pivotButton="0" quotePrefix="0" xfId="0">
      <alignment horizontal="center" vertical="center" wrapText="1"/>
    </xf>
    <xf numFmtId="164" fontId="4" fillId="80" borderId="13" applyAlignment="1" pivotButton="0" quotePrefix="0" xfId="0">
      <alignment vertical="center" wrapText="1"/>
    </xf>
    <xf numFmtId="0" fontId="3" fillId="77" borderId="1" applyAlignment="1" pivotButton="0" quotePrefix="0" xfId="0">
      <alignment horizontal="center" vertical="center" wrapText="1"/>
    </xf>
    <xf numFmtId="0" fontId="4" fillId="78" borderId="1" applyAlignment="1" pivotButton="0" quotePrefix="0" xfId="0">
      <alignment vertical="top" wrapText="1"/>
    </xf>
    <xf numFmtId="164" fontId="4" fillId="78" borderId="1" applyAlignment="1" pivotButton="0" quotePrefix="0" xfId="0">
      <alignment vertical="top" wrapText="1"/>
    </xf>
    <xf numFmtId="0" fontId="35" fillId="76" borderId="1" applyAlignment="1" pivotButton="0" quotePrefix="0" xfId="0">
      <alignment vertical="center" wrapText="1"/>
    </xf>
    <xf numFmtId="0" fontId="10" fillId="76" borderId="3" applyAlignment="1" pivotButton="0" quotePrefix="0" xfId="0">
      <alignment wrapText="1"/>
    </xf>
    <xf numFmtId="0" fontId="10" fillId="76" borderId="4" applyAlignment="1" pivotButton="0" quotePrefix="0" xfId="0">
      <alignment wrapText="1"/>
    </xf>
    <xf numFmtId="0" fontId="0" fillId="81" borderId="0" pivotButton="0" quotePrefix="0" xfId="0"/>
    <xf numFmtId="0" fontId="1" fillId="81" borderId="0" pivotButton="0" quotePrefix="0" xfId="0"/>
    <xf numFmtId="0" fontId="1" fillId="81" borderId="0" applyAlignment="1" pivotButton="0" quotePrefix="0" xfId="0">
      <alignment vertical="center"/>
    </xf>
    <xf numFmtId="0" fontId="0" fillId="82" borderId="0" pivotButton="0" quotePrefix="0" xfId="0"/>
    <xf numFmtId="0" fontId="33" fillId="82" borderId="0" pivotButton="0" quotePrefix="0" xfId="0"/>
    <xf numFmtId="0" fontId="33" fillId="82" borderId="0" applyAlignment="1" pivotButton="0" quotePrefix="0" xfId="0">
      <alignment wrapText="1"/>
    </xf>
    <xf numFmtId="0" fontId="33" fillId="82" borderId="0" applyAlignment="1" pivotButton="0" quotePrefix="0" xfId="0">
      <alignment vertical="center" wrapText="1"/>
    </xf>
    <xf numFmtId="0" fontId="6" fillId="81" borderId="0" pivotButton="0" quotePrefix="0" xfId="0"/>
    <xf numFmtId="0" fontId="6" fillId="81" borderId="0" applyAlignment="1" pivotButton="0" quotePrefix="0" xfId="0">
      <alignment horizontal="center"/>
    </xf>
    <xf numFmtId="0" fontId="6" fillId="81" borderId="0" applyAlignment="1" pivotButton="0" quotePrefix="0" xfId="0">
      <alignment horizontal="center" vertical="center"/>
    </xf>
    <xf numFmtId="0" fontId="0" fillId="83" borderId="0" pivotButton="0" quotePrefix="0" xfId="0"/>
    <xf numFmtId="0" fontId="6" fillId="83" borderId="0" pivotButton="0" quotePrefix="0" xfId="0"/>
    <xf numFmtId="0" fontId="6" fillId="83" borderId="0" applyAlignment="1" pivotButton="0" quotePrefix="0" xfId="0">
      <alignment horizontal="center"/>
    </xf>
    <xf numFmtId="0" fontId="6" fillId="83" borderId="0" applyAlignment="1" pivotButton="0" quotePrefix="0" xfId="0">
      <alignment horizontal="center" vertical="center"/>
    </xf>
    <xf numFmtId="0" fontId="0" fillId="84" borderId="0" pivotButton="0" quotePrefix="0" xfId="0"/>
    <xf numFmtId="0" fontId="6" fillId="84" borderId="0" pivotButton="0" quotePrefix="0" xfId="0"/>
    <xf numFmtId="0" fontId="6" fillId="84" borderId="0" applyAlignment="1" pivotButton="0" quotePrefix="0" xfId="0">
      <alignment horizontal="center"/>
    </xf>
    <xf numFmtId="0" fontId="6" fillId="84" borderId="0" applyAlignment="1" pivotButton="0" quotePrefix="0" xfId="0">
      <alignment horizontal="center" vertical="center"/>
    </xf>
    <xf numFmtId="0" fontId="0" fillId="85" borderId="0" pivotButton="0" quotePrefix="0" xfId="0"/>
    <xf numFmtId="0" fontId="6" fillId="85" borderId="0" pivotButton="0" quotePrefix="0" xfId="0"/>
    <xf numFmtId="0" fontId="6" fillId="85" borderId="0" applyAlignment="1" pivotButton="0" quotePrefix="0" xfId="0">
      <alignment horizontal="center"/>
    </xf>
    <xf numFmtId="0" fontId="6" fillId="85" borderId="0" applyAlignment="1" pivotButton="0" quotePrefix="0" xfId="0">
      <alignment horizontal="center" vertical="center"/>
    </xf>
    <xf numFmtId="0" fontId="0" fillId="86" borderId="0" pivotButton="0" quotePrefix="0" xfId="0"/>
    <xf numFmtId="0" fontId="6" fillId="86" borderId="0" pivotButton="0" quotePrefix="0" xfId="0"/>
    <xf numFmtId="0" fontId="6" fillId="86" borderId="0" applyAlignment="1" pivotButton="0" quotePrefix="0" xfId="0">
      <alignment wrapText="1"/>
    </xf>
    <xf numFmtId="0" fontId="6" fillId="86" borderId="0" applyAlignment="1" pivotButton="0" quotePrefix="0" xfId="0">
      <alignment horizontal="center" wrapText="1"/>
    </xf>
    <xf numFmtId="0" fontId="6" fillId="86" borderId="0" applyAlignment="1" pivotButton="0" quotePrefix="0" xfId="0">
      <alignment horizontal="center" vertical="center" wrapText="1"/>
    </xf>
    <xf numFmtId="0" fontId="0" fillId="87" borderId="0" pivotButton="0" quotePrefix="0" xfId="0"/>
    <xf numFmtId="0" fontId="8" fillId="87" borderId="0" pivotButton="0" quotePrefix="0" xfId="0"/>
    <xf numFmtId="0" fontId="8" fillId="87" borderId="0" applyAlignment="1" pivotButton="0" quotePrefix="0" xfId="0">
      <alignment wrapText="1"/>
    </xf>
    <xf numFmtId="0" fontId="8" fillId="87" borderId="0" applyAlignment="1" pivotButton="0" quotePrefix="0" xfId="0">
      <alignment vertical="top" wrapText="1"/>
    </xf>
    <xf numFmtId="0" fontId="0" fillId="88" borderId="0" pivotButton="0" quotePrefix="0" xfId="0"/>
    <xf numFmtId="0" fontId="8" fillId="88" borderId="0" pivotButton="0" quotePrefix="0" xfId="0"/>
    <xf numFmtId="0" fontId="8" fillId="88" borderId="0" applyAlignment="1" pivotButton="0" quotePrefix="0" xfId="0">
      <alignment wrapText="1"/>
    </xf>
    <xf numFmtId="0" fontId="8" fillId="88" borderId="0" applyAlignment="1" pivotButton="0" quotePrefix="0" xfId="0">
      <alignment vertical="top" wrapText="1"/>
    </xf>
    <xf numFmtId="0" fontId="0" fillId="89" borderId="0" pivotButton="0" quotePrefix="0" xfId="0"/>
    <xf numFmtId="0" fontId="36" fillId="89" borderId="0" pivotButton="0" quotePrefix="0" xfId="0"/>
    <xf numFmtId="0" fontId="36" fillId="89" borderId="0" applyAlignment="1" pivotButton="0" quotePrefix="0" xfId="0">
      <alignment horizontal="center"/>
    </xf>
    <xf numFmtId="0" fontId="36" fillId="89" borderId="0" applyAlignment="1" pivotButton="0" quotePrefix="0" xfId="0">
      <alignment horizontal="center" vertical="center"/>
    </xf>
    <xf numFmtId="0" fontId="0" fillId="90" borderId="0" pivotButton="0" quotePrefix="0" xfId="0"/>
    <xf numFmtId="0" fontId="8" fillId="90" borderId="0" pivotButton="0" quotePrefix="0" xfId="0"/>
    <xf numFmtId="0" fontId="8" fillId="90" borderId="0" applyAlignment="1" pivotButton="0" quotePrefix="0" xfId="0">
      <alignment wrapText="1"/>
    </xf>
    <xf numFmtId="0" fontId="8" fillId="90" borderId="0" applyAlignment="1" pivotButton="0" quotePrefix="0" xfId="0">
      <alignment vertical="top" wrapText="1"/>
    </xf>
    <xf numFmtId="164" fontId="36" fillId="89" borderId="0" applyAlignment="1" pivotButton="0" quotePrefix="0" xfId="0">
      <alignment horizontal="center" vertical="center"/>
    </xf>
    <xf numFmtId="0" fontId="0" fillId="90" borderId="0" applyAlignment="1" pivotButton="0" quotePrefix="0" xfId="0">
      <alignment wrapText="1"/>
    </xf>
    <xf numFmtId="0" fontId="0" fillId="89" borderId="0" applyAlignment="1" pivotButton="0" quotePrefix="0" xfId="0">
      <alignment wrapText="1"/>
    </xf>
    <xf numFmtId="2" fontId="0" fillId="90" borderId="0" applyAlignment="1" pivotButton="0" quotePrefix="0" xfId="0">
      <alignment wrapText="1"/>
    </xf>
    <xf numFmtId="2" fontId="0" fillId="89" borderId="0" applyAlignment="1" pivotButton="0" quotePrefix="0" xfId="0">
      <alignment wrapText="1"/>
    </xf>
    <xf numFmtId="0" fontId="0" fillId="0" borderId="17" applyAlignment="1" pivotButton="0" quotePrefix="0" xfId="0">
      <alignment wrapText="1"/>
    </xf>
    <xf numFmtId="0" fontId="8" fillId="5" borderId="13" applyAlignment="1" pivotButton="0" quotePrefix="0" xfId="0">
      <alignment vertical="top" wrapText="1"/>
    </xf>
    <xf numFmtId="0" fontId="0" fillId="0" borderId="16" applyAlignment="1" pivotButton="0" quotePrefix="0" xfId="0">
      <alignment vertical="top" wrapText="1"/>
    </xf>
    <xf numFmtId="0" fontId="0" fillId="0" borderId="17" applyAlignment="1" pivotButton="0" quotePrefix="0" xfId="0">
      <alignment vertical="top" wrapText="1"/>
    </xf>
    <xf numFmtId="0" fontId="31" fillId="91" borderId="0" applyAlignment="1" pivotButton="0" quotePrefix="0" xfId="0">
      <alignment vertical="center" wrapText="1"/>
    </xf>
    <xf numFmtId="0" fontId="0" fillId="91" borderId="0" applyAlignment="1" pivotButton="0" quotePrefix="0" xfId="0">
      <alignment wrapText="1"/>
    </xf>
    <xf numFmtId="0" fontId="0" fillId="91" borderId="0" pivotButton="0" quotePrefix="0" xfId="0"/>
    <xf numFmtId="0" fontId="37" fillId="91" borderId="0" applyAlignment="1" pivotButton="0" quotePrefix="0" xfId="0">
      <alignment vertical="center" wrapText="1"/>
    </xf>
    <xf numFmtId="0" fontId="37" fillId="91" borderId="0" applyAlignment="1" pivotButton="0" quotePrefix="0" xfId="0">
      <alignment wrapText="1"/>
    </xf>
    <xf numFmtId="0" fontId="37" fillId="91" borderId="0" pivotButton="0" quotePrefix="0" xfId="0"/>
    <xf numFmtId="0" fontId="37" fillId="91" borderId="21" applyAlignment="1" pivotButton="0" quotePrefix="0" xfId="0">
      <alignment vertical="center" wrapText="1"/>
    </xf>
    <xf numFmtId="0" fontId="37" fillId="91" borderId="21" applyAlignment="1" pivotButton="0" quotePrefix="0" xfId="0">
      <alignment wrapText="1"/>
    </xf>
    <xf numFmtId="0" fontId="37" fillId="91" borderId="21" pivotButton="0" quotePrefix="0" xfId="0"/>
    <xf numFmtId="0" fontId="37" fillId="91" borderId="21" applyAlignment="1" pivotButton="0" quotePrefix="0" xfId="0">
      <alignment horizontal="left" vertical="center" wrapText="1"/>
    </xf>
    <xf numFmtId="0" fontId="37" fillId="91" borderId="21" applyAlignment="1" pivotButton="0" quotePrefix="0" xfId="0">
      <alignment horizontal="left" wrapText="1"/>
    </xf>
    <xf numFmtId="0" fontId="37" fillId="91" borderId="21" applyAlignment="1" pivotButton="0" quotePrefix="0" xfId="0">
      <alignment horizontal="left"/>
    </xf>
    <xf numFmtId="0" fontId="37" fillId="91" borderId="21" applyAlignment="1" pivotButton="0" quotePrefix="0" xfId="0">
      <alignment horizontal="left" vertical="center"/>
    </xf>
    <xf numFmtId="0" fontId="2" fillId="92" borderId="0" applyAlignment="1" pivotButton="0" quotePrefix="0" xfId="0">
      <alignment vertical="center" wrapText="1"/>
    </xf>
    <xf numFmtId="0" fontId="0" fillId="92" borderId="0" applyAlignment="1" pivotButton="0" quotePrefix="0" xfId="0">
      <alignment wrapText="1"/>
    </xf>
    <xf numFmtId="0" fontId="0" fillId="92" borderId="0" pivotButton="0" quotePrefix="0" xfId="0"/>
    <xf numFmtId="0" fontId="38" fillId="92" borderId="0" applyAlignment="1" pivotButton="0" quotePrefix="0" xfId="0">
      <alignment vertical="center" wrapText="1"/>
    </xf>
    <xf numFmtId="0" fontId="38" fillId="92" borderId="0" applyAlignment="1" pivotButton="0" quotePrefix="0" xfId="0">
      <alignment wrapText="1"/>
    </xf>
    <xf numFmtId="0" fontId="38" fillId="92" borderId="0" pivotButton="0" quotePrefix="0" xfId="0"/>
    <xf numFmtId="0" fontId="38" fillId="92" borderId="22" applyAlignment="1" pivotButton="0" quotePrefix="0" xfId="0">
      <alignment vertical="center" wrapText="1"/>
    </xf>
    <xf numFmtId="0" fontId="38" fillId="92" borderId="22" applyAlignment="1" pivotButton="0" quotePrefix="0" xfId="0">
      <alignment wrapText="1"/>
    </xf>
    <xf numFmtId="0" fontId="38" fillId="92" borderId="22" pivotButton="0" quotePrefix="0" xfId="0"/>
    <xf numFmtId="0" fontId="38" fillId="92" borderId="22" applyAlignment="1" pivotButton="0" quotePrefix="0" xfId="0">
      <alignment horizontal="left" vertical="center" wrapText="1"/>
    </xf>
    <xf numFmtId="0" fontId="38" fillId="92" borderId="22" applyAlignment="1" pivotButton="0" quotePrefix="0" xfId="0">
      <alignment horizontal="left" wrapText="1"/>
    </xf>
    <xf numFmtId="0" fontId="39" fillId="91" borderId="21" applyAlignment="1" pivotButton="0" quotePrefix="0" xfId="0">
      <alignment horizontal="left" vertical="center" wrapText="1"/>
    </xf>
    <xf numFmtId="0" fontId="39" fillId="91" borderId="21" applyAlignment="1" pivotButton="0" quotePrefix="0" xfId="0">
      <alignment horizontal="left" vertical="center"/>
    </xf>
    <xf numFmtId="0" fontId="40" fillId="0" borderId="0" applyAlignment="1" pivotButton="0" quotePrefix="0" xfId="0">
      <alignment wrapText="1"/>
    </xf>
    <xf numFmtId="0" fontId="40" fillId="0" borderId="0" pivotButton="0" quotePrefix="0" xfId="0"/>
    <xf numFmtId="0" fontId="41" fillId="4" borderId="13" applyAlignment="1" pivotButton="0" quotePrefix="0" xfId="0">
      <alignment horizontal="left" vertical="center" wrapText="1"/>
    </xf>
    <xf numFmtId="0" fontId="40" fillId="0" borderId="16" applyAlignment="1" pivotButton="0" quotePrefix="0" xfId="0">
      <alignment wrapText="1"/>
    </xf>
    <xf numFmtId="0" fontId="40" fillId="0" borderId="17" pivotButton="0" quotePrefix="0" xfId="0"/>
    <xf numFmtId="0" fontId="41" fillId="8" borderId="13" applyAlignment="1" pivotButton="0" quotePrefix="0" xfId="0">
      <alignment horizontal="center" vertical="center" wrapText="1"/>
    </xf>
    <xf numFmtId="0" fontId="42" fillId="5" borderId="13" applyAlignment="1" pivotButton="0" quotePrefix="0" xfId="0">
      <alignment vertical="center" wrapText="1"/>
    </xf>
    <xf numFmtId="0" fontId="42" fillId="7" borderId="13" applyAlignment="1" pivotButton="0" quotePrefix="0" xfId="0">
      <alignment vertical="center" wrapText="1"/>
    </xf>
    <xf numFmtId="0" fontId="41" fillId="4" borderId="13" applyAlignment="1" pivotButton="0" quotePrefix="0" xfId="0">
      <alignment horizontal="center" vertical="center" wrapText="1"/>
    </xf>
    <xf numFmtId="0" fontId="42" fillId="5" borderId="13" applyAlignment="1" pivotButton="0" quotePrefix="0" xfId="0">
      <alignment vertical="top" wrapText="1"/>
    </xf>
    <xf numFmtId="0" fontId="40" fillId="0" borderId="16" applyAlignment="1" pivotButton="0" quotePrefix="0" xfId="0">
      <alignment vertical="top" wrapText="1"/>
    </xf>
    <xf numFmtId="0" fontId="40" fillId="0" borderId="17" applyAlignment="1" pivotButton="0" quotePrefix="0" xfId="0">
      <alignment vertical="top" wrapText="1"/>
    </xf>
    <xf numFmtId="0" fontId="41" fillId="93" borderId="13" applyAlignment="1" pivotButton="0" quotePrefix="0" xfId="0">
      <alignment horizontal="left" vertical="center" wrapText="1"/>
    </xf>
    <xf numFmtId="0" fontId="40" fillId="93" borderId="16" applyAlignment="1" pivotButton="0" quotePrefix="0" xfId="0">
      <alignment wrapText="1"/>
    </xf>
    <xf numFmtId="0" fontId="40" fillId="93" borderId="17" pivotButton="0" quotePrefix="0" xfId="0"/>
    <xf numFmtId="0" fontId="41" fillId="93" borderId="16" applyAlignment="1" pivotButton="0" quotePrefix="0" xfId="0">
      <alignment wrapText="1"/>
    </xf>
    <xf numFmtId="0" fontId="41" fillId="93" borderId="17" pivotButton="0" quotePrefix="0" xfId="0"/>
    <xf numFmtId="0" fontId="41" fillId="93" borderId="23" applyAlignment="1" pivotButton="0" quotePrefix="0" xfId="0">
      <alignment horizontal="left" vertical="center" wrapText="1"/>
    </xf>
    <xf numFmtId="0" fontId="41" fillId="93" borderId="24" applyAlignment="1" pivotButton="0" quotePrefix="0" xfId="0">
      <alignment wrapText="1"/>
    </xf>
    <xf numFmtId="0" fontId="41" fillId="93" borderId="25" pivotButton="0" quotePrefix="0" xfId="0"/>
    <xf numFmtId="0" fontId="41" fillId="93" borderId="24" applyAlignment="1" pivotButton="0" quotePrefix="0" xfId="0">
      <alignment horizontal="left" wrapText="1"/>
    </xf>
    <xf numFmtId="0" fontId="41" fillId="93" borderId="25" applyAlignment="1" pivotButton="0" quotePrefix="0" xfId="0">
      <alignment horizontal="left"/>
    </xf>
    <xf numFmtId="0" fontId="41" fillId="93" borderId="24" applyAlignment="1" pivotButton="0" quotePrefix="0" xfId="0">
      <alignment horizontal="left" vertical="center" wrapText="1"/>
    </xf>
    <xf numFmtId="0" fontId="41" fillId="93" borderId="25" applyAlignment="1" pivotButton="0" quotePrefix="0" xfId="0">
      <alignment horizontal="left" vertical="center"/>
    </xf>
    <xf numFmtId="0" fontId="41" fillId="94" borderId="13" applyAlignment="1" pivotButton="0" quotePrefix="0" xfId="0">
      <alignment horizontal="center" vertical="center" wrapText="1"/>
    </xf>
    <xf numFmtId="0" fontId="42" fillId="94" borderId="13" applyAlignment="1" pivotButton="0" quotePrefix="0" xfId="0">
      <alignment vertical="center" wrapText="1"/>
    </xf>
    <xf numFmtId="0" fontId="40" fillId="94" borderId="16" applyAlignment="1" pivotButton="0" quotePrefix="0" xfId="0">
      <alignment wrapText="1"/>
    </xf>
    <xf numFmtId="0" fontId="40" fillId="94" borderId="17" pivotButton="0" quotePrefix="0" xfId="0"/>
    <xf numFmtId="0" fontId="43" fillId="94" borderId="13" applyAlignment="1" pivotButton="0" quotePrefix="0" xfId="0">
      <alignment horizontal="center" vertical="center" wrapText="1"/>
    </xf>
    <xf numFmtId="0" fontId="44" fillId="94" borderId="13" applyAlignment="1" pivotButton="0" quotePrefix="0" xfId="0">
      <alignment vertical="center" wrapText="1"/>
    </xf>
    <xf numFmtId="0" fontId="44" fillId="94" borderId="16" applyAlignment="1" pivotButton="0" quotePrefix="0" xfId="0">
      <alignment wrapText="1"/>
    </xf>
    <xf numFmtId="0" fontId="44" fillId="94" borderId="17" pivotButton="0" quotePrefix="0" xfId="0"/>
    <xf numFmtId="0" fontId="43" fillId="94" borderId="26" applyAlignment="1" pivotButton="0" quotePrefix="0" xfId="0">
      <alignment horizontal="center" vertical="center" wrapText="1"/>
    </xf>
    <xf numFmtId="0" fontId="44" fillId="94" borderId="26" applyAlignment="1" pivotButton="0" quotePrefix="0" xfId="0">
      <alignment vertical="center" wrapText="1"/>
    </xf>
    <xf numFmtId="0" fontId="44" fillId="94" borderId="26" applyAlignment="1" pivotButton="0" quotePrefix="0" xfId="0">
      <alignment wrapText="1"/>
    </xf>
    <xf numFmtId="0" fontId="44" fillId="94" borderId="26" pivotButton="0" quotePrefix="0" xfId="0"/>
    <xf numFmtId="0" fontId="43" fillId="94" borderId="26" applyAlignment="1" pivotButton="0" quotePrefix="0" xfId="0">
      <alignment horizontal="left" vertical="center" wrapText="1"/>
    </xf>
    <xf numFmtId="0" fontId="44" fillId="94" borderId="26" applyAlignment="1" pivotButton="0" quotePrefix="0" xfId="0">
      <alignment horizontal="left" vertical="center" wrapText="1"/>
    </xf>
    <xf numFmtId="0" fontId="44" fillId="94" borderId="26" applyAlignment="1" pivotButton="0" quotePrefix="0" xfId="0">
      <alignment horizontal="left" wrapText="1"/>
    </xf>
    <xf numFmtId="0" fontId="43" fillId="94" borderId="26" applyAlignment="1" pivotButton="0" quotePrefix="0" xfId="0">
      <alignment horizontal="left" vertical="top" wrapText="1"/>
    </xf>
    <xf numFmtId="0" fontId="44" fillId="94" borderId="26" applyAlignment="1" pivotButton="0" quotePrefix="0" xfId="0">
      <alignment horizontal="left" vertical="top" wrapText="1"/>
    </xf>
    <xf numFmtId="0" fontId="43" fillId="95" borderId="26" applyAlignment="1" pivotButton="0" quotePrefix="0" xfId="0">
      <alignment horizontal="left" vertical="top" wrapText="1"/>
    </xf>
    <xf numFmtId="0" fontId="45" fillId="95" borderId="26" applyAlignment="1" pivotButton="0" quotePrefix="0" xfId="0">
      <alignment horizontal="left" vertical="top" wrapText="1"/>
    </xf>
    <xf numFmtId="0" fontId="45" fillId="95" borderId="26" applyAlignment="1" pivotButton="0" quotePrefix="0" xfId="0">
      <alignment horizontal="center" vertical="top" wrapText="1"/>
    </xf>
    <xf numFmtId="0" fontId="45" fillId="95" borderId="26" applyAlignment="1" pivotButton="0" quotePrefix="0" xfId="0">
      <alignment horizontal="center" vertical="center" wrapText="1"/>
    </xf>
    <xf numFmtId="0" fontId="44" fillId="95" borderId="26" applyAlignment="1" pivotButton="0" quotePrefix="0" xfId="0">
      <alignment horizontal="left" vertical="top" wrapText="1"/>
    </xf>
    <xf numFmtId="0" fontId="45" fillId="95" borderId="26" applyAlignment="1" pivotButton="0" quotePrefix="0" xfId="0">
      <alignment horizontal="left" vertical="center" wrapText="1"/>
    </xf>
    <xf numFmtId="0" fontId="41" fillId="96" borderId="13" applyAlignment="1" pivotButton="0" quotePrefix="0" xfId="0">
      <alignment horizontal="center" vertical="center" wrapText="1"/>
    </xf>
    <xf numFmtId="0" fontId="46" fillId="96" borderId="13" applyAlignment="1" pivotButton="0" quotePrefix="0" xfId="0">
      <alignment horizontal="center" vertical="center" wrapText="1"/>
    </xf>
    <xf numFmtId="0" fontId="46" fillId="96" borderId="27" applyAlignment="1" pivotButton="0" quotePrefix="0" xfId="0">
      <alignment horizontal="center" vertical="center" wrapText="1"/>
    </xf>
    <xf numFmtId="0" fontId="42" fillId="94" borderId="13" applyAlignment="1" pivotButton="0" quotePrefix="0" xfId="0">
      <alignment vertical="top" wrapText="1"/>
    </xf>
    <xf numFmtId="0" fontId="40" fillId="94" borderId="16" applyAlignment="1" pivotButton="0" quotePrefix="0" xfId="0">
      <alignment vertical="top" wrapText="1"/>
    </xf>
    <xf numFmtId="0" fontId="40" fillId="94" borderId="17" applyAlignment="1" pivotButton="0" quotePrefix="0" xfId="0">
      <alignment vertical="top" wrapText="1"/>
    </xf>
    <xf numFmtId="0" fontId="44" fillId="94" borderId="13" applyAlignment="1" pivotButton="0" quotePrefix="0" xfId="0">
      <alignment vertical="top" wrapText="1"/>
    </xf>
    <xf numFmtId="0" fontId="44" fillId="94" borderId="16" applyAlignment="1" pivotButton="0" quotePrefix="0" xfId="0">
      <alignment vertical="top" wrapText="1"/>
    </xf>
    <xf numFmtId="0" fontId="44" fillId="94" borderId="17" applyAlignment="1" pivotButton="0" quotePrefix="0" xfId="0">
      <alignment vertical="top" wrapText="1"/>
    </xf>
    <xf numFmtId="0" fontId="44" fillId="94" borderId="26" applyAlignment="1" pivotButton="0" quotePrefix="0" xfId="0">
      <alignment vertical="top" wrapText="1"/>
    </xf>
    <xf numFmtId="0" fontId="44" fillId="97" borderId="26" applyAlignment="1" pivotButton="0" quotePrefix="0" xfId="0">
      <alignment horizontal="left" vertical="top" wrapText="1"/>
    </xf>
    <xf numFmtId="0" fontId="6" fillId="91" borderId="0" applyAlignment="1" pivotButton="0" quotePrefix="0" xfId="0">
      <alignment vertical="center"/>
    </xf>
    <xf numFmtId="0" fontId="37" fillId="91" borderId="0" applyAlignment="1" pivotButton="0" quotePrefix="0" xfId="0">
      <alignment vertical="center"/>
    </xf>
    <xf numFmtId="0" fontId="37" fillId="91" borderId="21" applyAlignment="1" pivotButton="0" quotePrefix="0" xfId="0">
      <alignment vertical="center"/>
    </xf>
    <xf numFmtId="0" fontId="7" fillId="92" borderId="0" applyAlignment="1" pivotButton="0" quotePrefix="0" xfId="0">
      <alignment vertical="center" wrapText="1"/>
    </xf>
    <xf numFmtId="0" fontId="6" fillId="96" borderId="13" applyAlignment="1" pivotButton="0" quotePrefix="0" xfId="0">
      <alignment horizontal="center" vertical="center" wrapText="1"/>
    </xf>
    <xf numFmtId="0" fontId="8" fillId="94" borderId="13" applyAlignment="1" pivotButton="0" quotePrefix="0" xfId="0">
      <alignment vertical="center" wrapText="1"/>
    </xf>
    <xf numFmtId="0" fontId="8" fillId="94" borderId="1" applyAlignment="1" pivotButton="0" quotePrefix="0" xfId="0">
      <alignment vertical="center" wrapText="1"/>
    </xf>
    <xf numFmtId="0" fontId="0" fillId="94" borderId="0" pivotButton="0" quotePrefix="0" xfId="0"/>
    <xf numFmtId="0" fontId="44" fillId="94" borderId="1" applyAlignment="1" pivotButton="0" quotePrefix="0" xfId="0">
      <alignment vertical="center" wrapText="1"/>
    </xf>
    <xf numFmtId="0" fontId="44" fillId="94" borderId="0" pivotButton="0" quotePrefix="0" xfId="0"/>
    <xf numFmtId="0" fontId="44" fillId="97" borderId="26" applyAlignment="1" pivotButton="0" quotePrefix="0" xfId="0">
      <alignment horizontal="center" vertical="top" wrapText="1"/>
    </xf>
    <xf numFmtId="0" fontId="44" fillId="97" borderId="26" applyAlignment="1" pivotButton="0" quotePrefix="0" xfId="0">
      <alignment horizontal="center" vertical="center" wrapText="1"/>
    </xf>
    <xf numFmtId="0" fontId="1" fillId="91" borderId="0" applyAlignment="1" pivotButton="0" quotePrefix="0" xfId="0">
      <alignment vertical="center"/>
    </xf>
    <xf numFmtId="0" fontId="33" fillId="92" borderId="0" applyAlignment="1" pivotButton="0" quotePrefix="0" xfId="0">
      <alignment vertical="center" wrapText="1"/>
    </xf>
    <xf numFmtId="164" fontId="8" fillId="94" borderId="13" applyAlignment="1" pivotButton="0" quotePrefix="0" xfId="0">
      <alignment vertical="center" wrapText="1"/>
    </xf>
    <xf numFmtId="0" fontId="8" fillId="94" borderId="1" applyAlignment="1" pivotButton="0" quotePrefix="0" xfId="0">
      <alignment vertical="top" wrapText="1"/>
    </xf>
    <xf numFmtId="164" fontId="8" fillId="94" borderId="1" applyAlignment="1" pivotButton="0" quotePrefix="0" xfId="0">
      <alignment vertical="center" wrapText="1"/>
    </xf>
    <xf numFmtId="164" fontId="0" fillId="94" borderId="0" pivotButton="0" quotePrefix="0" xfId="0"/>
    <xf numFmtId="164" fontId="44" fillId="94" borderId="13" applyAlignment="1" pivotButton="0" quotePrefix="0" xfId="0">
      <alignment vertical="center" wrapText="1"/>
    </xf>
    <xf numFmtId="0" fontId="44" fillId="94" borderId="1" applyAlignment="1" pivotButton="0" quotePrefix="0" xfId="0">
      <alignment vertical="top" wrapText="1"/>
    </xf>
    <xf numFmtId="164" fontId="44" fillId="94" borderId="1" applyAlignment="1" pivotButton="0" quotePrefix="0" xfId="0">
      <alignment vertical="center" wrapText="1"/>
    </xf>
    <xf numFmtId="164" fontId="44" fillId="94" borderId="0" pivotButton="0" quotePrefix="0" xfId="0"/>
    <xf numFmtId="164" fontId="44" fillId="94" borderId="26" applyAlignment="1" pivotButton="0" quotePrefix="0" xfId="0">
      <alignment vertical="center" wrapText="1"/>
    </xf>
    <xf numFmtId="164" fontId="44" fillId="94" borderId="26" pivotButton="0" quotePrefix="0" xfId="0"/>
    <xf numFmtId="164" fontId="44" fillId="94" borderId="26" applyAlignment="1" pivotButton="0" quotePrefix="0" xfId="0">
      <alignment wrapText="1"/>
    </xf>
    <xf numFmtId="164" fontId="44" fillId="94" borderId="26" applyAlignment="1" pivotButton="0" quotePrefix="0" xfId="0">
      <alignment horizontal="left" vertical="center" wrapText="1"/>
    </xf>
    <xf numFmtId="164" fontId="44" fillId="94" borderId="26" applyAlignment="1" pivotButton="0" quotePrefix="0" xfId="0">
      <alignment horizontal="left" wrapText="1"/>
    </xf>
    <xf numFmtId="164" fontId="44" fillId="94" borderId="26" applyAlignment="1" pivotButton="0" quotePrefix="0" xfId="0">
      <alignment horizontal="left" vertical="top" wrapText="1"/>
    </xf>
    <xf numFmtId="0" fontId="44" fillId="98" borderId="26" applyAlignment="1" pivotButton="0" quotePrefix="0" xfId="0">
      <alignment horizontal="left" vertical="top" wrapText="1"/>
    </xf>
    <xf numFmtId="164" fontId="44" fillId="98" borderId="26" applyAlignment="1" pivotButton="0" quotePrefix="0" xfId="0">
      <alignment horizontal="left" vertical="top" wrapText="1"/>
    </xf>
    <xf numFmtId="0" fontId="47" fillId="98" borderId="26" applyAlignment="1" pivotButton="0" quotePrefix="0" xfId="0">
      <alignment horizontal="left" vertical="top" wrapText="1"/>
    </xf>
    <xf numFmtId="164" fontId="47" fillId="98" borderId="26" applyAlignment="1" pivotButton="0" quotePrefix="0" xfId="0">
      <alignment horizontal="left" vertical="top" wrapText="1"/>
    </xf>
    <xf numFmtId="0" fontId="47" fillId="98" borderId="26" applyAlignment="1" pivotButton="0" quotePrefix="0" xfId="0">
      <alignment horizontal="center" vertical="top" wrapText="1"/>
    </xf>
    <xf numFmtId="0" fontId="47" fillId="98" borderId="26" applyAlignment="1" pivotButton="0" quotePrefix="0" xfId="0">
      <alignment horizontal="center" vertical="center" wrapText="1"/>
    </xf>
    <xf numFmtId="164" fontId="47" fillId="98" borderId="26" applyAlignment="1" pivotButton="0" quotePrefix="0" xfId="0">
      <alignment horizontal="center" vertical="center" wrapText="1"/>
    </xf>
    <xf numFmtId="0" fontId="10" fillId="92" borderId="0" applyAlignment="1" pivotButton="0" quotePrefix="0" xfId="0">
      <alignment vertical="center"/>
    </xf>
    <xf numFmtId="0" fontId="38" fillId="92" borderId="0" applyAlignment="1" pivotButton="0" quotePrefix="0" xfId="0">
      <alignment vertical="center"/>
    </xf>
    <xf numFmtId="0" fontId="38" fillId="92" borderId="22" applyAlignment="1" pivotButton="0" quotePrefix="0" xfId="0">
      <alignment vertical="center"/>
    </xf>
    <xf numFmtId="0" fontId="8" fillId="94" borderId="13" applyAlignment="1" pivotButton="0" quotePrefix="0" xfId="0">
      <alignment horizontal="center" vertical="center" wrapText="1"/>
    </xf>
    <xf numFmtId="0" fontId="0" fillId="94" borderId="1" applyAlignment="1" pivotButton="0" quotePrefix="0" xfId="0">
      <alignment vertical="top" wrapText="1"/>
    </xf>
    <xf numFmtId="0" fontId="0" fillId="94" borderId="1" applyAlignment="1" pivotButton="0" quotePrefix="0" xfId="0">
      <alignment horizontal="center" vertical="top" wrapText="1"/>
    </xf>
    <xf numFmtId="0" fontId="44" fillId="94" borderId="13" applyAlignment="1" pivotButton="0" quotePrefix="0" xfId="0">
      <alignment horizontal="center" vertical="center" wrapText="1"/>
    </xf>
    <xf numFmtId="0" fontId="44" fillId="94" borderId="1" applyAlignment="1" pivotButton="0" quotePrefix="0" xfId="0">
      <alignment horizontal="center" vertical="top" wrapText="1"/>
    </xf>
    <xf numFmtId="0" fontId="44" fillId="94" borderId="26" applyAlignment="1" pivotButton="0" quotePrefix="0" xfId="0">
      <alignment horizontal="center" vertical="center" wrapText="1"/>
    </xf>
    <xf numFmtId="0" fontId="44" fillId="94" borderId="26" applyAlignment="1" pivotButton="0" quotePrefix="0" xfId="0">
      <alignment horizontal="center" vertical="top" wrapText="1"/>
    </xf>
    <xf numFmtId="0" fontId="6" fillId="96" borderId="0" applyAlignment="1" pivotButton="0" quotePrefix="0" xfId="0">
      <alignment horizontal="center" vertical="center" wrapText="1"/>
    </xf>
    <xf numFmtId="0" fontId="46" fillId="96" borderId="0" applyAlignment="1" pivotButton="0" quotePrefix="0" xfId="0">
      <alignment horizontal="center" vertical="center" wrapText="1"/>
    </xf>
    <xf numFmtId="0" fontId="0" fillId="94" borderId="0" applyAlignment="1" pivotButton="0" quotePrefix="0" xfId="0">
      <alignment wrapText="1"/>
    </xf>
    <xf numFmtId="0" fontId="44" fillId="94" borderId="0" applyAlignment="1" pivotButton="0" quotePrefix="0" xfId="0">
      <alignment wrapText="1"/>
    </xf>
    <xf numFmtId="164" fontId="44" fillId="97" borderId="26" applyAlignment="1" pivotButton="0" quotePrefix="0" xfId="0">
      <alignment horizontal="left" vertical="top" wrapText="1"/>
    </xf>
    <xf numFmtId="164" fontId="44" fillId="97" borderId="26" applyAlignment="1" pivotButton="0" quotePrefix="0" xfId="0">
      <alignment horizontal="center" vertical="top" wrapText="1"/>
    </xf>
    <xf numFmtId="164" fontId="44" fillId="97" borderId="26" applyAlignment="1" pivotButton="0" quotePrefix="0" xfId="0">
      <alignment horizontal="center" vertical="center" wrapText="1"/>
    </xf>
    <xf numFmtId="0" fontId="3" fillId="96" borderId="13" applyAlignment="1" pivotButton="0" quotePrefix="0" xfId="0">
      <alignment horizontal="center" vertical="center" wrapText="1"/>
    </xf>
    <xf numFmtId="0" fontId="4" fillId="94" borderId="13" applyAlignment="1" pivotButton="0" quotePrefix="0" xfId="0">
      <alignment vertical="center" wrapText="1"/>
    </xf>
    <xf numFmtId="0" fontId="4" fillId="94" borderId="1" applyAlignment="1" pivotButton="0" quotePrefix="0" xfId="0">
      <alignment vertical="top" wrapText="1"/>
    </xf>
    <xf numFmtId="164" fontId="47" fillId="98" borderId="26" applyAlignment="1" pivotButton="0" quotePrefix="0" xfId="0">
      <alignment horizontal="center" vertical="top" wrapText="1"/>
    </xf>
    <xf numFmtId="0" fontId="31" fillId="91" borderId="0" applyAlignment="1" pivotButton="0" quotePrefix="0" xfId="0">
      <alignment vertical="center"/>
    </xf>
    <xf numFmtId="164" fontId="4" fillId="94" borderId="13" applyAlignment="1" pivotButton="0" quotePrefix="0" xfId="0">
      <alignment vertical="center" wrapText="1"/>
    </xf>
    <xf numFmtId="164" fontId="48" fillId="98" borderId="26" applyAlignment="1" pivotButton="0" quotePrefix="0" xfId="0">
      <alignment horizontal="left" vertical="top" wrapText="1"/>
    </xf>
    <xf numFmtId="164" fontId="48" fillId="98" borderId="26" applyAlignment="1" pivotButton="0" quotePrefix="0" xfId="0">
      <alignment horizontal="right" vertical="top" wrapText="1"/>
    </xf>
    <xf numFmtId="164" fontId="48" fillId="98" borderId="26" applyAlignment="1" pivotButton="0" quotePrefix="0" xfId="0">
      <alignment horizontal="right" vertical="center" wrapText="1"/>
    </xf>
    <xf numFmtId="0" fontId="44" fillId="99" borderId="26" applyAlignment="1" pivotButton="0" quotePrefix="0" xfId="0">
      <alignment horizontal="left" vertical="top" wrapText="1"/>
    </xf>
    <xf numFmtId="0" fontId="45" fillId="99" borderId="26" applyAlignment="1" pivotButton="0" quotePrefix="0" xfId="0">
      <alignment horizontal="left" vertical="top" wrapText="1"/>
    </xf>
    <xf numFmtId="0" fontId="45" fillId="99" borderId="26" applyAlignment="1" pivotButton="0" quotePrefix="0" xfId="0">
      <alignment horizontal="center" vertical="top" wrapText="1"/>
    </xf>
    <xf numFmtId="0" fontId="45" fillId="99" borderId="26" applyAlignment="1" pivotButton="0" quotePrefix="0" xfId="0">
      <alignment horizontal="center" vertical="center" wrapText="1"/>
    </xf>
    <xf numFmtId="0" fontId="4" fillId="91" borderId="13" applyAlignment="1" pivotButton="0" quotePrefix="0" xfId="0">
      <alignment vertical="center" wrapText="1"/>
    </xf>
    <xf numFmtId="164" fontId="4" fillId="91" borderId="13" applyAlignment="1" pivotButton="0" quotePrefix="0" xfId="0">
      <alignment vertical="center" wrapText="1"/>
    </xf>
    <xf numFmtId="0" fontId="41" fillId="91" borderId="13" applyAlignment="1" pivotButton="0" quotePrefix="0" xfId="0">
      <alignment vertical="center" wrapText="1"/>
    </xf>
    <xf numFmtId="164" fontId="41" fillId="91" borderId="13" applyAlignment="1" pivotButton="0" quotePrefix="0" xfId="0">
      <alignment vertical="center" wrapText="1"/>
    </xf>
    <xf numFmtId="0" fontId="41" fillId="91" borderId="28" applyAlignment="1" pivotButton="0" quotePrefix="0" xfId="0">
      <alignment vertical="center" wrapText="1"/>
    </xf>
    <xf numFmtId="164" fontId="41" fillId="91" borderId="28" applyAlignment="1" pivotButton="0" quotePrefix="0" xfId="0">
      <alignment vertical="center" wrapText="1"/>
    </xf>
    <xf numFmtId="164" fontId="41" fillId="91" borderId="28" applyAlignment="1" pivotButton="0" quotePrefix="0" xfId="0">
      <alignment horizontal="right" vertical="center" wrapText="1"/>
    </xf>
    <xf numFmtId="0" fontId="9" fillId="97" borderId="1" applyAlignment="1" pivotButton="0" quotePrefix="0" xfId="0">
      <alignment vertical="top" wrapText="1"/>
    </xf>
    <xf numFmtId="164" fontId="9" fillId="97" borderId="1" applyAlignment="1" pivotButton="0" quotePrefix="0" xfId="0">
      <alignment vertical="top" wrapText="1"/>
    </xf>
    <xf numFmtId="0" fontId="43" fillId="97" borderId="1" applyAlignment="1" pivotButton="0" quotePrefix="0" xfId="0">
      <alignment vertical="top" wrapText="1"/>
    </xf>
    <xf numFmtId="164" fontId="43" fillId="97" borderId="1" applyAlignment="1" pivotButton="0" quotePrefix="0" xfId="0">
      <alignment vertical="top" wrapText="1"/>
    </xf>
    <xf numFmtId="0" fontId="43" fillId="97" borderId="26" applyAlignment="1" pivotButton="0" quotePrefix="0" xfId="0">
      <alignment vertical="top" wrapText="1"/>
    </xf>
    <xf numFmtId="164" fontId="43" fillId="97" borderId="26" applyAlignment="1" pivotButton="0" quotePrefix="0" xfId="0">
      <alignment vertical="top" wrapText="1"/>
    </xf>
    <xf numFmtId="0" fontId="43" fillId="97" borderId="26" applyAlignment="1" pivotButton="0" quotePrefix="0" xfId="0">
      <alignment horizontal="left" vertical="top" wrapText="1"/>
    </xf>
    <xf numFmtId="164" fontId="43" fillId="97" borderId="26" applyAlignment="1" pivotButton="0" quotePrefix="0" xfId="0">
      <alignment horizontal="left" vertical="top" wrapText="1"/>
    </xf>
    <xf numFmtId="0" fontId="49" fillId="97" borderId="26" applyAlignment="1" pivotButton="0" quotePrefix="0" xfId="0">
      <alignment horizontal="left" vertical="top" wrapText="1"/>
    </xf>
    <xf numFmtId="0" fontId="43" fillId="99" borderId="26" applyAlignment="1" pivotButton="0" quotePrefix="0" xfId="0">
      <alignment horizontal="left" vertical="top" wrapText="1"/>
    </xf>
    <xf numFmtId="0" fontId="32" fillId="92" borderId="0" applyAlignment="1" pivotButton="0" quotePrefix="0" xfId="0">
      <alignment vertical="center" wrapText="1"/>
    </xf>
    <xf numFmtId="0" fontId="8" fillId="94" borderId="20" applyAlignment="1" pivotButton="0" quotePrefix="0" xfId="0">
      <alignment vertical="center" wrapText="1"/>
    </xf>
    <xf numFmtId="0" fontId="44" fillId="94" borderId="20" applyAlignment="1" pivotButton="0" quotePrefix="0" xfId="0">
      <alignment vertical="center" wrapText="1"/>
    </xf>
    <xf numFmtId="0" fontId="6" fillId="100" borderId="13" applyAlignment="1" pivotButton="0" quotePrefix="0" xfId="0">
      <alignment horizontal="center" vertical="center" wrapText="1"/>
    </xf>
    <xf numFmtId="0" fontId="46" fillId="100" borderId="13" applyAlignment="1" pivotButton="0" quotePrefix="0" xfId="0">
      <alignment horizontal="center" vertical="center" wrapText="1"/>
    </xf>
    <xf numFmtId="0" fontId="46" fillId="100" borderId="26" applyAlignment="1" pivotButton="0" quotePrefix="0" xfId="0">
      <alignment horizontal="center" vertical="center" wrapText="1"/>
    </xf>
    <xf numFmtId="0" fontId="8" fillId="98" borderId="20" applyAlignment="1" pivotButton="0" quotePrefix="0" xfId="0">
      <alignment vertical="center" wrapText="1"/>
    </xf>
    <xf numFmtId="0" fontId="0" fillId="98" borderId="0" pivotButton="0" quotePrefix="0" xfId="0"/>
    <xf numFmtId="0" fontId="44" fillId="98" borderId="20" applyAlignment="1" pivotButton="0" quotePrefix="0" xfId="0">
      <alignment vertical="center" wrapText="1"/>
    </xf>
    <xf numFmtId="0" fontId="44" fillId="98" borderId="0" pivotButton="0" quotePrefix="0" xfId="0"/>
    <xf numFmtId="0" fontId="44" fillId="98" borderId="26" applyAlignment="1" pivotButton="0" quotePrefix="0" xfId="0">
      <alignment vertical="center" wrapText="1"/>
    </xf>
    <xf numFmtId="0" fontId="44" fillId="98" borderId="26" pivotButton="0" quotePrefix="0" xfId="0"/>
    <xf numFmtId="0" fontId="44" fillId="98" borderId="26" applyAlignment="1" pivotButton="0" quotePrefix="0" xfId="0">
      <alignment wrapText="1"/>
    </xf>
    <xf numFmtId="0" fontId="44" fillId="98" borderId="26" applyAlignment="1" pivotButton="0" quotePrefix="0" xfId="0">
      <alignment horizontal="left" vertical="center" wrapText="1"/>
    </xf>
    <xf numFmtId="0" fontId="44" fillId="98" borderId="26" applyAlignment="1" pivotButton="0" quotePrefix="0" xfId="0">
      <alignment horizontal="left" wrapText="1"/>
    </xf>
    <xf numFmtId="2" fontId="0" fillId="94" borderId="0" applyAlignment="1" pivotButton="0" quotePrefix="0" xfId="0">
      <alignment wrapText="1"/>
    </xf>
    <xf numFmtId="2" fontId="44" fillId="94" borderId="0" applyAlignment="1" pivotButton="0" quotePrefix="0" xfId="0">
      <alignment wrapText="1"/>
    </xf>
    <xf numFmtId="2" fontId="44" fillId="94" borderId="26" applyAlignment="1" pivotButton="0" quotePrefix="0" xfId="0">
      <alignment wrapText="1"/>
    </xf>
    <xf numFmtId="2" fontId="44" fillId="94" borderId="26" applyAlignment="1" pivotButton="0" quotePrefix="0" xfId="0">
      <alignment horizontal="left" wrapText="1"/>
    </xf>
    <xf numFmtId="2" fontId="44" fillId="94" borderId="26" applyAlignment="1" pivotButton="0" quotePrefix="0" xfId="0">
      <alignment horizontal="left" vertical="top" wrapText="1"/>
    </xf>
    <xf numFmtId="2" fontId="44" fillId="97" borderId="26" applyAlignment="1" pivotButton="0" quotePrefix="0" xfId="0">
      <alignment horizontal="left" vertical="top" wrapText="1"/>
    </xf>
    <xf numFmtId="2" fontId="50" fillId="97" borderId="26" applyAlignment="1" pivotButton="0" quotePrefix="0" xfId="0">
      <alignment horizontal="left" vertical="top" wrapText="1"/>
    </xf>
    <xf numFmtId="2" fontId="50" fillId="97" borderId="26" applyAlignment="1" pivotButton="0" quotePrefix="0" xfId="0">
      <alignment horizontal="center" vertical="top" wrapText="1"/>
    </xf>
    <xf numFmtId="2" fontId="50" fillId="97" borderId="26" applyAlignment="1" pivotButton="0" quotePrefix="0" xfId="0">
      <alignment horizontal="center" vertical="center" wrapText="1"/>
    </xf>
    <xf numFmtId="0" fontId="6" fillId="93" borderId="0" applyAlignment="1" pivotButton="0" quotePrefix="0" xfId="0">
      <alignment horizontal="center" vertical="center"/>
    </xf>
    <xf numFmtId="0" fontId="41" fillId="93" borderId="0" applyAlignment="1" pivotButton="0" quotePrefix="0" xfId="0">
      <alignment horizontal="center" vertical="center"/>
    </xf>
    <xf numFmtId="0" fontId="41" fillId="93" borderId="29" applyAlignment="1" pivotButton="0" quotePrefix="0" xfId="0">
      <alignment horizontal="center" vertical="center"/>
    </xf>
    <xf numFmtId="0" fontId="6" fillId="101" borderId="0" applyAlignment="1" pivotButton="0" quotePrefix="0" xfId="0">
      <alignment horizontal="center" vertical="center"/>
    </xf>
    <xf numFmtId="0" fontId="41" fillId="101" borderId="0" applyAlignment="1" pivotButton="0" quotePrefix="0" xfId="0">
      <alignment horizontal="center" vertical="center"/>
    </xf>
    <xf numFmtId="0" fontId="41" fillId="101" borderId="29" applyAlignment="1" pivotButton="0" quotePrefix="0" xfId="0">
      <alignment horizontal="center" vertical="center"/>
    </xf>
    <xf numFmtId="0" fontId="6" fillId="102" borderId="0" applyAlignment="1" pivotButton="0" quotePrefix="0" xfId="0">
      <alignment horizontal="center" vertical="center"/>
    </xf>
    <xf numFmtId="0" fontId="41" fillId="102" borderId="0" applyAlignment="1" pivotButton="0" quotePrefix="0" xfId="0">
      <alignment horizontal="center" vertical="center"/>
    </xf>
    <xf numFmtId="0" fontId="41" fillId="102" borderId="29" applyAlignment="1" pivotButton="0" quotePrefix="0" xfId="0">
      <alignment horizontal="center" vertical="center"/>
    </xf>
    <xf numFmtId="0" fontId="6" fillId="100" borderId="0" applyAlignment="1" pivotButton="0" quotePrefix="0" xfId="0">
      <alignment horizontal="center" vertical="center"/>
    </xf>
    <xf numFmtId="0" fontId="41" fillId="100" borderId="0" applyAlignment="1" pivotButton="0" quotePrefix="0" xfId="0">
      <alignment horizontal="center" vertical="center"/>
    </xf>
    <xf numFmtId="0" fontId="41" fillId="100" borderId="29" applyAlignment="1" pivotButton="0" quotePrefix="0" xfId="0">
      <alignment horizontal="center" vertical="center"/>
    </xf>
    <xf numFmtId="0" fontId="8" fillId="94" borderId="0" applyAlignment="1" pivotButton="0" quotePrefix="0" xfId="0">
      <alignment vertical="top" wrapText="1"/>
    </xf>
    <xf numFmtId="164" fontId="36" fillId="94" borderId="0" applyAlignment="1" pivotButton="0" quotePrefix="0" xfId="0">
      <alignment horizontal="center" vertical="center"/>
    </xf>
    <xf numFmtId="0" fontId="44" fillId="94" borderId="0" applyAlignment="1" pivotButton="0" quotePrefix="0" xfId="0">
      <alignment vertical="top" wrapText="1"/>
    </xf>
    <xf numFmtId="164" fontId="43" fillId="94" borderId="0" applyAlignment="1" pivotButton="0" quotePrefix="0" xfId="0">
      <alignment horizontal="center" vertical="center"/>
    </xf>
    <xf numFmtId="164" fontId="43" fillId="94" borderId="26" applyAlignment="1" pivotButton="0" quotePrefix="0" xfId="0">
      <alignment horizontal="center" vertical="center"/>
    </xf>
    <xf numFmtId="164" fontId="43" fillId="94" borderId="26" applyAlignment="1" pivotButton="0" quotePrefix="0" xfId="0">
      <alignment horizontal="center" vertical="center" wrapText="1"/>
    </xf>
    <xf numFmtId="164" fontId="43" fillId="94" borderId="26" applyAlignment="1" pivotButton="0" quotePrefix="0" xfId="0">
      <alignment horizontal="left" vertical="center" wrapText="1"/>
    </xf>
    <xf numFmtId="164" fontId="43" fillId="94" borderId="26" applyAlignment="1" pivotButton="0" quotePrefix="0" xfId="0">
      <alignment horizontal="left" vertical="top" wrapText="1"/>
    </xf>
    <xf numFmtId="164" fontId="50" fillId="97" borderId="26" applyAlignment="1" pivotButton="0" quotePrefix="0" xfId="0">
      <alignment horizontal="left" vertical="top" wrapText="1"/>
    </xf>
    <xf numFmtId="164" fontId="50" fillId="97" borderId="26" applyAlignment="1" pivotButton="0" quotePrefix="0" xfId="0">
      <alignment horizontal="center" vertical="top" wrapText="1"/>
    </xf>
    <xf numFmtId="164" fontId="50" fillId="97" borderId="26" applyAlignment="1" pivotButton="0" quotePrefix="0" xfId="0">
      <alignment horizontal="center" vertical="center" wrapText="1"/>
    </xf>
    <xf numFmtId="0" fontId="51" fillId="98" borderId="26" applyAlignment="1" pivotButton="0" quotePrefix="0" xfId="0">
      <alignment horizontal="left" vertical="top" wrapText="1"/>
    </xf>
    <xf numFmtId="0" fontId="44" fillId="97" borderId="26" applyAlignment="1" pivotButton="0" quotePrefix="0" xfId="0">
      <alignment horizontal="left" vertical="center" wrapText="1"/>
    </xf>
    <xf numFmtId="164" fontId="47" fillId="98" borderId="26" applyAlignment="1" pivotButton="0" quotePrefix="0" xfId="0">
      <alignment horizontal="right" vertical="center" wrapText="1"/>
    </xf>
    <xf numFmtId="0" fontId="47" fillId="98" borderId="26" applyAlignment="1" pivotButton="0" quotePrefix="0" xfId="0">
      <alignment horizontal="left" vertical="center" wrapText="1"/>
    </xf>
    <xf numFmtId="0" fontId="44" fillId="97" borderId="26" applyAlignment="1" pivotButton="0" quotePrefix="0" xfId="0">
      <alignment horizontal="right" vertical="center" wrapText="1"/>
    </xf>
    <xf numFmtId="164" fontId="44" fillId="97" borderId="26" applyAlignment="1" pivotButton="0" quotePrefix="0" xfId="0">
      <alignment horizontal="left" vertical="center" wrapText="1"/>
    </xf>
    <xf numFmtId="164" fontId="47" fillId="98" borderId="26" applyAlignment="1" pivotButton="0" quotePrefix="0" xfId="0">
      <alignment horizontal="left" vertical="center" wrapText="1"/>
    </xf>
    <xf numFmtId="0" fontId="44" fillId="55" borderId="26" applyAlignment="1" pivotButton="0" quotePrefix="0" xfId="0">
      <alignment horizontal="left" vertical="top" wrapText="1"/>
    </xf>
    <xf numFmtId="0" fontId="41" fillId="91" borderId="28" applyAlignment="1" pivotButton="0" quotePrefix="0" xfId="0">
      <alignment horizontal="left" vertical="center" wrapText="1"/>
    </xf>
    <xf numFmtId="0" fontId="4" fillId="0" borderId="1" applyAlignment="1" pivotButton="0" quotePrefix="0" xfId="0">
      <alignment horizontal="left" vertical="top" wrapText="1"/>
    </xf>
    <xf numFmtId="0" fontId="41" fillId="91" borderId="28" applyAlignment="1" pivotButton="0" quotePrefix="0" xfId="0">
      <alignment horizontal="left" vertical="top" wrapText="1"/>
    </xf>
    <xf numFmtId="164" fontId="4" fillId="7" borderId="1" applyAlignment="1" pivotButton="0" quotePrefix="0" xfId="0">
      <alignment horizontal="right" vertical="top" wrapText="1"/>
    </xf>
    <xf numFmtId="164" fontId="43" fillId="97" borderId="26" applyAlignment="1" pivotButton="0" quotePrefix="0" xfId="0">
      <alignment horizontal="right" vertical="top" wrapText="1"/>
    </xf>
    <xf numFmtId="164" fontId="4" fillId="7" borderId="1" applyAlignment="1" pivotButton="0" quotePrefix="0" xfId="0">
      <alignment horizontal="right" vertical="center" wrapText="1"/>
    </xf>
    <xf numFmtId="164" fontId="43" fillId="97" borderId="26" applyAlignment="1" pivotButton="0" quotePrefix="0" xfId="0">
      <alignment horizontal="right" vertical="center" wrapText="1"/>
    </xf>
    <xf numFmtId="0" fontId="41" fillId="91" borderId="28" applyAlignment="1" pivotButton="0" quotePrefix="0" xfId="0">
      <alignment horizontal="center" vertical="center" wrapText="1"/>
    </xf>
    <xf numFmtId="0" fontId="4" fillId="7" borderId="1" applyAlignment="1" pivotButton="0" quotePrefix="0" xfId="0">
      <alignment horizontal="center" vertical="top" wrapText="1"/>
    </xf>
    <xf numFmtId="0" fontId="4" fillId="7" borderId="1" applyAlignment="1" pivotButton="0" quotePrefix="0" xfId="0">
      <alignment horizontal="center" vertical="center" wrapText="1"/>
    </xf>
    <xf numFmtId="0" fontId="44" fillId="55" borderId="26" applyAlignment="1" pivotButton="0" quotePrefix="0" xfId="0">
      <alignment horizontal="right" vertical="top" wrapText="1"/>
    </xf>
    <xf numFmtId="0" fontId="44" fillId="55" borderId="26" applyAlignment="1" pivotButton="0" quotePrefix="0" xfId="0">
      <alignment horizontal="right" vertical="center" wrapText="1"/>
    </xf>
    <xf numFmtId="2" fontId="50" fillId="97" borderId="26" applyAlignment="1" pivotButton="0" quotePrefix="0" xfId="0">
      <alignment horizontal="right" vertical="center" wrapText="1"/>
    </xf>
    <xf numFmtId="164" fontId="50" fillId="97" borderId="26" applyAlignment="1" pivotButton="0" quotePrefix="0" xfId="0">
      <alignment horizontal="right" vertical="center" wrapText="1"/>
    </xf>
    <xf numFmtId="0" fontId="0" fillId="0" borderId="26" pivotButton="0" quotePrefix="0" xfId="0"/>
    <xf numFmtId="0" fontId="44" fillId="0" borderId="26" pivotButton="0" quotePrefix="0" xfId="0"/>
    <xf numFmtId="0" fontId="44" fillId="0" borderId="26" applyAlignment="1" pivotButton="0" quotePrefix="0" xfId="0">
      <alignment horizontal="left"/>
    </xf>
    <xf numFmtId="0" fontId="44" fillId="0" borderId="26" applyAlignment="1" pivotButton="0" quotePrefix="0" xfId="0">
      <alignment horizontal="left" vertical="top"/>
    </xf>
    <xf numFmtId="0" fontId="44" fillId="0" borderId="26" applyAlignment="1" pivotButton="0" quotePrefix="0" xfId="0">
      <alignment horizontal="left" vertical="top" wrapText="1"/>
    </xf>
    <xf numFmtId="0" fontId="44" fillId="103" borderId="26" applyAlignment="1" pivotButton="0" quotePrefix="0" xfId="0">
      <alignment horizontal="left" vertical="top" wrapText="1"/>
    </xf>
    <xf numFmtId="0" fontId="44" fillId="104" borderId="26" applyAlignment="1" pivotButton="0" quotePrefix="0" xfId="0">
      <alignment horizontal="left" vertical="top" wrapText="1"/>
    </xf>
    <xf numFmtId="0" fontId="44" fillId="105" borderId="26" applyAlignment="1" pivotButton="0" quotePrefix="0" xfId="0">
      <alignment horizontal="left" vertical="top" wrapText="1"/>
    </xf>
    <xf numFmtId="0" fontId="51" fillId="103" borderId="26" applyAlignment="1" pivotButton="0" quotePrefix="0" xfId="0">
      <alignment horizontal="left" vertical="top" wrapText="1"/>
    </xf>
    <xf numFmtId="0" fontId="0" fillId="106" borderId="26" pivotButton="0" quotePrefix="0" xfId="0"/>
    <xf numFmtId="0" fontId="50" fillId="106" borderId="26" pivotButton="0" quotePrefix="0" xfId="0"/>
    <xf numFmtId="0" fontId="50" fillId="106" borderId="26" applyAlignment="1" pivotButton="0" quotePrefix="0" xfId="0">
      <alignment horizontal="right"/>
    </xf>
    <xf numFmtId="0" fontId="50" fillId="106" borderId="26" applyAlignment="1" pivotButton="0" quotePrefix="0" xfId="0">
      <alignment horizontal="right" vertical="center"/>
    </xf>
    <xf numFmtId="0" fontId="50" fillId="106" borderId="26" applyAlignment="1" pivotButton="0" quotePrefix="0" xfId="0">
      <alignment horizontal="right" vertical="center" wrapText="1"/>
    </xf>
    <xf numFmtId="164" fontId="50" fillId="106" borderId="26" applyAlignment="1" pivotButton="0" quotePrefix="0" xfId="0">
      <alignment horizontal="right" vertical="center" wrapText="1"/>
    </xf>
    <xf numFmtId="0" fontId="44" fillId="0" borderId="0" pivotButton="0" quotePrefix="0" xfId="0"/>
    <xf numFmtId="0" fontId="44" fillId="0" borderId="0" applyAlignment="1" pivotButton="0" quotePrefix="0" xfId="0">
      <alignment horizontal="center"/>
    </xf>
    <xf numFmtId="0" fontId="44" fillId="0" borderId="0" applyAlignment="1" pivotButton="0" quotePrefix="0" xfId="0">
      <alignment horizontal="center" vertical="center"/>
    </xf>
    <xf numFmtId="0" fontId="44" fillId="0" borderId="0" applyAlignment="1" pivotButton="0" quotePrefix="0" xfId="0">
      <alignment horizontal="center" vertical="center" wrapText="1"/>
    </xf>
    <xf numFmtId="0" fontId="44" fillId="0" borderId="0" applyAlignment="1" pivotButton="0" quotePrefix="0" xfId="0">
      <alignment horizontal="left"/>
    </xf>
    <xf numFmtId="0" fontId="44" fillId="0" borderId="0" applyAlignment="1" pivotButton="0" quotePrefix="0" xfId="0">
      <alignment horizontal="left" vertical="top"/>
    </xf>
    <xf numFmtId="0" fontId="44" fillId="0" borderId="0" applyAlignment="1" pivotButton="0" quotePrefix="0" xfId="0">
      <alignment horizontal="left" vertical="top" wrapText="1"/>
    </xf>
    <xf numFmtId="0" fontId="0" fillId="0" borderId="21" pivotButton="0" quotePrefix="0" xfId="0"/>
    <xf numFmtId="0" fontId="0" fillId="0" borderId="22" pivotButton="0" quotePrefix="0" xfId="0"/>
    <xf numFmtId="0" fontId="0" fillId="0" borderId="24" pivotButton="0" quotePrefix="0" xfId="0"/>
    <xf numFmtId="0" fontId="0" fillId="0" borderId="25" pivotButton="0" quotePrefix="0" xfId="0"/>
    <xf numFmtId="0" fontId="0" fillId="0" borderId="32" pivotButton="0" quotePrefix="0" xfId="0"/>
    <xf numFmtId="0" fontId="0" fillId="0" borderId="33" pivotButton="0" quotePrefix="0" xfId="0"/>
    <xf numFmtId="0" fontId="44" fillId="106" borderId="26" applyAlignment="1" pivotButton="0" quotePrefix="0" xfId="0">
      <alignment horizontal="left" vertical="top" wrapText="1"/>
    </xf>
    <xf numFmtId="0" fontId="44" fillId="106" borderId="26" applyAlignment="1" pivotButton="0" quotePrefix="0" xfId="0">
      <alignment horizontal="center" vertical="center" wrapText="1"/>
    </xf>
    <xf numFmtId="0" fontId="47" fillId="103" borderId="26" applyAlignment="1" pivotButton="0" quotePrefix="0" xfId="0">
      <alignment horizontal="left" vertical="top" wrapText="1"/>
    </xf>
    <xf numFmtId="164" fontId="47" fillId="103" borderId="26" applyAlignment="1" pivotButton="0" quotePrefix="0" xfId="0">
      <alignment horizontal="left" vertical="top" wrapText="1"/>
    </xf>
    <xf numFmtId="164" fontId="47" fillId="103" borderId="26" applyAlignment="1" pivotButton="0" quotePrefix="0" xfId="0">
      <alignment horizontal="right" vertical="center" wrapText="1"/>
    </xf>
    <xf numFmtId="0" fontId="47" fillId="103" borderId="26" applyAlignment="1" pivotButton="0" quotePrefix="0" xfId="0">
      <alignment horizontal="center" vertical="center" wrapText="1"/>
    </xf>
    <xf numFmtId="0" fontId="44" fillId="106" borderId="26" applyAlignment="1" pivotButton="0" quotePrefix="0" xfId="0">
      <alignment horizontal="right" vertical="center" wrapText="1"/>
    </xf>
    <xf numFmtId="164" fontId="44" fillId="106" borderId="26" applyAlignment="1" pivotButton="0" quotePrefix="0" xfId="0">
      <alignment horizontal="left" vertical="top" wrapText="1"/>
    </xf>
    <xf numFmtId="164" fontId="44" fillId="106" borderId="26" applyAlignment="1" pivotButton="0" quotePrefix="0" xfId="0">
      <alignment horizontal="center" vertical="center" wrapText="1"/>
    </xf>
    <xf numFmtId="164" fontId="47" fillId="103" borderId="26" applyAlignment="1" pivotButton="0" quotePrefix="0" xfId="0">
      <alignment horizontal="center" vertical="center" wrapText="1"/>
    </xf>
    <xf numFmtId="0" fontId="44" fillId="104" borderId="26" applyAlignment="1" pivotButton="0" quotePrefix="0" xfId="0">
      <alignment horizontal="right" vertical="center" wrapText="1"/>
    </xf>
    <xf numFmtId="2" fontId="50" fillId="97" borderId="26" applyAlignment="1" pivotButton="0" quotePrefix="0" xfId="0">
      <alignment horizontal="right" vertical="center" wrapText="1"/>
    </xf>
    <xf numFmtId="0" fontId="0" fillId="0" borderId="36" pivotButton="0" quotePrefix="0" xfId="0"/>
    <xf numFmtId="0" fontId="0" fillId="0" borderId="37" pivotButton="0" quotePrefix="0" xfId="0"/>
  </cellXfs>
  <cellStyles count="49">
    <cellStyle name="Normal" xfId="0"/>
    <cellStyle name="Comma" xfId="1"/>
    <cellStyle name="Currency" xfId="2"/>
    <cellStyle name="Percent" xfId="3"/>
    <cellStyle name="Comma [0]" xfId="4"/>
    <cellStyle name="Currency [0]" xfId="5"/>
    <cellStyle name="Link" xfId="6"/>
    <cellStyle name="Followed Hyperlink" xfId="7"/>
    <cellStyle name="Note" xfId="8"/>
    <cellStyle name="Warning Text" xfId="9"/>
    <cellStyle name="Title" xfId="10"/>
    <cellStyle name="Explanatory Text" xfId="11"/>
    <cellStyle name="Heading 1" xfId="12"/>
    <cellStyle name="Heading 2" xfId="13"/>
    <cellStyle name="Heading 3" xfId="14"/>
    <cellStyle name="Heading 4" xfId="15"/>
    <cellStyle name="Input" xfId="16"/>
    <cellStyle name="Output" xfId="17"/>
    <cellStyle name="Calculation" xfId="18"/>
    <cellStyle name="Check Cell" xfId="19"/>
    <cellStyle name="Linked Cell" xfId="20"/>
    <cellStyle name="Total" xfId="21"/>
    <cellStyle name="Good" xfId="22"/>
    <cellStyle name="Bad" xfId="23"/>
    <cellStyle name="Neutral" xfId="24"/>
    <cellStyle name="Accent1" xfId="25"/>
    <cellStyle name="20% - Accent1" xfId="26"/>
    <cellStyle name="40% - Accent1" xfId="27"/>
    <cellStyle name="60% - Accent1" xfId="28"/>
    <cellStyle name="Accent2" xfId="29"/>
    <cellStyle name="20% - Accent2" xfId="30"/>
    <cellStyle name="40% - Accent2" xfId="31"/>
    <cellStyle name="60% - Accent2" xfId="32"/>
    <cellStyle name="Accent3" xfId="33"/>
    <cellStyle name="20% - Accent3" xfId="34"/>
    <cellStyle name="40% - Accent3" xfId="35"/>
    <cellStyle name="60% - Accent3" xfId="36"/>
    <cellStyle name="Accent4" xfId="37"/>
    <cellStyle name="20% - Accent4" xfId="38"/>
    <cellStyle name="40% - Accent4" xfId="39"/>
    <cellStyle name="60% - Accent4" xfId="40"/>
    <cellStyle name="Accent5" xfId="41"/>
    <cellStyle name="20% - Accent5" xfId="42"/>
    <cellStyle name="40% - Accent5" xfId="43"/>
    <cellStyle name="60% - Accent5" xfId="44"/>
    <cellStyle name="Accent6" xfId="45"/>
    <cellStyle name="20% - Accent6" xfId="46"/>
    <cellStyle name="40% - Accent6" xfId="47"/>
    <cellStyle name="60% - Accent6" xfId="48"/>
  </cellStyles>
  <dxfs count="27">
    <dxf>
      <font>
        <b val="1"/>
        <color rgb="FF006100"/>
      </font>
      <fill>
        <patternFill>
          <bgColor rgb="FFE2F0D9"/>
        </patternFill>
      </fill>
    </dxf>
    <dxf>
      <font>
        <b val="1"/>
        <color rgb="FF9C0006"/>
      </font>
      <fill>
        <patternFill>
          <bgColor rgb="FFFCE4D6"/>
        </patternFill>
      </fill>
    </dxf>
    <dxf>
      <fill>
        <patternFill>
          <bgColor theme="4" tint="0.79998"/>
        </patternFill>
      </fill>
    </dxf>
    <dxf>
      <fill>
        <patternFill>
          <bgColor theme="4" tint="0.79998"/>
        </patternFill>
      </fill>
    </dxf>
    <dxf>
      <font>
        <b val="1"/>
        <color theme="1"/>
      </font>
    </dxf>
    <dxf>
      <font>
        <b val="1"/>
        <color theme="1"/>
      </font>
    </dxf>
    <dxf>
      <font>
        <b val="1"/>
        <color theme="1"/>
      </font>
      <border>
        <top style="double">
          <color theme="4"/>
        </top>
      </border>
    </dxf>
    <dxf>
      <font>
        <b val="1"/>
        <color theme="0"/>
      </font>
      <fill>
        <patternFill>
          <bgColor theme="4"/>
        </patternFill>
      </fill>
    </dxf>
    <dxf>
      <font>
        <color theme="1"/>
      </font>
      <border>
        <left style="thin">
          <color theme="4"/>
        </left>
        <right style="thin">
          <color theme="4"/>
        </right>
        <top style="thin">
          <color theme="4"/>
        </top>
        <bottom style="thin">
          <color theme="4"/>
        </bottom>
      </border>
    </dxf>
    <dxf>
      <fill>
        <patternFill>
          <bgColor theme="4" tint="0.79998"/>
        </patternFill>
      </fill>
      <border>
        <bottom style="thin">
          <color theme="4" tint="0.39998"/>
        </bottom>
      </border>
    </dxf>
    <dxf>
      <font>
        <b val="1"/>
      </font>
      <fill>
        <patternFill>
          <bgColor theme="4" tint="0.79998"/>
        </patternFill>
      </fill>
      <border>
        <bottom style="thin">
          <color theme="4" tint="0.39998"/>
        </bottom>
      </border>
    </dxf>
    <dxf>
      <font>
        <color theme="1"/>
      </font>
    </dxf>
    <dxf>
      <font>
        <color theme="1"/>
      </font>
      <border>
        <bottom style="thin">
          <color theme="4" tint="0.39998"/>
        </bottom>
      </border>
    </dxf>
    <dxf>
      <font>
        <b val="1"/>
        <color theme="1"/>
      </font>
    </dxf>
    <dxf>
      <font>
        <b val="1"/>
        <color theme="1"/>
      </font>
      <border>
        <top style="thin">
          <color theme="4"/>
        </top>
        <bottom style="thin">
          <color theme="4"/>
        </bottom>
      </border>
    </dxf>
    <dxf>
      <fill>
        <patternFill>
          <bgColor theme="4" tint="0.79998"/>
        </patternFill>
      </fill>
    </dxf>
    <dxf>
      <fill>
        <patternFill>
          <bgColor theme="4" tint="0.79998"/>
        </patternFill>
      </fill>
    </dxf>
    <dxf>
      <font>
        <b val="1"/>
        <color theme="1"/>
      </font>
      <fill>
        <patternFill>
          <bgColor theme="4" tint="0.79998"/>
        </patternFill>
      </fill>
      <border>
        <top style="thin">
          <color theme="4" tint="0.39998"/>
        </top>
        <bottom style="thin">
          <color theme="4" tint="0.39998"/>
        </bottom>
      </border>
    </dxf>
    <dxf>
      <font>
        <b val="1"/>
        <color theme="1"/>
      </font>
      <fill>
        <patternFill>
          <bgColor theme="4" tint="0.79998"/>
        </patternFill>
      </fill>
      <border>
        <bottom style="thin">
          <color theme="4" tint="0.39998"/>
        </bottom>
      </border>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EpicTable" displayName="EpicTable" ref="A4:G10" headerRowCount="1" totalsRowCount="0" totalsRowShown="0">
  <tableColumns count="7">
    <tableColumn id="1" name="Epic ID"/>
    <tableColumn id="2" name="需求类型"/>
    <tableColumn id="3" name="需求名称"/>
    <tableColumn id="4" name="需求描述"/>
    <tableColumn id="5" name="涉及系统/数据"/>
    <tableColumn id="6" name="目标结果"/>
    <tableColumn id="7" name="公共约束/范围外"/>
  </tableColumns>
  <tableStyleInfo name="TableStyleMedium2" showFirstColumn="0" showLastColumn="0" showRowStripes="1" showColumnStripes="0"/>
</table>
</file>

<file path=xl/tables/table2.xml><?xml version="1.0" encoding="utf-8"?>
<table xmlns="http://schemas.openxmlformats.org/spreadsheetml/2006/main" id="2" name="FeatureTable" displayName="FeatureTable" ref="A4:I22" headerRowCount="1" totalsRowCount="0" totalsRowShown="0">
  <autoFilter ref="A4:I22"/>
  <tableColumns count="9">
    <tableColumn id="1" name="Feature ID"/>
    <tableColumn id="2" name="Epic ID"/>
    <tableColumn id="3" name="Epic 名称"/>
    <tableColumn id="4" name="子需求名称"/>
    <tableColumn id="5" name="场景/范围描述"/>
    <tableColumn id="6" name="涉及系统/数据"/>
    <tableColumn id="7" name="约束/NFR"/>
    <tableColumn id="8" name="来源类型"/>
    <tableColumn id="9" name="推断理由"/>
  </tableColumns>
  <tableStyleInfo name="TableStyleMedium2" showFirstColumn="0" showLastColumn="0" showRowStripes="1" showColumnStripes="0"/>
</table>
</file>

<file path=xl/tables/table3.xml><?xml version="1.0" encoding="utf-8"?>
<table xmlns="http://schemas.openxmlformats.org/spreadsheetml/2006/main" id="3" name="SOWStoryTable" displayName="SOWStoryTable" ref="A4:K27" headerRowCount="1" totalsRowCount="0" totalsRowShown="0">
  <tableColumns count="11">
    <tableColumn id="1" name="Story ID"/>
    <tableColumn id="2" name="Story名称"/>
    <tableColumn id="3" name="Feature ID"/>
    <tableColumn id="4" name="UAT分母"/>
    <tableColumn id="5" name="需求">
      <calculatedColumnFormula>IF(C5="","",IFERROR(INDEX(EpicTable[需求名称],MATCH(INDEX(FeatureTable[Epic ID],MATCH(C5,FeatureTable[Feature ID],0)),EpicTable[Epic ID],0)),"来源未匹配"))</calculatedColumnFormula>
    </tableColumn>
    <tableColumn id="6" name="子需求">
      <calculatedColumnFormula>IF(C5="","",IFERROR(INDEX(FeatureTable[子需求名称],MATCH(C5,FeatureTable[Feature ID],0)),"来源未匹配"))</calculatedColumnFormula>
    </tableColumn>
    <tableColumn id="7" name="验收条件">
      <calculatedColumnFormula>IF(A5="","",IFERROR(_xlfn.TEXTJOIN(CHAR(10),TRUE,_xlfn._xlws.FILTER(AcceptanceCriterionTable[顺序]&amp;"）"&amp;AcceptanceCriterionTable[验收结果],AcceptanceCriterionTable[Story ID]=A5,"")),""))</calculatedColumnFormula>
    </tableColumn>
    <tableColumn id="8" name="任务明细">
      <calculatedColumnFormula>IF(A5="","",IFERROR(_xlfn.TEXTJOIN(CHAR(10),TRUE,_xlfn._xlws.FILTER("• "&amp;TaskTable[任务说明],TaskTable[Story ID]=A5,"")),""))</calculatedColumnFormula>
    </tableColumn>
    <tableColumn id="9" name="人天">
      <calculatedColumnFormula>IF(A5="","",CEILING(SUMIF(TaskTable[Story ID],A5,TaskTable[人天小计]),INDEX(ProjectParameterTable[值],MATCH("ROUND_STORY",ProjectParameterTable[参数代码],0))))</calculatedColumnFormula>
    </tableColumn>
    <tableColumn id="10" name="关联假设ID">
      <calculatedColumnFormula>IF(A5="","",IFERROR(_xlfn.TEXTJOIN("、",TRUE,_xlfn._xlws.FILTER(AssumptionRiskTable[假设ID],ISNUMBER(SEARCH("、"&amp;A5&amp;"、","、"&amp;AssumptionRiskTable[关联 Story ID]&amp;"、")),"")),""))</calculatedColumnFormula>
    </tableColumn>
    <tableColumn id="11" name="假设状态">
      <calculatedColumnFormula>IF(A5="","",IF(SUMPRODUCT(ISNUMBER(SEARCH("、"&amp;A5&amp;"、","、"&amp;AssumptionRiskTable[关联 Story ID]&amp;"、"))*(AssumptionRiskTable[状态]="待确认"))&gt;0,"待确认","已明确"))</calculatedColumnFormula>
    </tableColumn>
  </tableColumns>
  <tableStyleInfo name="TableStyleMedium2" showFirstColumn="0" showLastColumn="0" showRowStripes="1" showColumnStripes="0"/>
</table>
</file>

<file path=xl/tables/table4.xml><?xml version="1.0" encoding="utf-8"?>
<table xmlns="http://schemas.openxmlformats.org/spreadsheetml/2006/main" id="4" name="AcceptanceCriterionTable" displayName="AcceptanceCriterionTable" ref="A4:D35" headerRowCount="1" totalsRowCount="0" totalsRowShown="0">
  <autoFilter ref="A4:D35"/>
  <tableColumns count="4">
    <tableColumn id="1" name="AC ID"/>
    <tableColumn id="2" name="Story ID"/>
    <tableColumn id="3" name="顺序"/>
    <tableColumn id="4" name="验收结果"/>
  </tableColumns>
  <tableStyleInfo name="TableStyleMedium2" showFirstColumn="0" showLastColumn="0" showRowStripes="1" showColumnStripes="0"/>
</table>
</file>

<file path=xl/tables/table5.xml><?xml version="1.0" encoding="utf-8"?>
<table xmlns="http://schemas.openxmlformats.org/spreadsheetml/2006/main" id="5" name="TaskTable" displayName="TaskTable" ref="A4:O50" headerRowCount="1" totalsRowCount="0" totalsRowShown="0">
  <tableColumns count="15">
    <tableColumn id="1" name="Task ID"/>
    <tableColumn id="2" name="Story ID"/>
    <tableColumn id="3" name="任务说明"/>
    <tableColumn id="4" name="基础单元ID"/>
    <tableColumn id="5" name="任务族">
      <calculatedColumnFormula>IF(D5="","",IFERROR(INDEX(BaseUnitCatalogTable[任务族名称],MATCH(D5,BaseUnitCatalogTable[基础单元ID],0)),""))</calculatedColumnFormula>
    </tableColumn>
    <tableColumn id="6" name="工作模式"/>
    <tableColumn id="7" name="工作模式理由"/>
    <tableColumn id="8" name="复杂度"/>
    <tableColumn id="9" name="复杂度理由"/>
    <tableColumn id="10" name="Integration ID"/>
    <tableColumn id="11" name="系统现状匹配"/>
    <tableColumn id="12" name="判断依据与备注"/>
    <tableColumn id="13" name="基础人天">
      <calculatedColumnFormula>IF(OR(A5="",D5="",F5=""),"",IFERROR(IF(F5="新建",INDEX(BaseUnitCatalogTable[新建M档人天],MATCH(D5,BaseUnitCatalogTable[基础单元ID],0)),IF(F5="调整",INDEX(BaseUnitCatalogTable[调整M档人天],MATCH(D5,BaseUnitCatalogTable[基础单元ID],0)),IF(F5="接入复用",INDEX(BaseUnitCatalogTable[接入复用M档人天],MATCH(D5,BaseUnitCatalogTable[基础单元ID],0)),""))),""))</calculatedColumnFormula>
    </tableColumn>
    <tableColumn id="14" name="复杂度倍率">
      <calculatedColumnFormula>IF(OR(A5="",H5=""),"",IFERROR(INDEX(ProjectParameterTable[值],MATCH("K_COMPLEXITY_"&amp;H5,ProjectParameterTable[参数代码],0)),""))</calculatedColumnFormula>
    </tableColumn>
    <tableColumn id="15" name="人天小计">
      <calculatedColumnFormula>IF(OR(A5="",NOT(ISNUMBER(M5)),NOT(ISNUMBER(N5))),"",ROUND(M5*N5,1))</calculatedColumnFormula>
    </tableColumn>
  </tableColumns>
  <tableStyleInfo name="TableStyleMedium2" showFirstColumn="0" showLastColumn="0" showRowStripes="1" showColumnStripes="0"/>
</table>
</file>

<file path=xl/tables/table6.xml><?xml version="1.0" encoding="utf-8"?>
<table xmlns="http://schemas.openxmlformats.org/spreadsheetml/2006/main" id="6" name="IntegrationTable" displayName="IntegrationTable" ref="A4:M8" headerRowCount="1" totalsRowCount="0" totalsRowShown="0">
  <tableColumns count="13">
    <tableColumn id="1" name="Integration ID"/>
    <tableColumn id="2" name="Story ID"/>
    <tableColumn id="3" name="来源"/>
    <tableColumn id="4" name="目标"/>
    <tableColumn id="5" name="触发条件"/>
    <tableColumn id="6" name="方向"/>
    <tableColumn id="7" name="业务目的"/>
    <tableColumn id="8" name="责任边界"/>
    <tableColumn id="9" name="集成Task ID">
      <calculatedColumnFormula>IF(A5="","",IFERROR(INDEX(TaskTable[Task ID],MATCH(A5,TaskTable[Integration ID],0)),""))</calculatedColumnFormula>
    </tableColumn>
    <tableColumn id="10" name="工作模式">
      <calculatedColumnFormula>IF(I5="","",IFERROR(INDEX(TaskTable[工作模式],MATCH(I5,TaskTable[Task ID],0)),""))</calculatedColumnFormula>
    </tableColumn>
    <tableColumn id="11" name="复杂度">
      <calculatedColumnFormula>IF(I5="","",IFERROR(INDEX(TaskTable[复杂度],MATCH(I5,TaskTable[Task ID],0)),""))</calculatedColumnFormula>
    </tableColumn>
    <tableColumn id="12" name="支持单价">
      <calculatedColumnFormula>IF(I5="","",IF(H5="内部",INDEX(ProjectParameterTable[值],MATCH("SIT_INT_SUPPORT",ProjectParameterTable[参数代码],0)),IF(H5="外部",INDEX(ProjectParameterTable[值],MATCH("SIT_EXT_SUPPORT",ProjectParameterTable[参数代码],0)),"")))</calculatedColumnFormula>
    </tableColumn>
    <tableColumn id="13" name="SIT人天">
      <calculatedColumnFormula>IF(OR(I5="",L5=""),"",ROUND(L5*IFERROR(INDEX(TaskTable[复杂度倍率],MATCH(I5,TaskTable[Task ID],0)),0),1))</calculatedColumnFormula>
    </tableColumn>
  </tableColumns>
  <tableStyleInfo name="TableStyleMedium2" showFirstColumn="0" showLastColumn="0" showRowStripes="1" showColumnStripes="0"/>
</table>
</file>

<file path=xl/tables/table7.xml><?xml version="1.0" encoding="utf-8"?>
<table xmlns="http://schemas.openxmlformats.org/spreadsheetml/2006/main" id="7" name="AssumptionRiskTable" displayName="AssumptionRiskTable" ref="A4:I10" headerRowCount="1" totalsRowCount="0" totalsRowShown="0">
  <autoFilter ref="A4:I10"/>
  <tableColumns count="9">
    <tableColumn id="1" name="假设ID"/>
    <tableColumn id="2" name="类型"/>
    <tableColumn id="3" name="名称"/>
    <tableColumn id="4" name="触发条件"/>
    <tableColumn id="5" name="关联 Story ID"/>
    <tableColumn id="6" name="责任边界"/>
    <tableColumn id="7" name="状态"/>
    <tableColumn id="8" name="处理方式"/>
    <tableColumn id="9" name="关联 Story 人天">
      <calculatedColumnFormula>IF(OR(E5="",G5&lt;&gt;"待确认"),0,IFERROR(INDEX(SOWStoryTable[人天],MATCH(E5,SOWStoryTable[Story ID],0)),0))</calculatedColumnFormula>
    </tableColumn>
  </tableColumns>
  <tableStyleInfo name="TableStyleMedium2" showFirstColumn="0" showLastColumn="0" showRowStripes="1" showColumnStripes="0"/>
</table>
</file>

<file path=xl/tables/table8.xml><?xml version="1.0" encoding="utf-8"?>
<table xmlns="http://schemas.openxmlformats.org/spreadsheetml/2006/main" id="8" name="ProjectSummaryTable" displayName="ProjectSummaryTable" ref="A4:F12" headerRowCount="1" totalsRowCount="0" totalsRowShown="0">
  <autoFilter ref="A4:F12"/>
  <tableColumns count="6">
    <tableColumn id="1" name="项目行"/>
    <tableColumn id="2" name="计算/分母"/>
    <tableColumn id="3" name="取整前"/>
    <tableColumn id="4" name="开发交付估算人天"/>
    <tableColumn id="5" name="口径"/>
    <tableColumn id="6" name="校验"/>
  </tableColumns>
  <tableStyleInfo name="TableStyleMedium2" showFirstColumn="0" showLastColumn="0" showRowStripes="1" showColumnStripes="0"/>
</table>
</file>

<file path=xl/tables/table9.xml><?xml version="1.0" encoding="utf-8"?>
<table xmlns="http://schemas.openxmlformats.org/spreadsheetml/2006/main" id="9" name="AsIsTopicTable" displayName="AsIsTopicTable" ref="A4:G13" headerRowCount="1" totalsRowCount="0" totalsRowShown="0">
  <autoFilter ref="A4:G13"/>
  <tableColumns count="7">
    <tableColumn id="1" name="主题"/>
    <tableColumn id="2" name="评估状态"/>
    <tableColumn id="3" name="结论"/>
    <tableColumn id="4" name="当前事实数"/>
    <tableColumn id="5" name="承诺数"/>
    <tableColumn id="6" name="有效起点数"/>
    <tableColumn id="7" name="未决数"/>
  </tableColumns>
  <tableStyleInfo name="TableStyleMedium2" showFirstColumn="0" showLastColumn="0" showRowStripes="1" showColumnStripes="0"/>
</table>
</file>

<file path=xl/tables/table10.xml><?xml version="1.0" encoding="utf-8"?>
<table xmlns="http://schemas.openxmlformats.org/spreadsheetml/2006/main" id="10" name="AsIsDetailTable" displayName="AsIsDetailTable" ref="A17:I66" headerRowCount="1" totalsRowCount="0" totalsRowShown="0">
  <autoFilter ref="A17:I66"/>
  <tableColumns count="9">
    <tableColumn id="1" name="主题"/>
    <tableColumn id="2" name="记录类型"/>
    <tableColumn id="3" name="记录 ID"/>
    <tableColumn id="4" name="分类/状态"/>
    <tableColumn id="5" name="名称"/>
    <tableColumn id="6" name="摘要/理由"/>
    <tableColumn id="7" name="关系/流向"/>
    <tableColumn id="8" name="关联 ID"/>
    <tableColumn id="9" name="证据引用"/>
  </tableColumns>
  <tableStyleInfo name="TableStyleMedium2" showFirstColumn="0" showLastColumn="0" showRowStripes="1" showColumnStripes="0"/>
</table>
</file>

<file path=xl/tables/table11.xml><?xml version="1.0" encoding="utf-8"?>
<table xmlns="http://schemas.openxmlformats.org/spreadsheetml/2006/main" id="11" name="ProjectParameterTable" displayName="ProjectParameterTable" ref="A4:F12" headerRowCount="1" totalsRowCount="0" totalsRowShown="0">
  <tableColumns count="6">
    <tableColumn id="1" name="参数代码"/>
    <tableColumn id="2" name="名称"/>
    <tableColumn id="3" name="值"/>
    <tableColumn id="4" name="单位"/>
    <tableColumn id="5" name="适用范围"/>
    <tableColumn id="6" name="验证状态/说明"/>
  </tableColumns>
  <tableStyleInfo name="TableStyleMedium2" showFirstColumn="0" showLastColumn="0" showRowStripes="1" showColumnStripes="0"/>
</table>
</file>

<file path=xl/tables/table12.xml><?xml version="1.0" encoding="utf-8"?>
<table xmlns="http://schemas.openxmlformats.org/spreadsheetml/2006/main" id="12" name="BaseUnitCatalogTable" displayName="BaseUnitCatalogTable" ref="A4:N41" headerRowCount="1" totalsRowCount="0" totalsRowShown="0">
  <tableColumns count="14">
    <tableColumn id="1" name="任务族ID"/>
    <tableColumn id="2" name="任务族名称"/>
    <tableColumn id="3" name="基础单元ID"/>
    <tableColumn id="4" name="基础单元名称"/>
    <tableColumn id="5" name="计数口径"/>
    <tableColumn id="6" name="包含内容"/>
    <tableColumn id="7" name="不包含内容"/>
    <tableColumn id="8" name="新建M档人天"/>
    <tableColumn id="9" name="调整M档人天"/>
    <tableColumn id="10" name="接入复用M档人天"/>
    <tableColumn id="11" name="S标准"/>
    <tableColumn id="12" name="M标准"/>
    <tableColumn id="13" name="L标准"/>
    <tableColumn id="14" name="X/拆分条件"/>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51"/>
  <sheetViews>
    <sheetView showGridLines="0" workbookViewId="0">
      <selection activeCell="A1" sqref="A1"/>
    </sheetView>
  </sheetViews>
  <sheetFormatPr baseColWidth="8" defaultColWidth="9" defaultRowHeight="16.79999923706055"/>
  <cols>
    <col width="16" customWidth="1" min="1" max="1"/>
    <col width="49" customWidth="1" min="2" max="2"/>
    <col width="27" customWidth="1" min="3" max="3"/>
    <col width="30" customWidth="1" min="4" max="4"/>
    <col width="31" customWidth="1" min="5" max="5"/>
    <col width="24" customWidth="1" min="6" max="6"/>
    <col width="24" customWidth="1" min="7" max="7"/>
    <col width="16" customWidth="1" min="8" max="8"/>
  </cols>
  <sheetData>
    <row r="1" ht="31" customHeight="1">
      <c r="A1" s="402" t="inlineStr">
        <is>
          <t>SOW估算与生成模板 v1.3</t>
        </is>
      </c>
      <c r="B1" s="635" t="n"/>
      <c r="C1" s="635" t="n"/>
      <c r="D1" s="635" t="n"/>
      <c r="E1" s="635" t="n"/>
      <c r="F1" s="635" t="n"/>
      <c r="G1" s="635" t="n"/>
      <c r="H1" s="635" t="n"/>
    </row>
    <row r="2" ht="32" customHeight="1">
      <c r="A2" s="400" t="inlineStr">
        <is>
          <t>稳定 JSON 是业务事实源；XLSX 是参数、公式、取整和最终人天的唯一计算权威；本文件为 fill-only 生产模板</t>
        </is>
      </c>
      <c r="B2" s="636" t="n"/>
      <c r="C2" s="636" t="n"/>
      <c r="D2" s="636" t="n"/>
      <c r="E2" s="636" t="n"/>
      <c r="F2" s="636" t="n"/>
      <c r="G2" s="636" t="n"/>
      <c r="H2" s="636" t="n"/>
    </row>
    <row r="3" ht="9" customHeight="1">
      <c r="A3" s="404" t="n"/>
      <c r="B3" s="404" t="n"/>
      <c r="C3" s="404" t="n"/>
      <c r="D3" s="404" t="n"/>
      <c r="E3" s="404" t="n"/>
      <c r="F3" s="404" t="n"/>
      <c r="G3" s="404" t="n"/>
      <c r="H3" s="405" t="n"/>
    </row>
    <row r="4" ht="24" customHeight="1">
      <c r="A4" s="421" t="inlineStr">
        <is>
          <t>使用顺序</t>
        </is>
      </c>
      <c r="B4" s="637" t="n"/>
      <c r="C4" s="637" t="n"/>
      <c r="D4" s="637" t="n"/>
      <c r="E4" s="637" t="n"/>
      <c r="F4" s="637" t="n"/>
      <c r="G4" s="637" t="n"/>
      <c r="H4" s="638" t="n"/>
    </row>
    <row r="5" ht="24" customHeight="1">
      <c r="A5" s="448" t="n">
        <v>1</v>
      </c>
      <c r="B5" s="444" t="inlineStr">
        <is>
          <t>确认需求与子需求，形成稳定 ID 和来源追溯。</t>
        </is>
      </c>
      <c r="C5" s="639" t="n"/>
      <c r="D5" s="639" t="n"/>
      <c r="E5" s="639" t="n"/>
      <c r="F5" s="639" t="n"/>
      <c r="G5" s="639" t="n"/>
      <c r="H5" s="640" t="n"/>
    </row>
    <row r="6" ht="24" customHeight="1">
      <c r="A6" s="448" t="n">
        <v>2</v>
      </c>
      <c r="B6" s="444" t="inlineStr">
        <is>
          <t>确认 As-Is、有效起点、目标设计与范围裁决。</t>
        </is>
      </c>
      <c r="C6" s="639" t="n"/>
      <c r="D6" s="639" t="n"/>
      <c r="E6" s="639" t="n"/>
      <c r="F6" s="639" t="n"/>
      <c r="G6" s="639" t="n"/>
      <c r="H6" s="640" t="n"/>
    </row>
    <row r="7" ht="24" customHeight="1">
      <c r="A7" s="448" t="n">
        <v>3</v>
      </c>
      <c r="B7" s="444" t="inlineStr">
        <is>
          <t>形成 Delivery Gap、无类型 Story、独立验收条件，并登记有证据支持的顶层 Integration。</t>
        </is>
      </c>
      <c r="C7" s="639" t="n"/>
      <c r="D7" s="639" t="n"/>
      <c r="E7" s="639" t="n"/>
      <c r="F7" s="639" t="n"/>
      <c r="G7" s="639" t="n"/>
      <c r="H7" s="640" t="n"/>
    </row>
    <row r="8" ht="24" customHeight="1">
      <c r="A8" s="448" t="n">
        <v>4</v>
      </c>
      <c r="B8" s="444" t="inlineStr">
        <is>
          <t>登记假设/风险；类型只分类，状态仅限已明确/待确认。</t>
        </is>
      </c>
      <c r="C8" s="639" t="n"/>
      <c r="D8" s="639" t="n"/>
      <c r="E8" s="639" t="n"/>
      <c r="F8" s="639" t="n"/>
      <c r="G8" s="639" t="n"/>
      <c r="H8" s="640" t="n"/>
    </row>
    <row r="9" ht="24" customHeight="1">
      <c r="A9" s="448" t="n">
        <v>5</v>
      </c>
      <c r="B9" s="444" t="inlineStr">
        <is>
          <t>按一个基础单元实例拆分一条 Task；选择基础单元、工作模式和复杂度，并填写相应理由。</t>
        </is>
      </c>
      <c r="C9" s="639" t="n"/>
      <c r="D9" s="639" t="n"/>
      <c r="E9" s="639" t="n"/>
      <c r="F9" s="639" t="n"/>
      <c r="G9" s="639" t="n"/>
      <c r="H9" s="640" t="n"/>
    </row>
    <row r="10" ht="24" customHeight="1">
      <c r="A10" s="448" t="n">
        <v>6</v>
      </c>
      <c r="B10" s="444" t="inlineStr">
        <is>
          <t>在 92-基础人天 的同一行选择基础单元，并按工作模式读取对应 M 档人天；S/L 必须说明偏离 M 的具体事实。</t>
        </is>
      </c>
      <c r="C10" s="639" t="n"/>
      <c r="D10" s="639" t="n"/>
      <c r="E10" s="639" t="n"/>
      <c r="F10" s="639" t="n"/>
      <c r="G10" s="639" t="n"/>
      <c r="H10" s="640" t="n"/>
    </row>
    <row r="11" ht="24" customHeight="1">
      <c r="A11" s="448" t="n">
        <v>7</v>
      </c>
      <c r="B11" s="444" t="inlineStr">
        <is>
          <t>generate-sow 只填充 Table、复制公式原型、对账并打包，不执行公式。</t>
        </is>
      </c>
      <c r="C11" s="639" t="n"/>
      <c r="D11" s="639" t="n"/>
      <c r="E11" s="639" t="n"/>
      <c r="F11" s="639" t="n"/>
      <c r="G11" s="639" t="n"/>
      <c r="H11" s="640" t="n"/>
    </row>
    <row r="12" ht="24" customHeight="1">
      <c r="A12" s="448" t="n">
        <v>8</v>
      </c>
      <c r="B12" s="444" t="inlineStr">
        <is>
          <t>在电子表格应用中打开工作簿，由模板计算并核对项目汇总。</t>
        </is>
      </c>
      <c r="C12" s="639" t="n"/>
      <c r="D12" s="639" t="n"/>
      <c r="E12" s="639" t="n"/>
      <c r="F12" s="639" t="n"/>
      <c r="G12" s="639" t="n"/>
      <c r="H12" s="640" t="n"/>
    </row>
    <row r="13">
      <c r="A13" s="404" t="n"/>
      <c r="B13" s="404" t="n"/>
      <c r="C13" s="404" t="n"/>
      <c r="D13" s="404" t="n"/>
      <c r="E13" s="404" t="n"/>
      <c r="F13" s="404" t="n"/>
      <c r="G13" s="404" t="n"/>
      <c r="H13" s="405" t="n"/>
    </row>
    <row r="14" ht="24" customHeight="1">
      <c r="A14" s="421" t="inlineStr">
        <is>
          <t>v1.3 计算合同</t>
        </is>
      </c>
      <c r="B14" s="637" t="n"/>
      <c r="C14" s="637" t="n"/>
      <c r="D14" s="637" t="n"/>
      <c r="E14" s="637" t="n"/>
      <c r="F14" s="637" t="n"/>
      <c r="G14" s="637" t="n"/>
      <c r="H14" s="638" t="n"/>
    </row>
    <row r="15" ht="26" customHeight="1">
      <c r="A15" s="450" t="inlineStr">
        <is>
          <t>Task 枚举</t>
        </is>
      </c>
      <c r="B15" s="444" t="inlineStr">
        <is>
          <t>基础单元：37 项；工作模式：新建/调整/接入复用；复杂度：S/M/L（X 只用于拆分或澄清）。</t>
        </is>
      </c>
      <c r="C15" s="639" t="n"/>
      <c r="D15" s="639" t="n"/>
      <c r="E15" s="639" t="n"/>
      <c r="F15" s="639" t="n"/>
      <c r="G15" s="639" t="n"/>
      <c r="H15" s="640" t="n"/>
    </row>
    <row r="16" ht="26" customHeight="1">
      <c r="A16" s="450" t="inlineStr">
        <is>
          <t>基础人天</t>
        </is>
      </c>
      <c r="B16" s="444" t="inlineStr">
        <is>
          <t>基础单元目录直接提供新建/调整/接入复用三列 M 档人天；❌ 组合不得进入正式估算。</t>
        </is>
      </c>
      <c r="C16" s="639" t="n"/>
      <c r="D16" s="639" t="n"/>
      <c r="E16" s="639" t="n"/>
      <c r="F16" s="639" t="n"/>
      <c r="G16" s="639" t="n"/>
      <c r="H16" s="640" t="n"/>
    </row>
    <row r="17" ht="26" customHeight="1">
      <c r="A17" s="450" t="inlineStr">
        <is>
          <t>Story 人天</t>
        </is>
      </c>
      <c r="B17" s="444" t="inlineStr">
        <is>
          <t>同 Story 的 Task 小计求和后，向上取整至 ROUND_STORY。</t>
        </is>
      </c>
      <c r="C17" s="639" t="n"/>
      <c r="D17" s="639" t="n"/>
      <c r="E17" s="639" t="n"/>
      <c r="F17" s="639" t="n"/>
      <c r="G17" s="639" t="n"/>
      <c r="H17" s="640" t="n"/>
    </row>
    <row r="18" ht="26" customHeight="1">
      <c r="A18" s="450" t="inlineStr">
        <is>
          <t>SIT/UAT</t>
        </is>
      </c>
      <c r="B18" s="444" t="inlineStr">
        <is>
          <t>内部/外部系统对接 Task 触发 SIT；UAT 仅汇总显式标记为适用的 Story。</t>
        </is>
      </c>
      <c r="C18" s="639" t="n"/>
      <c r="D18" s="639" t="n"/>
      <c r="E18" s="639" t="n"/>
      <c r="F18" s="639" t="n"/>
      <c r="G18" s="639" t="n"/>
      <c r="H18" s="640" t="n"/>
    </row>
    <row r="19" ht="26" customHeight="1">
      <c r="A19" s="450" t="inlineStr">
        <is>
          <t>风险人天</t>
        </is>
      </c>
      <c r="B19" s="444" t="inlineStr">
        <is>
          <t>状态为待确认的关联 Story 按 Story 去重；同一 Story 多条待确认项只计一次。</t>
        </is>
      </c>
      <c r="C19" s="639" t="n"/>
      <c r="D19" s="639" t="n"/>
      <c r="E19" s="639" t="n"/>
      <c r="F19" s="639" t="n"/>
      <c r="G19" s="639" t="n"/>
      <c r="H19" s="640" t="n"/>
    </row>
    <row r="20" ht="26" customHeight="1">
      <c r="A20" s="450" t="inlineStr">
        <is>
          <t>项目总计</t>
        </is>
      </c>
      <c r="B20" s="444" t="inlineStr">
        <is>
          <t>直接开发 + SIT + UAT + 待确认风险人天；所有计算结果只存在于 XLSX。</t>
        </is>
      </c>
      <c r="C20" s="639" t="n"/>
      <c r="D20" s="639" t="n"/>
      <c r="E20" s="639" t="n"/>
      <c r="F20" s="639" t="n"/>
      <c r="G20" s="639" t="n"/>
      <c r="H20" s="640" t="n"/>
    </row>
    <row r="21">
      <c r="A21" s="404" t="n"/>
      <c r="B21" s="404" t="n"/>
      <c r="C21" s="404" t="n"/>
      <c r="D21" s="404" t="n"/>
      <c r="E21" s="404" t="n"/>
      <c r="F21" s="404" t="n"/>
      <c r="G21" s="404" t="n"/>
      <c r="H21" s="405" t="n"/>
    </row>
    <row r="22" ht="24" customHeight="1">
      <c r="A22" s="421" t="inlineStr">
        <is>
          <t>工作表职责</t>
        </is>
      </c>
      <c r="B22" s="637" t="n"/>
      <c r="C22" s="637" t="n"/>
      <c r="D22" s="637" t="n"/>
      <c r="E22" s="637" t="n"/>
      <c r="F22" s="637" t="n"/>
      <c r="G22" s="637" t="n"/>
      <c r="H22" s="638" t="n"/>
    </row>
    <row r="23" ht="34" customHeight="1">
      <c r="A23" s="453" t="inlineStr">
        <is>
          <t>工作表</t>
        </is>
      </c>
      <c r="B23" s="453" t="inlineStr">
        <is>
          <t>职责</t>
        </is>
      </c>
      <c r="C23" s="453" t="inlineStr">
        <is>
          <t>输入/事实</t>
        </is>
      </c>
      <c r="D23" s="453" t="inlineStr">
        <is>
          <t>公式/派生</t>
        </is>
      </c>
      <c r="E23" s="453" t="inlineStr">
        <is>
          <t>核心门禁</t>
        </is>
      </c>
      <c r="F23" s="453" t="inlineStr">
        <is>
          <t>上游</t>
        </is>
      </c>
      <c r="G23" s="453" t="inlineStr">
        <is>
          <t>下游</t>
        </is>
      </c>
      <c r="H23" s="453" t="inlineStr">
        <is>
          <t>备注</t>
        </is>
      </c>
    </row>
    <row r="24" ht="38" customHeight="1">
      <c r="A24" s="446" t="inlineStr">
        <is>
          <t>01-需求</t>
        </is>
      </c>
      <c r="B24" s="444" t="inlineStr">
        <is>
          <t>Epic 投影</t>
        </is>
      </c>
      <c r="C24" s="444" t="inlineStr">
        <is>
          <t>Epic</t>
        </is>
      </c>
      <c r="D24" s="444" t="inlineStr">
        <is>
          <t>无</t>
        </is>
      </c>
      <c r="E24" s="461" t="inlineStr">
        <is>
          <t>稳定 ID</t>
        </is>
      </c>
      <c r="F24" s="444" t="inlineStr">
        <is>
          <t>source/technical requirements</t>
        </is>
      </c>
      <c r="G24" s="444" t="inlineStr">
        <is>
          <t>02-子需求</t>
        </is>
      </c>
      <c r="H24" s="444" t="str"/>
    </row>
    <row r="25" ht="38" customHeight="1">
      <c r="A25" s="446" t="inlineStr">
        <is>
          <t>02-子需求</t>
        </is>
      </c>
      <c r="B25" s="444" t="inlineStr">
        <is>
          <t>Feature 投影</t>
        </is>
      </c>
      <c r="C25" s="444" t="inlineStr">
        <is>
          <t>Feature</t>
        </is>
      </c>
      <c r="D25" s="444" t="inlineStr">
        <is>
          <t>无</t>
        </is>
      </c>
      <c r="E25" s="461" t="inlineStr">
        <is>
          <t>Epic 外键有效</t>
        </is>
      </c>
      <c r="F25" s="444" t="inlineStr">
        <is>
          <t>source/technical requirements</t>
        </is>
      </c>
      <c r="G25" s="444" t="inlineStr">
        <is>
          <t>SOW主表</t>
        </is>
      </c>
      <c r="H25" s="444" t="n"/>
    </row>
    <row r="26" ht="38" customHeight="1">
      <c r="A26" s="446" t="inlineStr">
        <is>
          <t>03-SOW主表</t>
        </is>
      </c>
      <c r="B26" s="444" t="inlineStr">
        <is>
          <t>Story 主视图</t>
        </is>
      </c>
      <c r="C26" s="444" t="inlineStr">
        <is>
          <t>Story / Feature ID</t>
        </is>
      </c>
      <c r="D26" s="444" t="inlineStr">
        <is>
          <t>验收条件、Task、人天、假设</t>
        </is>
      </c>
      <c r="E26" s="461" t="inlineStr">
        <is>
          <t>每个 Story 一个 Feature</t>
        </is>
      </c>
      <c r="F26" s="444" t="inlineStr">
        <is>
          <t>delivery/estimate</t>
        </is>
      </c>
      <c r="G26" s="444" t="inlineStr">
        <is>
          <t>AC/Task/集成/假设/汇总</t>
        </is>
      </c>
      <c r="H26" s="444" t="n"/>
    </row>
    <row r="27" ht="38" customHeight="1">
      <c r="A27" s="446" t="inlineStr">
        <is>
          <t>04-验收条件</t>
        </is>
      </c>
      <c r="B27" s="444" t="inlineStr">
        <is>
          <t>AC 明细</t>
        </is>
      </c>
      <c r="C27" s="444" t="inlineStr">
        <is>
          <t>AC</t>
        </is>
      </c>
      <c r="D27" s="444" t="inlineStr">
        <is>
          <t>无</t>
        </is>
      </c>
      <c r="E27" s="461" t="inlineStr">
        <is>
          <t>同 Story 顺序连续</t>
        </is>
      </c>
      <c r="F27" s="444" t="inlineStr">
        <is>
          <t>delivery.json</t>
        </is>
      </c>
      <c r="G27" s="444" t="inlineStr">
        <is>
          <t>SOW主表</t>
        </is>
      </c>
      <c r="H27" s="444" t="str"/>
    </row>
    <row r="28" ht="38" customHeight="1">
      <c r="A28" s="446" t="inlineStr">
        <is>
          <t>05-任务明细</t>
        </is>
      </c>
      <c r="B28" s="444" t="inlineStr">
        <is>
          <t>Task 实例与估算</t>
        </is>
      </c>
      <c r="C28" s="444" t="inlineStr">
        <is>
          <t>基础单元ID / 工作模式 / 复杂度 / Integration ID / Effective Start</t>
        </is>
      </c>
      <c r="D28" s="444" t="inlineStr">
        <is>
          <t>任务族 / 基础人天 / 复杂度倍率 / 人天小计</t>
        </is>
      </c>
      <c r="E28" s="461" t="inlineStr">
        <is>
          <t>一个基础单元实例一行；S/L 有理由；集成引用一对一</t>
        </is>
      </c>
      <c r="F28" s="444" t="inlineStr">
        <is>
          <t>estimate.json / 项目模板</t>
        </is>
      </c>
      <c r="G28" s="444" t="inlineStr">
        <is>
          <t>SOW主表 / SIT / 汇总</t>
        </is>
      </c>
      <c r="H28" s="444" t="n"/>
    </row>
    <row r="29" ht="38" customHeight="1">
      <c r="A29" s="446" t="inlineStr">
        <is>
          <t>06-集成点</t>
        </is>
      </c>
      <c r="B29" s="444" t="inlineStr">
        <is>
          <t>Integration 投影</t>
        </is>
      </c>
      <c r="C29" s="444" t="inlineStr">
        <is>
          <t>顶层 Integration</t>
        </is>
      </c>
      <c r="D29" s="444" t="inlineStr">
        <is>
          <t>集成Task / 工作模式 / 复杂度 / 支持单价 / SIT人天</t>
        </is>
      </c>
      <c r="E29" s="461" t="inlineStr">
        <is>
          <t>一行一个 Integration；由集成 Task 触发 SIT</t>
        </is>
      </c>
      <c r="F29" s="444" t="inlineStr">
        <is>
          <t>delivery/estimate</t>
        </is>
      </c>
      <c r="G29" s="444" t="inlineStr">
        <is>
          <t>汇总</t>
        </is>
      </c>
      <c r="H29" s="444" t="str"/>
    </row>
    <row r="30" ht="38" customHeight="1">
      <c r="A30" s="446" t="inlineStr">
        <is>
          <t>07-假设清单</t>
        </is>
      </c>
      <c r="B30" s="444" t="inlineStr">
        <is>
          <t>假设/风险实体投影</t>
        </is>
      </c>
      <c r="C30" s="444" t="inlineStr">
        <is>
          <t>一行一个假设或风险</t>
        </is>
      </c>
      <c r="D30" s="444" t="inlineStr">
        <is>
          <t>关联 Story 人天</t>
        </is>
      </c>
      <c r="E30" s="461" t="inlineStr">
        <is>
          <t>Story ID 有序去重</t>
        </is>
      </c>
      <c r="F30" s="444" t="inlineStr">
        <is>
          <t>delivery.json</t>
        </is>
      </c>
      <c r="G30" s="444" t="inlineStr">
        <is>
          <t>SOW主表/汇总</t>
        </is>
      </c>
      <c r="H30" s="444" t="str"/>
    </row>
    <row r="31" ht="38" customHeight="1">
      <c r="A31" s="446" t="inlineStr">
        <is>
          <t>20-项目汇总</t>
        </is>
      </c>
      <c r="B31" s="444" t="inlineStr">
        <is>
          <t>固定汇总</t>
        </is>
      </c>
      <c r="C31" s="444" t="inlineStr">
        <is>
          <t>无</t>
        </is>
      </c>
      <c r="D31" s="444" t="inlineStr">
        <is>
          <t>Dev/SIT/UAT/风险/总计</t>
        </is>
      </c>
      <c r="E31" s="461" t="inlineStr">
        <is>
          <t>全部校验 OK</t>
        </is>
      </c>
      <c r="F31" s="444" t="inlineStr">
        <is>
          <t>全部计算表</t>
        </is>
      </c>
      <c r="G31" s="444" t="inlineStr">
        <is>
          <t>交付</t>
        </is>
      </c>
      <c r="H31" s="444" t="str"/>
    </row>
    <row r="32" ht="38" customHeight="1">
      <c r="A32" s="446" t="inlineStr">
        <is>
          <t>90-系统现状</t>
        </is>
      </c>
      <c r="B32" s="444" t="inlineStr">
        <is>
          <t>动态 As-Is 投影</t>
        </is>
      </c>
      <c r="C32" s="444" t="inlineStr">
        <is>
          <t>Topic / 当前事实 / 承诺 / 有效起点 / Coverage / Uncertainty / Evidence</t>
        </is>
      </c>
      <c r="D32" s="444" t="inlineStr">
        <is>
          <t>无</t>
        </is>
      </c>
      <c r="E32" s="461" t="inlineStr">
        <is>
          <t>九主题完整、稳定 ID 与证据引用可追溯</t>
        </is>
      </c>
      <c r="F32" s="444" t="inlineStr">
        <is>
          <t>project.json / asis.json</t>
        </is>
      </c>
      <c r="G32" s="444" t="inlineStr">
        <is>
          <t>设计 / Story / Task / 审计</t>
        </is>
      </c>
      <c r="H32" s="444" t="str"/>
    </row>
    <row r="33" ht="38" customHeight="1">
      <c r="A33" s="446" t="inlineStr">
        <is>
          <t>91-项目参数</t>
        </is>
      </c>
      <c r="B33" s="444" t="inlineStr">
        <is>
          <t>项目级权威参数（含复杂度系数）</t>
        </is>
      </c>
      <c r="C33" s="444" t="inlineStr">
        <is>
          <t>S/M/L 系数 / UAT / SIT / 取整</t>
        </is>
      </c>
      <c r="D33" s="444" t="inlineStr">
        <is>
          <t>无</t>
        </is>
      </c>
      <c r="E33" s="461" t="inlineStr">
        <is>
          <t>参数代码唯一</t>
        </is>
      </c>
      <c r="F33" s="444" t="inlineStr">
        <is>
          <t>模板维护</t>
        </is>
      </c>
      <c r="G33" s="444" t="inlineStr">
        <is>
          <t>公式</t>
        </is>
      </c>
      <c r="H33" s="444" t="str"/>
    </row>
    <row r="34" ht="38" customHeight="1">
      <c r="A34" s="446" t="inlineStr">
        <is>
          <t>92-基础人天</t>
        </is>
      </c>
      <c r="B34" s="444" t="inlineStr">
        <is>
          <t>37 项基础单元、工作边界、三模式 M 档人天与复杂度标准</t>
        </is>
      </c>
      <c r="C34" s="444" t="inlineStr">
        <is>
          <t>计数口径 / 包含与不包含 / 新建·调整·接入复用人天 / S·M·L·X 标准</t>
        </is>
      </c>
      <c r="D34" s="444" t="inlineStr">
        <is>
          <t>无</t>
        </is>
      </c>
      <c r="E34" s="461" t="inlineStr">
        <is>
          <t>基础单元ID唯一；适用组合为正数，不适用组合为❌；规则完整</t>
        </is>
      </c>
      <c r="F34" s="444" t="inlineStr">
        <is>
          <t>模板维护</t>
        </is>
      </c>
      <c r="G34" s="444" t="inlineStr">
        <is>
          <t>任务明细</t>
        </is>
      </c>
      <c r="H34" s="444" t="str"/>
    </row>
    <row r="35" ht="68" customHeight="1"/>
    <row r="36" ht="68" customHeight="1"/>
    <row r="37" ht="68" customHeight="1"/>
    <row r="38" ht="68" customHeight="1"/>
    <row r="39" ht="68" customHeight="1"/>
    <row r="40" ht="68" customHeight="1"/>
    <row r="41" ht="68" customHeight="1"/>
    <row r="42" ht="68" customHeight="1"/>
    <row r="43"/>
    <row r="44" ht="42" customHeight="1"/>
    <row r="45" ht="42" customHeight="1"/>
    <row r="46" ht="42" customHeight="1"/>
    <row r="47" ht="42" customHeight="1"/>
    <row r="48" ht="42" customHeight="1"/>
    <row r="49" ht="42" customHeight="1"/>
    <row r="50" ht="42" customHeight="1"/>
    <row r="51" ht="42" customHeight="1"/>
  </sheetData>
  <mergeCells count="28">
    <mergeCell ref="B9:H9"/>
    <mergeCell ref="B49:H49"/>
    <mergeCell ref="B6:H6"/>
    <mergeCell ref="B15:H15"/>
    <mergeCell ref="A1:H1"/>
    <mergeCell ref="B51:H51"/>
    <mergeCell ref="B5:H5"/>
    <mergeCell ref="B20:H20"/>
    <mergeCell ref="B45:H45"/>
    <mergeCell ref="B50:H50"/>
    <mergeCell ref="B47:H47"/>
    <mergeCell ref="B16:H16"/>
    <mergeCell ref="B7:H7"/>
    <mergeCell ref="B46:H46"/>
    <mergeCell ref="B18:H18"/>
    <mergeCell ref="A2:H2"/>
    <mergeCell ref="B12:H12"/>
    <mergeCell ref="B48:H48"/>
    <mergeCell ref="A14:H14"/>
    <mergeCell ref="B11:H11"/>
    <mergeCell ref="A22:H22"/>
    <mergeCell ref="A4:H4"/>
    <mergeCell ref="B8:H8"/>
    <mergeCell ref="B17:H17"/>
    <mergeCell ref="A43:H43"/>
    <mergeCell ref="B44:H44"/>
    <mergeCell ref="B10:H10"/>
    <mergeCell ref="B19:H19"/>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104"/>
  <sheetViews>
    <sheetView showGridLines="0" workbookViewId="0">
      <pane ySplit="3" topLeftCell="A4" activePane="bottomLeft" state="frozen"/>
      <selection pane="bottomLeft" activeCell="A1" sqref="A1"/>
    </sheetView>
  </sheetViews>
  <sheetFormatPr baseColWidth="8" defaultColWidth="9" defaultRowHeight="16.79999923706055"/>
  <cols>
    <col width="20" customWidth="1" min="1" max="1"/>
    <col width="15" customWidth="1" min="2" max="2"/>
    <col width="27" customWidth="1" min="3" max="3"/>
    <col width="46" customWidth="1" min="4" max="4"/>
    <col width="32" customWidth="1" min="5" max="5"/>
    <col width="32" customWidth="1" min="6" max="6"/>
    <col width="40" customWidth="1" min="7" max="7"/>
  </cols>
  <sheetData>
    <row r="1" ht="31" customHeight="1">
      <c r="A1" s="390" t="inlineStr">
        <is>
          <t>需求（Epic）</t>
        </is>
      </c>
      <c r="B1" s="635" t="n"/>
      <c r="C1" s="635" t="n"/>
      <c r="D1" s="635" t="n"/>
      <c r="E1" s="635" t="n"/>
      <c r="F1" s="635" t="n"/>
      <c r="G1" s="635" t="n"/>
    </row>
    <row r="2" ht="34" customHeight="1">
      <c r="A2" s="400" t="inlineStr">
        <is>
          <t>业务与技术 Epic 使用同一结构；输入归一化是内部中间产物，不进入工作簿</t>
        </is>
      </c>
      <c r="B2" s="636" t="n"/>
      <c r="C2" s="636" t="n"/>
      <c r="D2" s="636" t="n"/>
      <c r="E2" s="636" t="n"/>
      <c r="F2" s="636" t="n"/>
      <c r="G2" s="636" t="n"/>
    </row>
    <row r="3" ht="9" customHeight="1"/>
    <row r="4" ht="38" customHeight="1">
      <c r="A4" s="453" t="inlineStr">
        <is>
          <t>Epic ID</t>
        </is>
      </c>
      <c r="B4" s="453" t="inlineStr">
        <is>
          <t>需求类型</t>
        </is>
      </c>
      <c r="C4" s="453" t="inlineStr">
        <is>
          <t>需求名称</t>
        </is>
      </c>
      <c r="D4" s="453" t="inlineStr">
        <is>
          <t>需求描述</t>
        </is>
      </c>
      <c r="E4" s="453" t="inlineStr">
        <is>
          <t>涉及系统/数据</t>
        </is>
      </c>
      <c r="F4" s="453" t="inlineStr">
        <is>
          <t>目标结果</t>
        </is>
      </c>
      <c r="G4" s="453" t="inlineStr">
        <is>
          <t>公共约束/范围外</t>
        </is>
      </c>
    </row>
    <row r="5" ht="32" customHeight="1">
      <c r="A5" s="641" t="inlineStr">
        <is>
          <t>epic-customer-management</t>
        </is>
      </c>
      <c r="B5" s="642" t="inlineStr">
        <is>
          <t>BUSINESS</t>
        </is>
      </c>
      <c r="C5" s="641" t="inlineStr">
        <is>
          <t>会员与客户管理</t>
        </is>
      </c>
      <c r="D5" s="641" t="inlineStr">
        <is>
          <t>统一会员身份、档案、等级与授权边界。</t>
        </is>
      </c>
      <c r="E5" s="641" t="inlineStr">
        <is>
          <t>会员门户、会员主数据、授权中心 / customer_profile、member_tier</t>
        </is>
      </c>
      <c r="F5" s="641" t="inlineStr">
        <is>
          <t>会员信息跨渠道一致，等级与授权过程可追溯</t>
        </is>
      </c>
      <c r="G5" s="641" t="inlineStr">
        <is>
          <t>不迁移授权主数据，不改造现有授权中心</t>
        </is>
      </c>
    </row>
    <row r="6" ht="32" customHeight="1">
      <c r="A6" s="641" t="inlineStr">
        <is>
          <t>epic-order-fulfillment</t>
        </is>
      </c>
      <c r="B6" s="642" t="inlineStr">
        <is>
          <t>BUSINESS</t>
        </is>
      </c>
      <c r="C6" s="641" t="inlineStr">
        <is>
          <t>订单与履约</t>
        </is>
      </c>
      <c r="D6" s="641" t="inlineStr">
        <is>
          <t>统一订单受理、库存预占、状态流转与退货退款。</t>
        </is>
      </c>
      <c r="E6" s="641" t="inlineStr">
        <is>
          <t>订单服务、ERP、支付网关 / order、inventory_reservation、refund</t>
        </is>
      </c>
      <c r="F6" s="641" t="inlineStr">
        <is>
          <t>门店与线上订单按同一规则履约且异常可恢复</t>
        </is>
      </c>
      <c r="G6" s="641" t="inlineStr">
        <is>
          <t>不替换 ERP 库存核算与支付清算能力</t>
        </is>
      </c>
    </row>
    <row r="7" ht="32" customHeight="1">
      <c r="A7" s="641" t="inlineStr">
        <is>
          <t>epic-omnichannel-operations</t>
        </is>
      </c>
      <c r="B7" s="642" t="inlineStr">
        <is>
          <t>BUSINESS</t>
        </is>
      </c>
      <c r="C7" s="641" t="inlineStr">
        <is>
          <t>全渠道运营</t>
        </is>
      </c>
      <c r="D7" s="641" t="inlineStr">
        <is>
          <t>为门店、顾客和客服提供一致的订单操作与信息。</t>
        </is>
      </c>
      <c r="E7" s="641" t="inlineStr">
        <is>
          <t>门店工作台、会员门户、消息中心 / store_order、order_timeline</t>
        </is>
      </c>
      <c r="F7" s="641" t="inlineStr">
        <is>
          <t>门店处理效率与顾客订单可视性提升</t>
        </is>
      </c>
      <c r="G7" s="641" t="inlineStr">
        <is>
          <t>不改造消息中心通道策略与营销触达规则</t>
        </is>
      </c>
    </row>
    <row r="8" ht="32" customHeight="1">
      <c r="A8" s="641" t="inlineStr">
        <is>
          <t>epic-finance-settlement</t>
        </is>
      </c>
      <c r="B8" s="642" t="inlineStr">
        <is>
          <t>BUSINESS</t>
        </is>
      </c>
      <c r="C8" s="641" t="inlineStr">
        <is>
          <t>财务结算与经营分析</t>
        </is>
      </c>
      <c r="D8" s="641" t="inlineStr">
        <is>
          <t>建立支付、退款、发票和经营指标的日结闭环。</t>
        </is>
      </c>
      <c r="E8" s="641" t="inlineStr">
        <is>
          <t>订单服务、支付网关、电子发票平台、财务数据集市</t>
        </is>
      </c>
      <c r="F8" s="641" t="inlineStr">
        <is>
          <t>财务差异可定位、发票可追踪、经营指标口径一致</t>
        </is>
      </c>
      <c r="G8" s="641" t="inlineStr">
        <is>
          <t>不改造总账系统，不包含税务筹划与历史会计调整</t>
        </is>
      </c>
    </row>
    <row r="9" ht="32" customHeight="1">
      <c r="A9" s="641" t="inlineStr">
        <is>
          <t>epic-platform</t>
        </is>
      </c>
      <c r="B9" s="642" t="inlineStr">
        <is>
          <t>TECHNICAL</t>
        </is>
      </c>
      <c r="C9" s="641" t="inlineStr">
        <is>
          <t>平台与服务边界</t>
        </is>
      </c>
      <c r="D9" s="641" t="inlineStr">
        <is>
          <t>明确会员、订单与生产发布所需的稳定技术边界。</t>
        </is>
      </c>
      <c r="E9" s="641" t="inlineStr">
        <is>
          <t>会员门户、订单服务、API 网关、生产平台</t>
        </is>
      </c>
      <c r="F9" s="641" t="inlineStr">
        <is>
          <t>服务职责清晰、发布可回滚、生产范围可签署</t>
        </is>
      </c>
      <c r="G9" s="641" t="inlineStr">
        <is>
          <t>不替换企业级网关、Kubernetes 平台与 CI/CD 产品</t>
        </is>
      </c>
    </row>
    <row r="10" ht="32" customHeight="1">
      <c r="A10" s="641" t="inlineStr">
        <is>
          <t>epic-delivery-assurance</t>
        </is>
      </c>
      <c r="B10" s="642" t="inlineStr">
        <is>
          <t>TECHNICAL</t>
        </is>
      </c>
      <c r="C10" s="641" t="inlineStr">
        <is>
          <t>上线与质量保障</t>
        </is>
      </c>
      <c r="D10" s="641" t="inlineStr">
        <is>
          <t>将数据迁移、监控运维、质量验证和责任边界纳入可估算交付。</t>
        </is>
      </c>
      <c r="E10" s="641" t="inlineStr">
        <is>
          <t>迁移作业、统一监控平台、测试资产、运维知识库</t>
        </is>
      </c>
      <c r="F10" s="641" t="inlineStr">
        <is>
          <t>上线过程可验证、可回退、可运维并可审计</t>
        </is>
      </c>
      <c r="G10" s="641" t="inlineStr">
        <is>
          <t>不包含上线后驻场支持和旧系统退役实施</t>
        </is>
      </c>
    </row>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sheetData>
  <mergeCells count="2">
    <mergeCell ref="A2:G2"/>
    <mergeCell ref="A1:G1"/>
  </mergeCells>
  <dataValidations count="1">
    <dataValidation sqref="B5:B104" showDropDown="0" showInputMessage="0" showErrorMessage="0" allowBlank="0" type="list">
      <formula1>"BUSINESS,TECHNICAL"</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104"/>
  <sheetViews>
    <sheetView showGridLines="0" workbookViewId="0">
      <pane ySplit="3" topLeftCell="A4" activePane="bottomLeft" state="frozen"/>
      <selection pane="bottomLeft" activeCell="A1" sqref="A1"/>
    </sheetView>
  </sheetViews>
  <sheetFormatPr baseColWidth="8" defaultColWidth="9" defaultRowHeight="16.79999923706055"/>
  <cols>
    <col width="21" customWidth="1" min="1" max="1"/>
    <col width="21" customWidth="1" min="2" max="2"/>
    <col width="25" customWidth="1" min="3" max="3"/>
    <col width="28" customWidth="1" min="4" max="4"/>
    <col width="44" customWidth="1" min="5" max="5"/>
    <col width="32" customWidth="1" min="6" max="6"/>
    <col width="34" customWidth="1" min="7" max="7"/>
    <col width="16" customWidth="1" min="8" max="8"/>
    <col width="38" customWidth="1" min="9" max="9"/>
    <col width="18" customWidth="1" min="10" max="10"/>
    <col width="38" customWidth="1" min="11" max="11"/>
  </cols>
  <sheetData>
    <row r="1" ht="31" customHeight="1">
      <c r="A1" s="390" t="inlineStr">
        <is>
          <t>子需求（Feature）</t>
        </is>
      </c>
      <c r="B1" s="635" t="n"/>
      <c r="C1" s="635" t="n"/>
      <c r="D1" s="635" t="n"/>
      <c r="E1" s="635" t="n"/>
      <c r="F1" s="635" t="n"/>
      <c r="G1" s="635" t="n"/>
      <c r="H1" s="635" t="n"/>
      <c r="I1" s="635" t="n"/>
    </row>
    <row r="2" ht="34" customHeight="1">
      <c r="A2" s="400" t="inlineStr">
        <is>
          <t>Feature 是范围与交付的最小稳定需求实体；业务与技术 Feature 使用同一结构</t>
        </is>
      </c>
      <c r="B2" s="636" t="n"/>
      <c r="C2" s="636" t="n"/>
      <c r="D2" s="636" t="n"/>
      <c r="E2" s="636" t="n"/>
      <c r="F2" s="636" t="n"/>
      <c r="G2" s="636" t="n"/>
      <c r="H2" s="636" t="n"/>
      <c r="I2" s="636" t="n"/>
    </row>
    <row r="3" ht="9" customHeight="1"/>
    <row r="4" ht="38" customHeight="1">
      <c r="A4" s="453" t="inlineStr">
        <is>
          <t>Feature ID</t>
        </is>
      </c>
      <c r="B4" s="453" t="inlineStr">
        <is>
          <t>Epic ID</t>
        </is>
      </c>
      <c r="C4" s="453" t="inlineStr">
        <is>
          <t>Epic 名称</t>
        </is>
      </c>
      <c r="D4" s="453" t="inlineStr">
        <is>
          <t>子需求名称</t>
        </is>
      </c>
      <c r="E4" s="453" t="inlineStr">
        <is>
          <t>场景/范围描述</t>
        </is>
      </c>
      <c r="F4" s="453" t="inlineStr">
        <is>
          <t>涉及系统/数据</t>
        </is>
      </c>
      <c r="G4" s="453" t="inlineStr">
        <is>
          <t>约束/NFR</t>
        </is>
      </c>
      <c r="H4" s="453" t="inlineStr">
        <is>
          <t>来源类型</t>
        </is>
      </c>
      <c r="I4" s="453" t="inlineStr">
        <is>
          <t>推断理由</t>
        </is>
      </c>
    </row>
    <row r="5" ht="34" customHeight="1">
      <c r="A5" s="641" t="inlineStr">
        <is>
          <t>feature-customer-profile</t>
        </is>
      </c>
      <c r="B5" s="641" t="inlineStr">
        <is>
          <t>epic-customer-management</t>
        </is>
      </c>
      <c r="C5" s="641" t="inlineStr">
        <is>
          <t>会员与客户管理</t>
        </is>
      </c>
      <c r="D5" s="641" t="inlineStr">
        <is>
          <t>创建并查看客户档案</t>
        </is>
      </c>
      <c r="E5" s="641" t="inlineStr">
        <is>
          <t>用户创建或维护客户档案后，各渠道可查看授权范围内的最新信息。</t>
        </is>
      </c>
      <c r="F5" s="641" t="inlineStr">
        <is>
          <t>会员门户、会员主数据 / customer_profile</t>
        </is>
      </c>
      <c r="G5" s="641" t="inlineStr">
        <is>
          <t>档案查询 P95 小于 300ms；敏感字段按角色脱敏</t>
        </is>
      </c>
      <c r="H5" s="642" t="inlineStr">
        <is>
          <t>SOURCE_INPUT</t>
        </is>
      </c>
      <c r="I5" s="641" t="inlineStr"/>
    </row>
    <row r="6" ht="34" customHeight="1">
      <c r="A6" s="641" t="inlineStr">
        <is>
          <t>feature-member-tier</t>
        </is>
      </c>
      <c r="B6" s="641" t="inlineStr">
        <is>
          <t>epic-customer-management</t>
        </is>
      </c>
      <c r="C6" s="641" t="inlineStr">
        <is>
          <t>会员与客户管理</t>
        </is>
      </c>
      <c r="D6" s="641" t="inlineStr">
        <is>
          <t>会员等级计算与版本</t>
        </is>
      </c>
      <c r="E6" s="641" t="inlineStr">
        <is>
          <t>按有效消费额计算等级，并记录规则版本、生效日和调整原因。</t>
        </is>
      </c>
      <c r="F6" s="641" t="inlineStr">
        <is>
          <t>会员主数据、订单服务 / member_tier_rule、member_tier_history</t>
        </is>
      </c>
      <c r="G6" s="641" t="inlineStr">
        <is>
          <t>同一会员同一时点仅有一个生效等级</t>
        </is>
      </c>
      <c r="H6" s="642" t="inlineStr">
        <is>
          <t>SOURCE_INPUT</t>
        </is>
      </c>
      <c r="I6" s="641" t="inlineStr"/>
    </row>
    <row r="7" ht="34" customHeight="1">
      <c r="A7" s="641" t="inlineStr">
        <is>
          <t>feature-customer-consent</t>
        </is>
      </c>
      <c r="B7" s="641" t="inlineStr">
        <is>
          <t>epic-customer-management</t>
        </is>
      </c>
      <c r="C7" s="641" t="inlineStr">
        <is>
          <t>会员与客户管理</t>
        </is>
      </c>
      <c r="D7" s="641" t="inlineStr">
        <is>
          <t>会员授权与撤回复用</t>
        </is>
      </c>
      <c r="E7" s="641" t="inlineStr">
        <is>
          <t>复用授权中心的授权、撤回与查询能力。</t>
        </is>
      </c>
      <c r="F7" s="641" t="inlineStr">
        <is>
          <t>授权中心 / consent_record、consent_audit</t>
        </is>
      </c>
      <c r="G7" s="641" t="inlineStr">
        <is>
          <t>渠道不复制授权主数据，查询留痕保存 36 个月</t>
        </is>
      </c>
      <c r="H7" s="642" t="inlineStr">
        <is>
          <t>SOURCE_INPUT</t>
        </is>
      </c>
      <c r="I7" s="641" t="inlineStr"/>
    </row>
    <row r="8" ht="34" customHeight="1">
      <c r="A8" s="641" t="inlineStr">
        <is>
          <t>feature-order-orchestration</t>
        </is>
      </c>
      <c r="B8" s="641" t="inlineStr">
        <is>
          <t>epic-order-fulfillment</t>
        </is>
      </c>
      <c r="C8" s="641" t="inlineStr">
        <is>
          <t>订单与履约</t>
        </is>
      </c>
      <c r="D8" s="641" t="inlineStr">
        <is>
          <t>统一订单编排与状态机</t>
        </is>
      </c>
      <c r="E8" s="641" t="inlineStr">
        <is>
          <t>接收门店与线上订单，执行价格、权益和履约校验并驱动状态流转。</t>
        </is>
      </c>
      <c r="F8" s="641" t="inlineStr">
        <is>
          <t>订单服务、门店工作台、会员门户 / order、order_state</t>
        </is>
      </c>
      <c r="G8" s="641" t="inlineStr">
        <is>
          <t>订单状态变更幂等且全链路可追踪</t>
        </is>
      </c>
      <c r="H8" s="642" t="inlineStr">
        <is>
          <t>SOURCE_INPUT</t>
        </is>
      </c>
      <c r="I8" s="641" t="inlineStr"/>
    </row>
    <row r="9" ht="34" customHeight="1">
      <c r="A9" s="641" t="inlineStr">
        <is>
          <t>feature-inventory-reservation</t>
        </is>
      </c>
      <c r="B9" s="641" t="inlineStr">
        <is>
          <t>epic-order-fulfillment</t>
        </is>
      </c>
      <c r="C9" s="641" t="inlineStr">
        <is>
          <t>订单与履约</t>
        </is>
      </c>
      <c r="D9" s="641" t="inlineStr">
        <is>
          <t>库存预占与释放</t>
        </is>
      </c>
      <c r="E9" s="641" t="inlineStr">
        <is>
          <t>订单确认前通过 ERP 预占库存，取消或超时后释放。</t>
        </is>
      </c>
      <c r="F9" s="641" t="inlineStr">
        <is>
          <t>订单服务、ERP / inventory_reservation</t>
        </is>
      </c>
      <c r="G9" s="641" t="inlineStr">
        <is>
          <t>接口重试不得重复预占；调用超时 3 秒</t>
        </is>
      </c>
      <c r="H9" s="642" t="inlineStr">
        <is>
          <t>SOURCE_INPUT</t>
        </is>
      </c>
      <c r="I9" s="641" t="inlineStr"/>
    </row>
    <row r="10" ht="34" customHeight="1">
      <c r="A10" s="641" t="inlineStr">
        <is>
          <t>feature-return-refund</t>
        </is>
      </c>
      <c r="B10" s="641" t="inlineStr">
        <is>
          <t>epic-order-fulfillment</t>
        </is>
      </c>
      <c r="C10" s="641" t="inlineStr">
        <is>
          <t>订单与履约</t>
        </is>
      </c>
      <c r="D10" s="641" t="inlineStr">
        <is>
          <t>退货退款闭环</t>
        </is>
      </c>
      <c r="E10" s="641" t="inlineStr">
        <is>
          <t>核验可退数量，生成退货单并调用支付网关退款。</t>
        </is>
      </c>
      <c r="F10" s="641" t="inlineStr">
        <is>
          <t>门店工作台、订单服务、支付网关 / return_order、refund</t>
        </is>
      </c>
      <c r="G10" s="641" t="inlineStr">
        <is>
          <t>退款请求幂等，支付结果与订单差异可审计</t>
        </is>
      </c>
      <c r="H10" s="642" t="inlineStr">
        <is>
          <t>SOURCE_INPUT</t>
        </is>
      </c>
      <c r="I10" s="641" t="inlineStr"/>
    </row>
    <row r="11" ht="34" customHeight="1">
      <c r="A11" s="641" t="inlineStr">
        <is>
          <t>feature-store-order</t>
        </is>
      </c>
      <c r="B11" s="641" t="inlineStr">
        <is>
          <t>epic-omnichannel-operations</t>
        </is>
      </c>
      <c r="C11" s="641" t="inlineStr">
        <is>
          <t>全渠道运营</t>
        </is>
      </c>
      <c r="D11" s="641" t="inlineStr">
        <is>
          <t>门店接单工作台</t>
        </is>
      </c>
      <c r="E11" s="641" t="inlineStr">
        <is>
          <t>展示待处理订单、缺货替代与交接信息并按门店权限操作。</t>
        </is>
      </c>
      <c r="F11" s="641" t="inlineStr">
        <is>
          <t>门店工作台、订单服务 / store_order_queue</t>
        </is>
      </c>
      <c r="G11" s="641" t="inlineStr">
        <is>
          <t>仅授权门店可查看和操作本店订单</t>
        </is>
      </c>
      <c r="H11" s="642" t="inlineStr">
        <is>
          <t>SOURCE_INPUT</t>
        </is>
      </c>
      <c r="I11" s="641" t="inlineStr"/>
    </row>
    <row r="12" ht="34" customHeight="1">
      <c r="A12" s="641" t="inlineStr">
        <is>
          <t>feature-order-visibility</t>
        </is>
      </c>
      <c r="B12" s="641" t="inlineStr">
        <is>
          <t>epic-omnichannel-operations</t>
        </is>
      </c>
      <c r="C12" s="641" t="inlineStr">
        <is>
          <t>全渠道运营</t>
        </is>
      </c>
      <c r="D12" s="641" t="inlineStr">
        <is>
          <t>订单状态与履约轨迹</t>
        </is>
      </c>
      <c r="E12" s="641" t="inlineStr">
        <is>
          <t>顾客和客服查看一致的状态、履约节点与异常原因。</t>
        </is>
      </c>
      <c r="F12" s="641" t="inlineStr">
        <is>
          <t>会员门户、客服工作台、订单服务 / order_timeline</t>
        </is>
      </c>
      <c r="G12" s="641" t="inlineStr">
        <is>
          <t>关键状态变更 60 秒内可见</t>
        </is>
      </c>
      <c r="H12" s="642" t="inlineStr">
        <is>
          <t>SOURCE_INPUT</t>
        </is>
      </c>
      <c r="I12" s="641" t="inlineStr"/>
    </row>
    <row r="13" ht="34" customHeight="1">
      <c r="A13" s="641" t="inlineStr">
        <is>
          <t>feature-customer-notification</t>
        </is>
      </c>
      <c r="B13" s="641" t="inlineStr">
        <is>
          <t>epic-omnichannel-operations</t>
        </is>
      </c>
      <c r="C13" s="641" t="inlineStr">
        <is>
          <t>全渠道运营</t>
        </is>
      </c>
      <c r="D13" s="641" t="inlineStr">
        <is>
          <t>订单节点通知复用</t>
        </is>
      </c>
      <c r="E13" s="641" t="inlineStr">
        <is>
          <t>复用消息中心消费标准订单事件并发送通知。</t>
        </is>
      </c>
      <c r="F13" s="641" t="inlineStr">
        <is>
          <t>消息中心、订单事件总线 / notification_event</t>
        </is>
      </c>
      <c r="G13" s="641" t="inlineStr">
        <is>
          <t>不新增通知渠道和营销模板</t>
        </is>
      </c>
      <c r="H13" s="642" t="inlineStr">
        <is>
          <t>SOURCE_INPUT</t>
        </is>
      </c>
      <c r="I13" s="641" t="inlineStr"/>
    </row>
    <row r="14" ht="34" customHeight="1">
      <c r="A14" s="641" t="inlineStr">
        <is>
          <t>feature-payment-reconciliation</t>
        </is>
      </c>
      <c r="B14" s="641" t="inlineStr">
        <is>
          <t>epic-finance-settlement</t>
        </is>
      </c>
      <c r="C14" s="641" t="inlineStr">
        <is>
          <t>财务结算与经营分析</t>
        </is>
      </c>
      <c r="D14" s="641" t="inlineStr">
        <is>
          <t>支付退款日结对账</t>
        </is>
      </c>
      <c r="E14" s="641" t="inlineStr">
        <is>
          <t>按渠道、门店和订单核对实收、退款与手续费差异。</t>
        </is>
      </c>
      <c r="F14" s="641" t="inlineStr">
        <is>
          <t>订单服务、支付网关、财务数据集市 / payment_reconciliation</t>
        </is>
      </c>
      <c r="G14" s="641" t="inlineStr">
        <is>
          <t>每日 07:00 前完成前一自然日对账</t>
        </is>
      </c>
      <c r="H14" s="642" t="inlineStr">
        <is>
          <t>SOURCE_INPUT</t>
        </is>
      </c>
      <c r="I14" s="641" t="inlineStr"/>
    </row>
    <row r="15" ht="34" customHeight="1">
      <c r="A15" s="641" t="inlineStr">
        <is>
          <t>feature-einvoice</t>
        </is>
      </c>
      <c r="B15" s="641" t="inlineStr">
        <is>
          <t>epic-finance-settlement</t>
        </is>
      </c>
      <c r="C15" s="641" t="inlineStr">
        <is>
          <t>财务结算与经营分析</t>
        </is>
      </c>
      <c r="D15" s="641" t="inlineStr">
        <is>
          <t>电子发票申请与状态</t>
        </is>
      </c>
      <c r="E15" s="641" t="inlineStr">
        <is>
          <t>调用电子发票平台开票并保存号码、状态和失败原因。</t>
        </is>
      </c>
      <c r="F15" s="641" t="inlineStr">
        <is>
          <t>订单服务、电子发票平台 / invoice_application</t>
        </is>
      </c>
      <c r="G15" s="641" t="inlineStr">
        <is>
          <t>开票失败可重试且不得重复开票</t>
        </is>
      </c>
      <c r="H15" s="642" t="inlineStr">
        <is>
          <t>SOURCE_INPUT</t>
        </is>
      </c>
      <c r="I15" s="641" t="inlineStr"/>
    </row>
    <row r="16" ht="34" customHeight="1">
      <c r="A16" s="641" t="inlineStr">
        <is>
          <t>feature-finance-report</t>
        </is>
      </c>
      <c r="B16" s="641" t="inlineStr">
        <is>
          <t>epic-finance-settlement</t>
        </is>
      </c>
      <c r="C16" s="641" t="inlineStr">
        <is>
          <t>财务结算与经营分析</t>
        </is>
      </c>
      <c r="D16" s="641" t="inlineStr">
        <is>
          <t>财务经营报表</t>
        </is>
      </c>
      <c r="E16" s="641" t="inlineStr">
        <is>
          <t>按日、区域和渠道展示销售、退款、优惠与未对账金额。</t>
        </is>
      </c>
      <c r="F16" s="641" t="inlineStr">
        <is>
          <t>财务数据集市 / finance_daily_metric</t>
        </is>
      </c>
      <c r="G16" s="641" t="inlineStr">
        <is>
          <t>指标与对账规则同源，支持追溯到订单</t>
        </is>
      </c>
      <c r="H16" s="642" t="inlineStr">
        <is>
          <t>SOURCE_INPUT</t>
        </is>
      </c>
      <c r="I16" s="641" t="inlineStr"/>
    </row>
    <row r="17" ht="34" customHeight="1">
      <c r="A17" s="641" t="inlineStr">
        <is>
          <t>feature-profile-api</t>
        </is>
      </c>
      <c r="B17" s="641" t="inlineStr">
        <is>
          <t>epic-platform</t>
        </is>
      </c>
      <c r="C17" s="641" t="inlineStr">
        <is>
          <t>平台与服务边界</t>
        </is>
      </c>
      <c r="D17" s="641" t="inlineStr">
        <is>
          <t>客户档案操作 API</t>
        </is>
      </c>
      <c r="E17" s="641" t="inlineStr">
        <is>
          <t>通过稳定 API 创建、维护和检索客户档案，并隔离渠道与会员主数据。</t>
        </is>
      </c>
      <c r="F17" s="641" t="inlineStr">
        <is>
          <t>会员门户、会员主数据 / customer-profile-api</t>
        </is>
      </c>
      <c r="G17" s="641" t="inlineStr">
        <is>
          <t>API P95 小于 300ms；写操作使用幂等键；敏感字段按权限返回</t>
        </is>
      </c>
      <c r="H17" s="642" t="inlineStr">
        <is>
          <t>DESIGN_DERIVED</t>
        </is>
      </c>
      <c r="I17" s="641" t="inlineStr">
        <is>
          <t>设计决策/Decision: decision-profile-api 使用专用 API 边界处理客户档案操作；产生原因/Cause: 客户档案操作 API 需要为会员门户与未来渠道提供统一操作边界；不交付影响/Non-delivery impact: 接口/API | 星云会员门户 -&gt; 无法通过统一边界创建或检索客户档案</t>
        </is>
      </c>
    </row>
    <row r="18" ht="34" customHeight="1">
      <c r="A18" s="641" t="inlineStr">
        <is>
          <t>feature-production-scope</t>
        </is>
      </c>
      <c r="B18" s="641" t="inlineStr">
        <is>
          <t>epic-platform</t>
        </is>
      </c>
      <c r="C18" s="641" t="inlineStr">
        <is>
          <t>平台与服务边界</t>
        </is>
      </c>
      <c r="D18" s="641" t="inlineStr">
        <is>
          <t>生产准备、切换与验证</t>
        </is>
      </c>
      <c r="E18" s="641" t="inlineStr">
        <is>
          <t>完成环境配置、发布清单、切换回滚和生产验证，并形成签署证据。</t>
        </is>
      </c>
      <c r="F18" s="641" t="inlineStr">
        <is>
          <t>Kubernetes 生产环境、CI/CD、功能开关、发布清单</t>
        </is>
      </c>
      <c r="G18" s="641" t="inlineStr">
        <is>
          <t>业务中断不超过 15 分钟；回滚路径在切换前完成演练</t>
        </is>
      </c>
      <c r="H18" s="642" t="inlineStr">
        <is>
          <t>SOURCE_INPUT</t>
        </is>
      </c>
      <c r="I18" s="641" t="inlineStr"/>
    </row>
    <row r="19" ht="34" customHeight="1">
      <c r="A19" s="641" t="inlineStr">
        <is>
          <t>feature-legacy-retirement</t>
        </is>
      </c>
      <c r="B19" s="641" t="inlineStr">
        <is>
          <t>epic-platform</t>
        </is>
      </c>
      <c r="C19" s="641" t="inlineStr">
        <is>
          <t>平台与服务边界</t>
        </is>
      </c>
      <c r="D19" s="641" t="inlineStr">
        <is>
          <t>上线后支持与旧系统退役边界</t>
        </is>
      </c>
      <c r="E19" s="641" t="inlineStr">
        <is>
          <t>明确上线后驻场支持和旧系统退役不在本期固定范围内。</t>
        </is>
      </c>
      <c r="F19" s="641" t="inlineStr">
        <is>
          <t>旧会员门户、旧订单查询服务</t>
        </is>
      </c>
      <c r="G19" s="641" t="inlineStr">
        <is>
          <t>如需实施必须单独立项并重新确认基线</t>
        </is>
      </c>
      <c r="H19" s="642" t="inlineStr">
        <is>
          <t>SOURCE_INPUT</t>
        </is>
      </c>
      <c r="I19" s="641" t="inlineStr"/>
    </row>
    <row r="20" ht="34" customHeight="1">
      <c r="A20" s="641" t="inlineStr">
        <is>
          <t>feature-data-migration</t>
        </is>
      </c>
      <c r="B20" s="641" t="inlineStr">
        <is>
          <t>epic-delivery-assurance</t>
        </is>
      </c>
      <c r="C20" s="641" t="inlineStr">
        <is>
          <t>上线与质量保障</t>
        </is>
      </c>
      <c r="D20" s="641" t="inlineStr">
        <is>
          <t>会员与订单数据迁移</t>
        </is>
      </c>
      <c r="E20" s="641" t="inlineStr">
        <is>
          <t>迁移会员扩展字段与两年内历史订单，执行校验、补偿与留痕。</t>
        </is>
      </c>
      <c r="F20" s="641" t="inlineStr">
        <is>
          <t>会员主数据、订单库 / customer_profile、order、order_item</t>
        </is>
      </c>
      <c r="G20" s="641" t="inlineStr">
        <is>
          <t>迁移前后关键字段一致率 100%，业务主键重复为 0</t>
        </is>
      </c>
      <c r="H20" s="642" t="inlineStr">
        <is>
          <t>SOURCE_INPUT</t>
        </is>
      </c>
      <c r="I20" s="641" t="inlineStr"/>
    </row>
    <row r="21" ht="34" customHeight="1">
      <c r="A21" s="641" t="inlineStr">
        <is>
          <t>feature-observability-ops</t>
        </is>
      </c>
      <c r="B21" s="641" t="inlineStr">
        <is>
          <t>epic-delivery-assurance</t>
        </is>
      </c>
      <c r="C21" s="641" t="inlineStr">
        <is>
          <t>上线与质量保障</t>
        </is>
      </c>
      <c r="D21" s="641" t="inlineStr">
        <is>
          <t>监控、运维交接与用户赋能</t>
        </is>
      </c>
      <c r="E21" s="641" t="inlineStr">
        <is>
          <t>建设关键指标和告警，完成运维手册、交接演练与业务用户培训。</t>
        </is>
      </c>
      <c r="F21" s="641" t="inlineStr">
        <is>
          <t>统一监控平台、运维知识库、培训材料</t>
        </is>
      </c>
      <c r="G21" s="641" t="inlineStr">
        <is>
          <t>核心交易告警 5 分钟内触发；交接与培训均需签到和验收记录</t>
        </is>
      </c>
      <c r="H21" s="642" t="inlineStr">
        <is>
          <t>SOURCE_INPUT</t>
        </is>
      </c>
      <c r="I21" s="641" t="inlineStr"/>
    </row>
    <row r="22" ht="34" customHeight="1">
      <c r="A22" s="641" t="inlineStr">
        <is>
          <t>feature-test-quality</t>
        </is>
      </c>
      <c r="B22" s="641" t="inlineStr">
        <is>
          <t>epic-delivery-assurance</t>
        </is>
      </c>
      <c r="C22" s="641" t="inlineStr">
        <is>
          <t>上线与质量保障</t>
        </is>
      </c>
      <c r="D22" s="641" t="inlineStr">
        <is>
          <t>自动化、性能与生产质量验证</t>
        </is>
      </c>
      <c r="E22" s="641" t="inlineStr">
        <is>
          <t>调整既有测试资产，覆盖回归、性能、安全、兼容性和生产烟测。</t>
        </is>
      </c>
      <c r="F22" s="641" t="inlineStr">
        <is>
          <t>API 自动化框架、测试用例库、负载模型、兼容矩阵</t>
        </is>
      </c>
      <c r="G22" s="641" t="inlineStr">
        <is>
          <t>P0/P1 用例通过率 100%，核心查询峰值 500 TPS</t>
        </is>
      </c>
      <c r="H22" s="642" t="inlineStr">
        <is>
          <t>SOURCE_INPUT</t>
        </is>
      </c>
      <c r="I22" s="641" t="inlineStr"/>
    </row>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sheetData>
  <mergeCells count="2">
    <mergeCell ref="A1:I1"/>
    <mergeCell ref="A2:I2"/>
  </mergeCells>
  <dataValidations count="2">
    <dataValidation sqref="B5:B104" showDropDown="0" showInputMessage="0" showErrorMessage="0" allowBlank="0" type="list">
      <formula1>INDIRECT("'01-需求'!$A$5:$A$104")</formula1>
    </dataValidation>
    <dataValidation sqref="H5:H104" showDropDown="0" showInputMessage="0" showErrorMessage="0" allowBlank="0" type="list">
      <formula1>"SOURCE_INPUT,DESIGN_DERIVED"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104"/>
  <sheetViews>
    <sheetView showGridLines="0" workbookViewId="0">
      <pane ySplit="3" topLeftCell="A4" activePane="bottomLeft" state="frozen"/>
      <selection pane="bottomLeft" activeCell="A1" sqref="A1"/>
    </sheetView>
  </sheetViews>
  <sheetFormatPr baseColWidth="8" defaultColWidth="9" defaultRowHeight="16.79999923706055"/>
  <cols>
    <col width="19" customWidth="1" min="1" max="1"/>
    <col width="31" customWidth="1" min="2" max="2"/>
    <col width="21" customWidth="1" min="3" max="3"/>
    <col width="13" customWidth="1" min="4" max="4"/>
    <col width="27" customWidth="1" min="5" max="5"/>
    <col width="28" customWidth="1" min="6" max="6"/>
    <col width="46" customWidth="1" min="7" max="7"/>
    <col width="46" customWidth="1" min="8" max="8"/>
    <col width="13" customWidth="1" min="9" max="9"/>
    <col width="25" customWidth="1" min="10" max="10"/>
    <col width="15" customWidth="1" min="11" max="11"/>
    <col width="13" customWidth="1" min="12" max="12"/>
  </cols>
  <sheetData>
    <row r="1" ht="31" customHeight="1">
      <c r="A1" s="390" t="inlineStr">
        <is>
          <t>SOW主表 / SowStory</t>
        </is>
      </c>
      <c r="B1" s="635" t="n"/>
      <c r="C1" s="635" t="n"/>
      <c r="D1" s="635" t="n"/>
      <c r="E1" s="635" t="n"/>
      <c r="F1" s="635" t="n"/>
      <c r="G1" s="635" t="n"/>
      <c r="H1" s="635" t="n"/>
      <c r="I1" s="635" t="n"/>
      <c r="J1" s="635" t="n"/>
      <c r="K1" s="635" t="n"/>
      <c r="L1" s="390" t="n"/>
    </row>
    <row r="2" ht="34" customHeight="1">
      <c r="A2" s="400" t="inlineStr">
        <is>
          <t>Story 无类型字段；每个 Story 来源于一个 Feature；UAT 适用性显式记录；任务与人天由 Task 表汇总。</t>
        </is>
      </c>
      <c r="B2" s="636" t="n"/>
      <c r="C2" s="636" t="n"/>
      <c r="D2" s="636" t="n"/>
      <c r="E2" s="636" t="n"/>
      <c r="F2" s="636" t="n"/>
      <c r="G2" s="636" t="n"/>
      <c r="H2" s="636" t="n"/>
      <c r="I2" s="636" t="n"/>
      <c r="J2" s="636" t="n"/>
      <c r="K2" s="636" t="n"/>
      <c r="L2" s="400" t="n"/>
    </row>
    <row r="3" ht="9" customHeight="1"/>
    <row r="4" ht="38" customHeight="1">
      <c r="A4" s="453" t="inlineStr">
        <is>
          <t>Story ID</t>
        </is>
      </c>
      <c r="B4" s="453" t="inlineStr">
        <is>
          <t>Story名称</t>
        </is>
      </c>
      <c r="C4" s="453" t="inlineStr">
        <is>
          <t>Feature ID</t>
        </is>
      </c>
      <c r="D4" s="453" t="inlineStr">
        <is>
          <t>UAT分母</t>
        </is>
      </c>
      <c r="E4" s="453" t="inlineStr">
        <is>
          <t>需求</t>
        </is>
      </c>
      <c r="F4" s="453" t="inlineStr">
        <is>
          <t>子需求</t>
        </is>
      </c>
      <c r="G4" s="453" t="inlineStr">
        <is>
          <t>验收条件</t>
        </is>
      </c>
      <c r="H4" s="453" t="inlineStr">
        <is>
          <t>任务明细</t>
        </is>
      </c>
      <c r="I4" s="453" t="inlineStr">
        <is>
          <t>人天</t>
        </is>
      </c>
      <c r="J4" s="453" t="inlineStr">
        <is>
          <t>关联假设ID</t>
        </is>
      </c>
      <c r="K4" s="453" t="inlineStr">
        <is>
          <t>假设状态</t>
        </is>
      </c>
    </row>
    <row r="5" ht="42" customHeight="1">
      <c r="A5" s="641" t="inlineStr">
        <is>
          <t>story-customer-profile</t>
        </is>
      </c>
      <c r="B5" s="641" t="inlineStr">
        <is>
          <t>创建并查看客户档案</t>
        </is>
      </c>
      <c r="C5" s="641" t="inlineStr">
        <is>
          <t>feature-customer-profile</t>
        </is>
      </c>
      <c r="D5" s="642" t="inlineStr">
        <is>
          <t>是</t>
        </is>
      </c>
      <c r="E5" s="643">
        <f>IF(C5="","",IFERROR(INDEX(EpicTable[需求名称],MATCH(INDEX(FeatureTable[Epic ID],MATCH(C5,FeatureTable[Feature ID],0)),EpicTable[Epic ID],0)),"来源未匹配"))</f>
        <v/>
      </c>
      <c r="F5" s="643">
        <f>IF(C5="","",IFERROR(INDEX(FeatureTable[子需求名称],MATCH(C5,FeatureTable[Feature ID],0)),"来源未匹配"))</f>
        <v/>
      </c>
      <c r="G5" s="643">
        <f>IF(A5="","",IFERROR(_xlfn.TEXTJOIN(CHAR(10),TRUE,_xlfn._xlws.FILTER(AcceptanceCriterionTable[顺序]&amp;"）"&amp;AcceptanceCriterionTable[验收结果],AcceptanceCriterionTable[Story ID]=A5,"")),""))</f>
        <v/>
      </c>
      <c r="H5" s="644">
        <f>IF(A5="","",IFERROR(_xlfn.TEXTJOIN(CHAR(10),TRUE,_xlfn._xlws.FILTER("• "&amp;TaskTable[任务说明],TaskTable[Story ID]=A5,"")),""))</f>
        <v/>
      </c>
      <c r="I5" s="645">
        <f>IF(A5="","",CEILING(SUMIF(TaskTable[Story ID],A5,TaskTable[人天小计]),INDEX(ProjectParameterTable[值],MATCH("ROUND_STORY",ProjectParameterTable[参数代码],0))))</f>
        <v/>
      </c>
      <c r="J5" s="643">
        <f>IF(A5="","",IFERROR(_xlfn.TEXTJOIN("、",TRUE,_xlfn._xlws.FILTER(AssumptionRiskTable[假设ID],ISNUMBER(SEARCH("、"&amp;A5&amp;"、","、"&amp;AssumptionRiskTable[关联 Story ID]&amp;"、")),"")),""))</f>
        <v/>
      </c>
      <c r="K5" s="646">
        <f>IF(A5="","",IF(SUMPRODUCT(ISNUMBER(SEARCH("、"&amp;A5&amp;"、","、"&amp;AssumptionRiskTable[关联 Story ID]&amp;"、"))*(AssumptionRiskTable[状态]="待确认"))&gt;0,"待确认","已明确"))</f>
        <v/>
      </c>
    </row>
    <row r="6" ht="42" customHeight="1">
      <c r="A6" s="641" t="inlineStr">
        <is>
          <t>story-profile-api</t>
        </is>
      </c>
      <c r="B6" s="641" t="inlineStr">
        <is>
          <t>提供客户档案操作</t>
        </is>
      </c>
      <c r="C6" s="641" t="inlineStr">
        <is>
          <t>feature-profile-api</t>
        </is>
      </c>
      <c r="D6" s="642" t="inlineStr">
        <is>
          <t>是</t>
        </is>
      </c>
      <c r="E6" s="643">
        <f>IF(C6="","",IFERROR(INDEX(EpicTable[需求名称],MATCH(INDEX(FeatureTable[Epic ID],MATCH(C6,FeatureTable[Feature ID],0)),EpicTable[Epic ID],0)),"来源未匹配"))</f>
        <v/>
      </c>
      <c r="F6" s="643">
        <f>IF(C6="","",IFERROR(INDEX(FeatureTable[子需求名称],MATCH(C6,FeatureTable[Feature ID],0)),"来源未匹配"))</f>
        <v/>
      </c>
      <c r="G6" s="643">
        <f>IF(A6="","",IFERROR(_xlfn.TEXTJOIN(CHAR(10),TRUE,_xlfn._xlws.FILTER(AcceptanceCriterionTable[顺序]&amp;"）"&amp;AcceptanceCriterionTable[验收结果],AcceptanceCriterionTable[Story ID]=A6,"")),""))</f>
        <v/>
      </c>
      <c r="H6" s="644">
        <f>IF(A6="","",IFERROR(_xlfn.TEXTJOIN(CHAR(10),TRUE,_xlfn._xlws.FILTER("• "&amp;TaskTable[任务说明],TaskTable[Story ID]=A6,"")),""))</f>
        <v/>
      </c>
      <c r="I6" s="645">
        <f>IF(A6="","",CEILING(SUMIF(TaskTable[Story ID],A6,TaskTable[人天小计]),INDEX(ProjectParameterTable[值],MATCH("ROUND_STORY",ProjectParameterTable[参数代码],0))))</f>
        <v/>
      </c>
      <c r="J6" s="643">
        <f>IF(A6="","",IFERROR(_xlfn.TEXTJOIN("、",TRUE,_xlfn._xlws.FILTER(AssumptionRiskTable[假设ID],ISNUMBER(SEARCH("、"&amp;A6&amp;"、","、"&amp;AssumptionRiskTable[关联 Story ID]&amp;"、")),"")),""))</f>
        <v/>
      </c>
      <c r="K6" s="646">
        <f>IF(A6="","",IF(SUMPRODUCT(ISNUMBER(SEARCH("、"&amp;A6&amp;"、","、"&amp;AssumptionRiskTable[关联 Story ID]&amp;"、"))*(AssumptionRiskTable[状态]="待确认"))&gt;0,"待确认","已明确"))</f>
        <v/>
      </c>
    </row>
    <row r="7" ht="42" customHeight="1">
      <c r="A7" s="641" t="inlineStr">
        <is>
          <t>story-profile-integration</t>
        </is>
      </c>
      <c r="B7" s="641" t="inlineStr">
        <is>
          <t>集成会员主数据查询</t>
        </is>
      </c>
      <c r="C7" s="641" t="inlineStr">
        <is>
          <t>feature-profile-api</t>
        </is>
      </c>
      <c r="D7" s="642" t="inlineStr">
        <is>
          <t>是</t>
        </is>
      </c>
      <c r="E7" s="643">
        <f>IF(C7="","",IFERROR(INDEX(EpicTable[需求名称],MATCH(INDEX(FeatureTable[Epic ID],MATCH(C7,FeatureTable[Feature ID],0)),EpicTable[Epic ID],0)),"来源未匹配"))</f>
        <v/>
      </c>
      <c r="F7" s="643">
        <f>IF(C7="","",IFERROR(INDEX(FeatureTable[子需求名称],MATCH(C7,FeatureTable[Feature ID],0)),"来源未匹配"))</f>
        <v/>
      </c>
      <c r="G7" s="643">
        <f>IF(A7="","",IFERROR(_xlfn.TEXTJOIN(CHAR(10),TRUE,_xlfn._xlws.FILTER(AcceptanceCriterionTable[顺序]&amp;"）"&amp;AcceptanceCriterionTable[验收结果],AcceptanceCriterionTable[Story ID]=A7,"")),""))</f>
        <v/>
      </c>
      <c r="H7" s="644">
        <f>IF(A7="","",IFERROR(_xlfn.TEXTJOIN(CHAR(10),TRUE,_xlfn._xlws.FILTER("• "&amp;TaskTable[任务说明],TaskTable[Story ID]=A7,"")),""))</f>
        <v/>
      </c>
      <c r="I7" s="645">
        <f>IF(A7="","",CEILING(SUMIF(TaskTable[Story ID],A7,TaskTable[人天小计]),INDEX(ProjectParameterTable[值],MATCH("ROUND_STORY",ProjectParameterTable[参数代码],0))))</f>
        <v/>
      </c>
      <c r="J7" s="643">
        <f>IF(A7="","",IFERROR(_xlfn.TEXTJOIN("、",TRUE,_xlfn._xlws.FILTER(AssumptionRiskTable[假设ID],ISNUMBER(SEARCH("、"&amp;A7&amp;"、","、"&amp;AssumptionRiskTable[关联 Story ID]&amp;"、")),"")),""))</f>
        <v/>
      </c>
      <c r="K7" s="646">
        <f>IF(A7="","",IF(SUMPRODUCT(ISNUMBER(SEARCH("、"&amp;A7&amp;"、","、"&amp;AssumptionRiskTable[关联 Story ID]&amp;"、"))*(AssumptionRiskTable[状态]="待确认"))&gt;0,"待确认","已明确"))</f>
        <v/>
      </c>
    </row>
    <row r="8" ht="42" customHeight="1">
      <c r="A8" s="641" t="inlineStr">
        <is>
          <t>story-member-tier</t>
        </is>
      </c>
      <c r="B8" s="641" t="inlineStr">
        <is>
          <t>计算并追溯会员等级</t>
        </is>
      </c>
      <c r="C8" s="641" t="inlineStr">
        <is>
          <t>feature-member-tier</t>
        </is>
      </c>
      <c r="D8" s="642" t="inlineStr">
        <is>
          <t>是</t>
        </is>
      </c>
      <c r="E8" s="643">
        <f>IF(C8="","",IFERROR(INDEX(EpicTable[需求名称],MATCH(INDEX(FeatureTable[Epic ID],MATCH(C8,FeatureTable[Feature ID],0)),EpicTable[Epic ID],0)),"来源未匹配"))</f>
        <v/>
      </c>
      <c r="F8" s="643">
        <f>IF(C8="","",IFERROR(INDEX(FeatureTable[子需求名称],MATCH(C8,FeatureTable[Feature ID],0)),"来源未匹配"))</f>
        <v/>
      </c>
      <c r="G8" s="643">
        <f>IF(A8="","",IFERROR(_xlfn.TEXTJOIN(CHAR(10),TRUE,_xlfn._xlws.FILTER(AcceptanceCriterionTable[顺序]&amp;"）"&amp;AcceptanceCriterionTable[验收结果],AcceptanceCriterionTable[Story ID]=A8,"")),""))</f>
        <v/>
      </c>
      <c r="H8" s="644">
        <f>IF(A8="","",IFERROR(_xlfn.TEXTJOIN(CHAR(10),TRUE,_xlfn._xlws.FILTER("• "&amp;TaskTable[任务说明],TaskTable[Story ID]=A8,"")),""))</f>
        <v/>
      </c>
      <c r="I8" s="645">
        <f>IF(A8="","",CEILING(SUMIF(TaskTable[Story ID],A8,TaskTable[人天小计]),INDEX(ProjectParameterTable[值],MATCH("ROUND_STORY",ProjectParameterTable[参数代码],0))))</f>
        <v/>
      </c>
      <c r="J8" s="643">
        <f>IF(A8="","",IFERROR(_xlfn.TEXTJOIN("、",TRUE,_xlfn._xlws.FILTER(AssumptionRiskTable[假设ID],ISNUMBER(SEARCH("、"&amp;A8&amp;"、","、"&amp;AssumptionRiskTable[关联 Story ID]&amp;"、")),"")),""))</f>
        <v/>
      </c>
      <c r="K8" s="646">
        <f>IF(A8="","",IF(SUMPRODUCT(ISNUMBER(SEARCH("、"&amp;A8&amp;"、","、"&amp;AssumptionRiskTable[关联 Story ID]&amp;"、"))*(AssumptionRiskTable[状态]="待确认"))&gt;0,"待确认","已明确"))</f>
        <v/>
      </c>
    </row>
    <row r="9" ht="42" customHeight="1">
      <c r="A9" s="641" t="inlineStr">
        <is>
          <t>story-order-create</t>
        </is>
      </c>
      <c r="B9" s="641" t="inlineStr">
        <is>
          <t>统一创建全渠道订单</t>
        </is>
      </c>
      <c r="C9" s="641" t="inlineStr">
        <is>
          <t>feature-order-orchestration</t>
        </is>
      </c>
      <c r="D9" s="642" t="inlineStr">
        <is>
          <t>是</t>
        </is>
      </c>
      <c r="E9" s="643">
        <f>IF(C9="","",IFERROR(INDEX(EpicTable[需求名称],MATCH(INDEX(FeatureTable[Epic ID],MATCH(C9,FeatureTable[Feature ID],0)),EpicTable[Epic ID],0)),"来源未匹配"))</f>
        <v/>
      </c>
      <c r="F9" s="643">
        <f>IF(C9="","",IFERROR(INDEX(FeatureTable[子需求名称],MATCH(C9,FeatureTable[Feature ID],0)),"来源未匹配"))</f>
        <v/>
      </c>
      <c r="G9" s="643">
        <f>IF(A9="","",IFERROR(_xlfn.TEXTJOIN(CHAR(10),TRUE,_xlfn._xlws.FILTER(AcceptanceCriterionTable[顺序]&amp;"）"&amp;AcceptanceCriterionTable[验收结果],AcceptanceCriterionTable[Story ID]=A9,"")),""))</f>
        <v/>
      </c>
      <c r="H9" s="644">
        <f>IF(A9="","",IFERROR(_xlfn.TEXTJOIN(CHAR(10),TRUE,_xlfn._xlws.FILTER("• "&amp;TaskTable[任务说明],TaskTable[Story ID]=A9,"")),""))</f>
        <v/>
      </c>
      <c r="I9" s="645">
        <f>IF(A9="","",CEILING(SUMIF(TaskTable[Story ID],A9,TaskTable[人天小计]),INDEX(ProjectParameterTable[值],MATCH("ROUND_STORY",ProjectParameterTable[参数代码],0))))</f>
        <v/>
      </c>
      <c r="J9" s="643">
        <f>IF(A9="","",IFERROR(_xlfn.TEXTJOIN("、",TRUE,_xlfn._xlws.FILTER(AssumptionRiskTable[假设ID],ISNUMBER(SEARCH("、"&amp;A9&amp;"、","、"&amp;AssumptionRiskTable[关联 Story ID]&amp;"、")),"")),""))</f>
        <v/>
      </c>
      <c r="K9" s="646">
        <f>IF(A9="","",IF(SUMPRODUCT(ISNUMBER(SEARCH("、"&amp;A9&amp;"、","、"&amp;AssumptionRiskTable[关联 Story ID]&amp;"、"))*(AssumptionRiskTable[状态]="待确认"))&gt;0,"待确认","已明确"))</f>
        <v/>
      </c>
    </row>
    <row r="10" ht="42" customHeight="1">
      <c r="A10" s="641" t="inlineStr">
        <is>
          <t>story-order-state</t>
        </is>
      </c>
      <c r="B10" s="641" t="inlineStr">
        <is>
          <t>驱动订单状态与事件</t>
        </is>
      </c>
      <c r="C10" s="641" t="inlineStr">
        <is>
          <t>feature-order-orchestration</t>
        </is>
      </c>
      <c r="D10" s="642" t="inlineStr">
        <is>
          <t>是</t>
        </is>
      </c>
      <c r="E10" s="643">
        <f>IF(C10="","",IFERROR(INDEX(EpicTable[需求名称],MATCH(INDEX(FeatureTable[Epic ID],MATCH(C10,FeatureTable[Feature ID],0)),EpicTable[Epic ID],0)),"来源未匹配"))</f>
        <v/>
      </c>
      <c r="F10" s="643">
        <f>IF(C10="","",IFERROR(INDEX(FeatureTable[子需求名称],MATCH(C10,FeatureTable[Feature ID],0)),"来源未匹配"))</f>
        <v/>
      </c>
      <c r="G10" s="643">
        <f>IF(A10="","",IFERROR(_xlfn.TEXTJOIN(CHAR(10),TRUE,_xlfn._xlws.FILTER(AcceptanceCriterionTable[顺序]&amp;"）"&amp;AcceptanceCriterionTable[验收结果],AcceptanceCriterionTable[Story ID]=A10,"")),""))</f>
        <v/>
      </c>
      <c r="H10" s="644">
        <f>IF(A10="","",IFERROR(_xlfn.TEXTJOIN(CHAR(10),TRUE,_xlfn._xlws.FILTER("• "&amp;TaskTable[任务说明],TaskTable[Story ID]=A10,"")),""))</f>
        <v/>
      </c>
      <c r="I10" s="645">
        <f>IF(A10="","",CEILING(SUMIF(TaskTable[Story ID],A10,TaskTable[人天小计]),INDEX(ProjectParameterTable[值],MATCH("ROUND_STORY",ProjectParameterTable[参数代码],0))))</f>
        <v/>
      </c>
      <c r="J10" s="643">
        <f>IF(A10="","",IFERROR(_xlfn.TEXTJOIN("、",TRUE,_xlfn._xlws.FILTER(AssumptionRiskTable[假设ID],ISNUMBER(SEARCH("、"&amp;A10&amp;"、","、"&amp;AssumptionRiskTable[关联 Story ID]&amp;"、")),"")),""))</f>
        <v/>
      </c>
      <c r="K10" s="646">
        <f>IF(A10="","",IF(SUMPRODUCT(ISNUMBER(SEARCH("、"&amp;A10&amp;"、","、"&amp;AssumptionRiskTable[关联 Story ID]&amp;"、"))*(AssumptionRiskTable[状态]="待确认"))&gt;0,"待确认","已明确"))</f>
        <v/>
      </c>
    </row>
    <row r="11" ht="42" customHeight="1">
      <c r="A11" s="641" t="inlineStr">
        <is>
          <t>story-inventory-reservation</t>
        </is>
      </c>
      <c r="B11" s="641" t="inlineStr">
        <is>
          <t>预占和释放 ERP 库存</t>
        </is>
      </c>
      <c r="C11" s="641" t="inlineStr">
        <is>
          <t>feature-inventory-reservation</t>
        </is>
      </c>
      <c r="D11" s="642" t="inlineStr">
        <is>
          <t>是</t>
        </is>
      </c>
      <c r="E11" s="643">
        <f>IF(C11="","",IFERROR(INDEX(EpicTable[需求名称],MATCH(INDEX(FeatureTable[Epic ID],MATCH(C11,FeatureTable[Feature ID],0)),EpicTable[Epic ID],0)),"来源未匹配"))</f>
        <v/>
      </c>
      <c r="F11" s="643">
        <f>IF(C11="","",IFERROR(INDEX(FeatureTable[子需求名称],MATCH(C11,FeatureTable[Feature ID],0)),"来源未匹配"))</f>
        <v/>
      </c>
      <c r="G11" s="643">
        <f>IF(A11="","",IFERROR(_xlfn.TEXTJOIN(CHAR(10),TRUE,_xlfn._xlws.FILTER(AcceptanceCriterionTable[顺序]&amp;"）"&amp;AcceptanceCriterionTable[验收结果],AcceptanceCriterionTable[Story ID]=A11,"")),""))</f>
        <v/>
      </c>
      <c r="H11" s="644">
        <f>IF(A11="","",IFERROR(_xlfn.TEXTJOIN(CHAR(10),TRUE,_xlfn._xlws.FILTER("• "&amp;TaskTable[任务说明],TaskTable[Story ID]=A11,"")),""))</f>
        <v/>
      </c>
      <c r="I11" s="645">
        <f>IF(A11="","",CEILING(SUMIF(TaskTable[Story ID],A11,TaskTable[人天小计]),INDEX(ProjectParameterTable[值],MATCH("ROUND_STORY",ProjectParameterTable[参数代码],0))))</f>
        <v/>
      </c>
      <c r="J11" s="643">
        <f>IF(A11="","",IFERROR(_xlfn.TEXTJOIN("、",TRUE,_xlfn._xlws.FILTER(AssumptionRiskTable[假设ID],ISNUMBER(SEARCH("、"&amp;A11&amp;"、","、"&amp;AssumptionRiskTable[关联 Story ID]&amp;"、")),"")),""))</f>
        <v/>
      </c>
      <c r="K11" s="646">
        <f>IF(A11="","",IF(SUMPRODUCT(ISNUMBER(SEARCH("、"&amp;A11&amp;"、","、"&amp;AssumptionRiskTable[关联 Story ID]&amp;"、"))*(AssumptionRiskTable[状态]="待确认"))&gt;0,"待确认","已明确"))</f>
        <v/>
      </c>
    </row>
    <row r="12" ht="42" customHeight="1">
      <c r="A12" s="641" t="inlineStr">
        <is>
          <t>story-return-request</t>
        </is>
      </c>
      <c r="B12" s="641" t="inlineStr">
        <is>
          <t>提交并审核退货申请</t>
        </is>
      </c>
      <c r="C12" s="641" t="inlineStr">
        <is>
          <t>feature-return-refund</t>
        </is>
      </c>
      <c r="D12" s="642" t="inlineStr">
        <is>
          <t>是</t>
        </is>
      </c>
      <c r="E12" s="643">
        <f>IF(C12="","",IFERROR(INDEX(EpicTable[需求名称],MATCH(INDEX(FeatureTable[Epic ID],MATCH(C12,FeatureTable[Feature ID],0)),EpicTable[Epic ID],0)),"来源未匹配"))</f>
        <v/>
      </c>
      <c r="F12" s="643">
        <f>IF(C12="","",IFERROR(INDEX(FeatureTable[子需求名称],MATCH(C12,FeatureTable[Feature ID],0)),"来源未匹配"))</f>
        <v/>
      </c>
      <c r="G12" s="643">
        <f>IF(A12="","",IFERROR(_xlfn.TEXTJOIN(CHAR(10),TRUE,_xlfn._xlws.FILTER(AcceptanceCriterionTable[顺序]&amp;"）"&amp;AcceptanceCriterionTable[验收结果],AcceptanceCriterionTable[Story ID]=A12,"")),""))</f>
        <v/>
      </c>
      <c r="H12" s="644">
        <f>IF(A12="","",IFERROR(_xlfn.TEXTJOIN(CHAR(10),TRUE,_xlfn._xlws.FILTER("• "&amp;TaskTable[任务说明],TaskTable[Story ID]=A12,"")),""))</f>
        <v/>
      </c>
      <c r="I12" s="645">
        <f>IF(A12="","",CEILING(SUMIF(TaskTable[Story ID],A12,TaskTable[人天小计]),INDEX(ProjectParameterTable[值],MATCH("ROUND_STORY",ProjectParameterTable[参数代码],0))))</f>
        <v/>
      </c>
      <c r="J12" s="643">
        <f>IF(A12="","",IFERROR(_xlfn.TEXTJOIN("、",TRUE,_xlfn._xlws.FILTER(AssumptionRiskTable[假设ID],ISNUMBER(SEARCH("、"&amp;A12&amp;"、","、"&amp;AssumptionRiskTable[关联 Story ID]&amp;"、")),"")),""))</f>
        <v/>
      </c>
      <c r="K12" s="646">
        <f>IF(A12="","",IF(SUMPRODUCT(ISNUMBER(SEARCH("、"&amp;A12&amp;"、","、"&amp;AssumptionRiskTable[关联 Story ID]&amp;"、"))*(AssumptionRiskTable[状态]="待确认"))&gt;0,"待确认","已明确"))</f>
        <v/>
      </c>
    </row>
    <row r="13" ht="42" customHeight="1">
      <c r="A13" s="641" t="inlineStr">
        <is>
          <t>story-refund-payment</t>
        </is>
      </c>
      <c r="B13" s="641" t="inlineStr">
        <is>
          <t>发起退款并回写结果</t>
        </is>
      </c>
      <c r="C13" s="641" t="inlineStr">
        <is>
          <t>feature-return-refund</t>
        </is>
      </c>
      <c r="D13" s="642" t="inlineStr">
        <is>
          <t>是</t>
        </is>
      </c>
      <c r="E13" s="643">
        <f>IF(C13="","",IFERROR(INDEX(EpicTable[需求名称],MATCH(INDEX(FeatureTable[Epic ID],MATCH(C13,FeatureTable[Feature ID],0)),EpicTable[Epic ID],0)),"来源未匹配"))</f>
        <v/>
      </c>
      <c r="F13" s="643">
        <f>IF(C13="","",IFERROR(INDEX(FeatureTable[子需求名称],MATCH(C13,FeatureTable[Feature ID],0)),"来源未匹配"))</f>
        <v/>
      </c>
      <c r="G13" s="643">
        <f>IF(A13="","",IFERROR(_xlfn.TEXTJOIN(CHAR(10),TRUE,_xlfn._xlws.FILTER(AcceptanceCriterionTable[顺序]&amp;"）"&amp;AcceptanceCriterionTable[验收结果],AcceptanceCriterionTable[Story ID]=A13,"")),""))</f>
        <v/>
      </c>
      <c r="H13" s="644">
        <f>IF(A13="","",IFERROR(_xlfn.TEXTJOIN(CHAR(10),TRUE,_xlfn._xlws.FILTER("• "&amp;TaskTable[任务说明],TaskTable[Story ID]=A13,"")),""))</f>
        <v/>
      </c>
      <c r="I13" s="645">
        <f>IF(A13="","",CEILING(SUMIF(TaskTable[Story ID],A13,TaskTable[人天小计]),INDEX(ProjectParameterTable[值],MATCH("ROUND_STORY",ProjectParameterTable[参数代码],0))))</f>
        <v/>
      </c>
      <c r="J13" s="643">
        <f>IF(A13="","",IFERROR(_xlfn.TEXTJOIN("、",TRUE,_xlfn._xlws.FILTER(AssumptionRiskTable[假设ID],ISNUMBER(SEARCH("、"&amp;A13&amp;"、","、"&amp;AssumptionRiskTable[关联 Story ID]&amp;"、")),"")),""))</f>
        <v/>
      </c>
      <c r="K13" s="646">
        <f>IF(A13="","",IF(SUMPRODUCT(ISNUMBER(SEARCH("、"&amp;A13&amp;"、","、"&amp;AssumptionRiskTable[关联 Story ID]&amp;"、"))*(AssumptionRiskTable[状态]="待确认"))&gt;0,"待确认","已明确"))</f>
        <v/>
      </c>
    </row>
    <row r="14" ht="42" customHeight="1">
      <c r="A14" s="641" t="inlineStr">
        <is>
          <t>story-store-order</t>
        </is>
      </c>
      <c r="B14" s="641" t="inlineStr">
        <is>
          <t>门店处理订单与交接</t>
        </is>
      </c>
      <c r="C14" s="641" t="inlineStr">
        <is>
          <t>feature-store-order</t>
        </is>
      </c>
      <c r="D14" s="642" t="inlineStr">
        <is>
          <t>是</t>
        </is>
      </c>
      <c r="E14" s="643">
        <f>IF(C14="","",IFERROR(INDEX(EpicTable[需求名称],MATCH(INDEX(FeatureTable[Epic ID],MATCH(C14,FeatureTable[Feature ID],0)),EpicTable[Epic ID],0)),"来源未匹配"))</f>
        <v/>
      </c>
      <c r="F14" s="643">
        <f>IF(C14="","",IFERROR(INDEX(FeatureTable[子需求名称],MATCH(C14,FeatureTable[Feature ID],0)),"来源未匹配"))</f>
        <v/>
      </c>
      <c r="G14" s="643">
        <f>IF(A14="","",IFERROR(_xlfn.TEXTJOIN(CHAR(10),TRUE,_xlfn._xlws.FILTER(AcceptanceCriterionTable[顺序]&amp;"）"&amp;AcceptanceCriterionTable[验收结果],AcceptanceCriterionTable[Story ID]=A14,"")),""))</f>
        <v/>
      </c>
      <c r="H14" s="644">
        <f>IF(A14="","",IFERROR(_xlfn.TEXTJOIN(CHAR(10),TRUE,_xlfn._xlws.FILTER("• "&amp;TaskTable[任务说明],TaskTable[Story ID]=A14,"")),""))</f>
        <v/>
      </c>
      <c r="I14" s="645">
        <f>IF(A14="","",CEILING(SUMIF(TaskTable[Story ID],A14,TaskTable[人天小计]),INDEX(ProjectParameterTable[值],MATCH("ROUND_STORY",ProjectParameterTable[参数代码],0))))</f>
        <v/>
      </c>
      <c r="J14" s="643">
        <f>IF(A14="","",IFERROR(_xlfn.TEXTJOIN("、",TRUE,_xlfn._xlws.FILTER(AssumptionRiskTable[假设ID],ISNUMBER(SEARCH("、"&amp;A14&amp;"、","、"&amp;AssumptionRiskTable[关联 Story ID]&amp;"、")),"")),""))</f>
        <v/>
      </c>
      <c r="K14" s="646">
        <f>IF(A14="","",IF(SUMPRODUCT(ISNUMBER(SEARCH("、"&amp;A14&amp;"、","、"&amp;AssumptionRiskTable[关联 Story ID]&amp;"、"))*(AssumptionRiskTable[状态]="待确认"))&gt;0,"待确认","已明确"))</f>
        <v/>
      </c>
    </row>
    <row r="15" ht="42" customHeight="1">
      <c r="A15" s="641" t="inlineStr">
        <is>
          <t>story-order-visibility</t>
        </is>
      </c>
      <c r="B15" s="641" t="inlineStr">
        <is>
          <t>查看统一履约轨迹</t>
        </is>
      </c>
      <c r="C15" s="641" t="inlineStr">
        <is>
          <t>feature-order-visibility</t>
        </is>
      </c>
      <c r="D15" s="642" t="inlineStr">
        <is>
          <t>是</t>
        </is>
      </c>
      <c r="E15" s="643">
        <f>IF(C15="","",IFERROR(INDEX(EpicTable[需求名称],MATCH(INDEX(FeatureTable[Epic ID],MATCH(C15,FeatureTable[Feature ID],0)),EpicTable[Epic ID],0)),"来源未匹配"))</f>
        <v/>
      </c>
      <c r="F15" s="643">
        <f>IF(C15="","",IFERROR(INDEX(FeatureTable[子需求名称],MATCH(C15,FeatureTable[Feature ID],0)),"来源未匹配"))</f>
        <v/>
      </c>
      <c r="G15" s="643">
        <f>IF(A15="","",IFERROR(_xlfn.TEXTJOIN(CHAR(10),TRUE,_xlfn._xlws.FILTER(AcceptanceCriterionTable[顺序]&amp;"）"&amp;AcceptanceCriterionTable[验收结果],AcceptanceCriterionTable[Story ID]=A15,"")),""))</f>
        <v/>
      </c>
      <c r="H15" s="644">
        <f>IF(A15="","",IFERROR(_xlfn.TEXTJOIN(CHAR(10),TRUE,_xlfn._xlws.FILTER("• "&amp;TaskTable[任务说明],TaskTable[Story ID]=A15,"")),""))</f>
        <v/>
      </c>
      <c r="I15" s="645">
        <f>IF(A15="","",CEILING(SUMIF(TaskTable[Story ID],A15,TaskTable[人天小计]),INDEX(ProjectParameterTable[值],MATCH("ROUND_STORY",ProjectParameterTable[参数代码],0))))</f>
        <v/>
      </c>
      <c r="J15" s="643">
        <f>IF(A15="","",IFERROR(_xlfn.TEXTJOIN("、",TRUE,_xlfn._xlws.FILTER(AssumptionRiskTable[假设ID],ISNUMBER(SEARCH("、"&amp;A15&amp;"、","、"&amp;AssumptionRiskTable[关联 Story ID]&amp;"、")),"")),""))</f>
        <v/>
      </c>
      <c r="K15" s="646">
        <f>IF(A15="","",IF(SUMPRODUCT(ISNUMBER(SEARCH("、"&amp;A15&amp;"、","、"&amp;AssumptionRiskTable[关联 Story ID]&amp;"、"))*(AssumptionRiskTable[状态]="待确认"))&gt;0,"待确认","已明确"))</f>
        <v/>
      </c>
    </row>
    <row r="16" ht="42" customHeight="1">
      <c r="A16" s="641" t="inlineStr">
        <is>
          <t>story-payment-reconciliation</t>
        </is>
      </c>
      <c r="B16" s="641" t="inlineStr">
        <is>
          <t>执行支付退款日结对账</t>
        </is>
      </c>
      <c r="C16" s="641" t="inlineStr">
        <is>
          <t>feature-payment-reconciliation</t>
        </is>
      </c>
      <c r="D16" s="642" t="inlineStr">
        <is>
          <t>是</t>
        </is>
      </c>
      <c r="E16" s="643">
        <f>IF(C16="","",IFERROR(INDEX(EpicTable[需求名称],MATCH(INDEX(FeatureTable[Epic ID],MATCH(C16,FeatureTable[Feature ID],0)),EpicTable[Epic ID],0)),"来源未匹配"))</f>
        <v/>
      </c>
      <c r="F16" s="643">
        <f>IF(C16="","",IFERROR(INDEX(FeatureTable[子需求名称],MATCH(C16,FeatureTable[Feature ID],0)),"来源未匹配"))</f>
        <v/>
      </c>
      <c r="G16" s="643">
        <f>IF(A16="","",IFERROR(_xlfn.TEXTJOIN(CHAR(10),TRUE,_xlfn._xlws.FILTER(AcceptanceCriterionTable[顺序]&amp;"）"&amp;AcceptanceCriterionTable[验收结果],AcceptanceCriterionTable[Story ID]=A16,"")),""))</f>
        <v/>
      </c>
      <c r="H16" s="644">
        <f>IF(A16="","",IFERROR(_xlfn.TEXTJOIN(CHAR(10),TRUE,_xlfn._xlws.FILTER("• "&amp;TaskTable[任务说明],TaskTable[Story ID]=A16,"")),""))</f>
        <v/>
      </c>
      <c r="I16" s="645">
        <f>IF(A16="","",CEILING(SUMIF(TaskTable[Story ID],A16,TaskTable[人天小计]),INDEX(ProjectParameterTable[值],MATCH("ROUND_STORY",ProjectParameterTable[参数代码],0))))</f>
        <v/>
      </c>
      <c r="J16" s="643">
        <f>IF(A16="","",IFERROR(_xlfn.TEXTJOIN("、",TRUE,_xlfn._xlws.FILTER(AssumptionRiskTable[假设ID],ISNUMBER(SEARCH("、"&amp;A16&amp;"、","、"&amp;AssumptionRiskTable[关联 Story ID]&amp;"、")),"")),""))</f>
        <v/>
      </c>
      <c r="K16" s="646">
        <f>IF(A16="","",IF(SUMPRODUCT(ISNUMBER(SEARCH("、"&amp;A16&amp;"、","、"&amp;AssumptionRiskTable[关联 Story ID]&amp;"、"))*(AssumptionRiskTable[状态]="待确认"))&gt;0,"待确认","已明确"))</f>
        <v/>
      </c>
    </row>
    <row r="17" ht="42" customHeight="1">
      <c r="A17" s="641" t="inlineStr">
        <is>
          <t>story-einvoice</t>
        </is>
      </c>
      <c r="B17" s="641" t="inlineStr">
        <is>
          <t>申请并追踪电子发票</t>
        </is>
      </c>
      <c r="C17" s="641" t="inlineStr">
        <is>
          <t>feature-einvoice</t>
        </is>
      </c>
      <c r="D17" s="642" t="inlineStr">
        <is>
          <t>是</t>
        </is>
      </c>
      <c r="E17" s="643">
        <f>IF(C17="","",IFERROR(INDEX(EpicTable[需求名称],MATCH(INDEX(FeatureTable[Epic ID],MATCH(C17,FeatureTable[Feature ID],0)),EpicTable[Epic ID],0)),"来源未匹配"))</f>
        <v/>
      </c>
      <c r="F17" s="643">
        <f>IF(C17="","",IFERROR(INDEX(FeatureTable[子需求名称],MATCH(C17,FeatureTable[Feature ID],0)),"来源未匹配"))</f>
        <v/>
      </c>
      <c r="G17" s="643">
        <f>IF(A17="","",IFERROR(_xlfn.TEXTJOIN(CHAR(10),TRUE,_xlfn._xlws.FILTER(AcceptanceCriterionTable[顺序]&amp;"）"&amp;AcceptanceCriterionTable[验收结果],AcceptanceCriterionTable[Story ID]=A17,"")),""))</f>
        <v/>
      </c>
      <c r="H17" s="644">
        <f>IF(A17="","",IFERROR(_xlfn.TEXTJOIN(CHAR(10),TRUE,_xlfn._xlws.FILTER("• "&amp;TaskTable[任务说明],TaskTable[Story ID]=A17,"")),""))</f>
        <v/>
      </c>
      <c r="I17" s="645">
        <f>IF(A17="","",CEILING(SUMIF(TaskTable[Story ID],A17,TaskTable[人天小计]),INDEX(ProjectParameterTable[值],MATCH("ROUND_STORY",ProjectParameterTable[参数代码],0))))</f>
        <v/>
      </c>
      <c r="J17" s="643">
        <f>IF(A17="","",IFERROR(_xlfn.TEXTJOIN("、",TRUE,_xlfn._xlws.FILTER(AssumptionRiskTable[假设ID],ISNUMBER(SEARCH("、"&amp;A17&amp;"、","、"&amp;AssumptionRiskTable[关联 Story ID]&amp;"、")),"")),""))</f>
        <v/>
      </c>
      <c r="K17" s="646">
        <f>IF(A17="","",IF(SUMPRODUCT(ISNUMBER(SEARCH("、"&amp;A17&amp;"、","、"&amp;AssumptionRiskTable[关联 Story ID]&amp;"、"))*(AssumptionRiskTable[状态]="待确认"))&gt;0,"待确认","已明确"))</f>
        <v/>
      </c>
    </row>
    <row r="18" ht="42" customHeight="1">
      <c r="A18" s="641" t="inlineStr">
        <is>
          <t>story-finance-report</t>
        </is>
      </c>
      <c r="B18" s="641" t="inlineStr">
        <is>
          <t>查看财务经营日报</t>
        </is>
      </c>
      <c r="C18" s="641" t="inlineStr">
        <is>
          <t>feature-finance-report</t>
        </is>
      </c>
      <c r="D18" s="642" t="inlineStr">
        <is>
          <t>是</t>
        </is>
      </c>
      <c r="E18" s="643">
        <f>IF(C18="","",IFERROR(INDEX(EpicTable[需求名称],MATCH(INDEX(FeatureTable[Epic ID],MATCH(C18,FeatureTable[Feature ID],0)),EpicTable[Epic ID],0)),"来源未匹配"))</f>
        <v/>
      </c>
      <c r="F18" s="643">
        <f>IF(C18="","",IFERROR(INDEX(FeatureTable[子需求名称],MATCH(C18,FeatureTable[Feature ID],0)),"来源未匹配"))</f>
        <v/>
      </c>
      <c r="G18" s="643">
        <f>IF(A18="","",IFERROR(_xlfn.TEXTJOIN(CHAR(10),TRUE,_xlfn._xlws.FILTER(AcceptanceCriterionTable[顺序]&amp;"）"&amp;AcceptanceCriterionTable[验收结果],AcceptanceCriterionTable[Story ID]=A18,"")),""))</f>
        <v/>
      </c>
      <c r="H18" s="644">
        <f>IF(A18="","",IFERROR(_xlfn.TEXTJOIN(CHAR(10),TRUE,_xlfn._xlws.FILTER("• "&amp;TaskTable[任务说明],TaskTable[Story ID]=A18,"")),""))</f>
        <v/>
      </c>
      <c r="I18" s="645">
        <f>IF(A18="","",CEILING(SUMIF(TaskTable[Story ID],A18,TaskTable[人天小计]),INDEX(ProjectParameterTable[值],MATCH("ROUND_STORY",ProjectParameterTable[参数代码],0))))</f>
        <v/>
      </c>
      <c r="J18" s="643">
        <f>IF(A18="","",IFERROR(_xlfn.TEXTJOIN("、",TRUE,_xlfn._xlws.FILTER(AssumptionRiskTable[假设ID],ISNUMBER(SEARCH("、"&amp;A18&amp;"、","、"&amp;AssumptionRiskTable[关联 Story ID]&amp;"、")),"")),""))</f>
        <v/>
      </c>
      <c r="K18" s="646">
        <f>IF(A18="","",IF(SUMPRODUCT(ISNUMBER(SEARCH("、"&amp;A18&amp;"、","、"&amp;AssumptionRiskTable[关联 Story ID]&amp;"、"))*(AssumptionRiskTable[状态]="待确认"))&gt;0,"待确认","已明确"))</f>
        <v/>
      </c>
    </row>
    <row r="19" ht="42" customHeight="1">
      <c r="A19" s="641" t="inlineStr">
        <is>
          <t>story-production-preparation</t>
        </is>
      </c>
      <c r="B19" s="641" t="inlineStr">
        <is>
          <t>准备生产环境和发布流水线</t>
        </is>
      </c>
      <c r="C19" s="641" t="inlineStr">
        <is>
          <t>feature-production-scope</t>
        </is>
      </c>
      <c r="D19" s="642" t="inlineStr">
        <is>
          <t>否</t>
        </is>
      </c>
      <c r="E19" s="643">
        <f>IF(C19="","",IFERROR(INDEX(EpicTable[需求名称],MATCH(INDEX(FeatureTable[Epic ID],MATCH(C19,FeatureTable[Feature ID],0)),EpicTable[Epic ID],0)),"来源未匹配"))</f>
        <v/>
      </c>
      <c r="F19" s="643">
        <f>IF(C19="","",IFERROR(INDEX(FeatureTable[子需求名称],MATCH(C19,FeatureTable[Feature ID],0)),"来源未匹配"))</f>
        <v/>
      </c>
      <c r="G19" s="643">
        <f>IF(A19="","",IFERROR(_xlfn.TEXTJOIN(CHAR(10),TRUE,_xlfn._xlws.FILTER(AcceptanceCriterionTable[顺序]&amp;"）"&amp;AcceptanceCriterionTable[验收结果],AcceptanceCriterionTable[Story ID]=A19,"")),""))</f>
        <v/>
      </c>
      <c r="H19" s="644">
        <f>IF(A19="","",IFERROR(_xlfn.TEXTJOIN(CHAR(10),TRUE,_xlfn._xlws.FILTER("• "&amp;TaskTable[任务说明],TaskTable[Story ID]=A19,"")),""))</f>
        <v/>
      </c>
      <c r="I19" s="645">
        <f>IF(A19="","",CEILING(SUMIF(TaskTable[Story ID],A19,TaskTable[人天小计]),INDEX(ProjectParameterTable[值],MATCH("ROUND_STORY",ProjectParameterTable[参数代码],0))))</f>
        <v/>
      </c>
      <c r="J19" s="643">
        <f>IF(A19="","",IFERROR(_xlfn.TEXTJOIN("、",TRUE,_xlfn._xlws.FILTER(AssumptionRiskTable[假设ID],ISNUMBER(SEARCH("、"&amp;A19&amp;"、","、"&amp;AssumptionRiskTable[关联 Story ID]&amp;"、")),"")),""))</f>
        <v/>
      </c>
      <c r="K19" s="646">
        <f>IF(A19="","",IF(SUMPRODUCT(ISNUMBER(SEARCH("、"&amp;A19&amp;"、","、"&amp;AssumptionRiskTable[关联 Story ID]&amp;"、"))*(AssumptionRiskTable[状态]="待确认"))&gt;0,"待确认","已明确"))</f>
        <v/>
      </c>
    </row>
    <row r="20" ht="42" customHeight="1">
      <c r="A20" s="641" t="inlineStr">
        <is>
          <t>story-production-cutover</t>
        </is>
      </c>
      <c r="B20" s="641" t="inlineStr">
        <is>
          <t>执行生产切换与回滚演练</t>
        </is>
      </c>
      <c r="C20" s="641" t="inlineStr">
        <is>
          <t>feature-production-scope</t>
        </is>
      </c>
      <c r="D20" s="642" t="inlineStr">
        <is>
          <t>否</t>
        </is>
      </c>
      <c r="E20" s="643">
        <f>IF(C20="","",IFERROR(INDEX(EpicTable[需求名称],MATCH(INDEX(FeatureTable[Epic ID],MATCH(C20,FeatureTable[Feature ID],0)),EpicTable[Epic ID],0)),"来源未匹配"))</f>
        <v/>
      </c>
      <c r="F20" s="643">
        <f>IF(C20="","",IFERROR(INDEX(FeatureTable[子需求名称],MATCH(C20,FeatureTable[Feature ID],0)),"来源未匹配"))</f>
        <v/>
      </c>
      <c r="G20" s="643">
        <f>IF(A20="","",IFERROR(_xlfn.TEXTJOIN(CHAR(10),TRUE,_xlfn._xlws.FILTER(AcceptanceCriterionTable[顺序]&amp;"）"&amp;AcceptanceCriterionTable[验收结果],AcceptanceCriterionTable[Story ID]=A20,"")),""))</f>
        <v/>
      </c>
      <c r="H20" s="644">
        <f>IF(A20="","",IFERROR(_xlfn.TEXTJOIN(CHAR(10),TRUE,_xlfn._xlws.FILTER("• "&amp;TaskTable[任务说明],TaskTable[Story ID]=A20,"")),""))</f>
        <v/>
      </c>
      <c r="I20" s="645">
        <f>IF(A20="","",CEILING(SUMIF(TaskTable[Story ID],A20,TaskTable[人天小计]),INDEX(ProjectParameterTable[值],MATCH("ROUND_STORY",ProjectParameterTable[参数代码],0))))</f>
        <v/>
      </c>
      <c r="J20" s="643">
        <f>IF(A20="","",IFERROR(_xlfn.TEXTJOIN("、",TRUE,_xlfn._xlws.FILTER(AssumptionRiskTable[假设ID],ISNUMBER(SEARCH("、"&amp;A20&amp;"、","、"&amp;AssumptionRiskTable[关联 Story ID]&amp;"、")),"")),""))</f>
        <v/>
      </c>
      <c r="K20" s="646">
        <f>IF(A20="","",IF(SUMPRODUCT(ISNUMBER(SEARCH("、"&amp;A20&amp;"、","、"&amp;AssumptionRiskTable[关联 Story ID]&amp;"、"))*(AssumptionRiskTable[状态]="待确认"))&gt;0,"待确认","已明确"))</f>
        <v/>
      </c>
    </row>
    <row r="21" ht="42" customHeight="1">
      <c r="A21" s="641" t="inlineStr">
        <is>
          <t>story-production-validation</t>
        </is>
      </c>
      <c r="B21" s="641" t="inlineStr">
        <is>
          <t>完成生产烟测与业务确认</t>
        </is>
      </c>
      <c r="C21" s="641" t="inlineStr">
        <is>
          <t>feature-production-scope</t>
        </is>
      </c>
      <c r="D21" s="642" t="inlineStr">
        <is>
          <t>是</t>
        </is>
      </c>
      <c r="E21" s="643">
        <f>IF(C21="","",IFERROR(INDEX(EpicTable[需求名称],MATCH(INDEX(FeatureTable[Epic ID],MATCH(C21,FeatureTable[Feature ID],0)),EpicTable[Epic ID],0)),"来源未匹配"))</f>
        <v/>
      </c>
      <c r="F21" s="643">
        <f>IF(C21="","",IFERROR(INDEX(FeatureTable[子需求名称],MATCH(C21,FeatureTable[Feature ID],0)),"来源未匹配"))</f>
        <v/>
      </c>
      <c r="G21" s="643">
        <f>IF(A21="","",IFERROR(_xlfn.TEXTJOIN(CHAR(10),TRUE,_xlfn._xlws.FILTER(AcceptanceCriterionTable[顺序]&amp;"）"&amp;AcceptanceCriterionTable[验收结果],AcceptanceCriterionTable[Story ID]=A21,"")),""))</f>
        <v/>
      </c>
      <c r="H21" s="644">
        <f>IF(A21="","",IFERROR(_xlfn.TEXTJOIN(CHAR(10),TRUE,_xlfn._xlws.FILTER("• "&amp;TaskTable[任务说明],TaskTable[Story ID]=A21,"")),""))</f>
        <v/>
      </c>
      <c r="I21" s="645">
        <f>IF(A21="","",CEILING(SUMIF(TaskTable[Story ID],A21,TaskTable[人天小计]),INDEX(ProjectParameterTable[值],MATCH("ROUND_STORY",ProjectParameterTable[参数代码],0))))</f>
        <v/>
      </c>
      <c r="J21" s="643">
        <f>IF(A21="","",IFERROR(_xlfn.TEXTJOIN("、",TRUE,_xlfn._xlws.FILTER(AssumptionRiskTable[假设ID],ISNUMBER(SEARCH("、"&amp;A21&amp;"、","、"&amp;AssumptionRiskTable[关联 Story ID]&amp;"、")),"")),""))</f>
        <v/>
      </c>
      <c r="K21" s="646">
        <f>IF(A21="","",IF(SUMPRODUCT(ISNUMBER(SEARCH("、"&amp;A21&amp;"、","、"&amp;AssumptionRiskTable[关联 Story ID]&amp;"、"))*(AssumptionRiskTable[状态]="待确认"))&gt;0,"待确认","已明确"))</f>
        <v/>
      </c>
    </row>
    <row r="22" ht="42" customHeight="1">
      <c r="A22" s="641" t="inlineStr">
        <is>
          <t>story-data-migration</t>
        </is>
      </c>
      <c r="B22" s="641" t="inlineStr">
        <is>
          <t>迁移会员与历史订单数据</t>
        </is>
      </c>
      <c r="C22" s="641" t="inlineStr">
        <is>
          <t>feature-data-migration</t>
        </is>
      </c>
      <c r="D22" s="642" t="inlineStr">
        <is>
          <t>否</t>
        </is>
      </c>
      <c r="E22" s="643">
        <f>IF(C22="","",IFERROR(INDEX(EpicTable[需求名称],MATCH(INDEX(FeatureTable[Epic ID],MATCH(C22,FeatureTable[Feature ID],0)),EpicTable[Epic ID],0)),"来源未匹配"))</f>
        <v/>
      </c>
      <c r="F22" s="643">
        <f>IF(C22="","",IFERROR(INDEX(FeatureTable[子需求名称],MATCH(C22,FeatureTable[Feature ID],0)),"来源未匹配"))</f>
        <v/>
      </c>
      <c r="G22" s="643">
        <f>IF(A22="","",IFERROR(_xlfn.TEXTJOIN(CHAR(10),TRUE,_xlfn._xlws.FILTER(AcceptanceCriterionTable[顺序]&amp;"）"&amp;AcceptanceCriterionTable[验收结果],AcceptanceCriterionTable[Story ID]=A22,"")),""))</f>
        <v/>
      </c>
      <c r="H22" s="644">
        <f>IF(A22="","",IFERROR(_xlfn.TEXTJOIN(CHAR(10),TRUE,_xlfn._xlws.FILTER("• "&amp;TaskTable[任务说明],TaskTable[Story ID]=A22,"")),""))</f>
        <v/>
      </c>
      <c r="I22" s="645">
        <f>IF(A22="","",CEILING(SUMIF(TaskTable[Story ID],A22,TaskTable[人天小计]),INDEX(ProjectParameterTable[值],MATCH("ROUND_STORY",ProjectParameterTable[参数代码],0))))</f>
        <v/>
      </c>
      <c r="J22" s="643">
        <f>IF(A22="","",IFERROR(_xlfn.TEXTJOIN("、",TRUE,_xlfn._xlws.FILTER(AssumptionRiskTable[假设ID],ISNUMBER(SEARCH("、"&amp;A22&amp;"、","、"&amp;AssumptionRiskTable[关联 Story ID]&amp;"、")),"")),""))</f>
        <v/>
      </c>
      <c r="K22" s="646">
        <f>IF(A22="","",IF(SUMPRODUCT(ISNUMBER(SEARCH("、"&amp;A22&amp;"、","、"&amp;AssumptionRiskTable[关联 Story ID]&amp;"、"))*(AssumptionRiskTable[状态]="待确认"))&gt;0,"待确认","已明确"))</f>
        <v/>
      </c>
    </row>
    <row r="23" ht="42" customHeight="1">
      <c r="A23" s="641" t="inlineStr">
        <is>
          <t>story-observability</t>
        </is>
      </c>
      <c r="B23" s="641" t="inlineStr">
        <is>
          <t>监控核心交易与财务作业</t>
        </is>
      </c>
      <c r="C23" s="641" t="inlineStr">
        <is>
          <t>feature-observability-ops</t>
        </is>
      </c>
      <c r="D23" s="642" t="inlineStr">
        <is>
          <t>否</t>
        </is>
      </c>
      <c r="E23" s="643">
        <f>IF(C23="","",IFERROR(INDEX(EpicTable[需求名称],MATCH(INDEX(FeatureTable[Epic ID],MATCH(C23,FeatureTable[Feature ID],0)),EpicTable[Epic ID],0)),"来源未匹配"))</f>
        <v/>
      </c>
      <c r="F23" s="643">
        <f>IF(C23="","",IFERROR(INDEX(FeatureTable[子需求名称],MATCH(C23,FeatureTable[Feature ID],0)),"来源未匹配"))</f>
        <v/>
      </c>
      <c r="G23" s="643">
        <f>IF(A23="","",IFERROR(_xlfn.TEXTJOIN(CHAR(10),TRUE,_xlfn._xlws.FILTER(AcceptanceCriterionTable[顺序]&amp;"）"&amp;AcceptanceCriterionTable[验收结果],AcceptanceCriterionTable[Story ID]=A23,"")),""))</f>
        <v/>
      </c>
      <c r="H23" s="644">
        <f>IF(A23="","",IFERROR(_xlfn.TEXTJOIN(CHAR(10),TRUE,_xlfn._xlws.FILTER("• "&amp;TaskTable[任务说明],TaskTable[Story ID]=A23,"")),""))</f>
        <v/>
      </c>
      <c r="I23" s="645">
        <f>IF(A23="","",CEILING(SUMIF(TaskTable[Story ID],A23,TaskTable[人天小计]),INDEX(ProjectParameterTable[值],MATCH("ROUND_STORY",ProjectParameterTable[参数代码],0))))</f>
        <v/>
      </c>
      <c r="J23" s="643">
        <f>IF(A23="","",IFERROR(_xlfn.TEXTJOIN("、",TRUE,_xlfn._xlws.FILTER(AssumptionRiskTable[假设ID],ISNUMBER(SEARCH("、"&amp;A23&amp;"、","、"&amp;AssumptionRiskTable[关联 Story ID]&amp;"、")),"")),""))</f>
        <v/>
      </c>
      <c r="K23" s="646">
        <f>IF(A23="","",IF(SUMPRODUCT(ISNUMBER(SEARCH("、"&amp;A23&amp;"、","、"&amp;AssumptionRiskTable[关联 Story ID]&amp;"、"))*(AssumptionRiskTable[状态]="待确认"))&gt;0,"待确认","已明确"))</f>
        <v/>
      </c>
    </row>
    <row r="24" ht="42" customHeight="1">
      <c r="A24" s="641" t="inlineStr">
        <is>
          <t>story-ops-handover</t>
        </is>
      </c>
      <c r="B24" s="641" t="inlineStr">
        <is>
          <t>完成运维交接与演练</t>
        </is>
      </c>
      <c r="C24" s="641" t="inlineStr">
        <is>
          <t>feature-observability-ops</t>
        </is>
      </c>
      <c r="D24" s="642" t="inlineStr">
        <is>
          <t>否</t>
        </is>
      </c>
      <c r="E24" s="643">
        <f>IF(C24="","",IFERROR(INDEX(EpicTable[需求名称],MATCH(INDEX(FeatureTable[Epic ID],MATCH(C24,FeatureTable[Feature ID],0)),EpicTable[Epic ID],0)),"来源未匹配"))</f>
        <v/>
      </c>
      <c r="F24" s="643">
        <f>IF(C24="","",IFERROR(INDEX(FeatureTable[子需求名称],MATCH(C24,FeatureTable[Feature ID],0)),"来源未匹配"))</f>
        <v/>
      </c>
      <c r="G24" s="643">
        <f>IF(A24="","",IFERROR(_xlfn.TEXTJOIN(CHAR(10),TRUE,_xlfn._xlws.FILTER(AcceptanceCriterionTable[顺序]&amp;"）"&amp;AcceptanceCriterionTable[验收结果],AcceptanceCriterionTable[Story ID]=A24,"")),""))</f>
        <v/>
      </c>
      <c r="H24" s="644">
        <f>IF(A24="","",IFERROR(_xlfn.TEXTJOIN(CHAR(10),TRUE,_xlfn._xlws.FILTER("• "&amp;TaskTable[任务说明],TaskTable[Story ID]=A24,"")),""))</f>
        <v/>
      </c>
      <c r="I24" s="645">
        <f>IF(A24="","",CEILING(SUMIF(TaskTable[Story ID],A24,TaskTable[人天小计]),INDEX(ProjectParameterTable[值],MATCH("ROUND_STORY",ProjectParameterTable[参数代码],0))))</f>
        <v/>
      </c>
      <c r="J24" s="643">
        <f>IF(A24="","",IFERROR(_xlfn.TEXTJOIN("、",TRUE,_xlfn._xlws.FILTER(AssumptionRiskTable[假设ID],ISNUMBER(SEARCH("、"&amp;A24&amp;"、","、"&amp;AssumptionRiskTable[关联 Story ID]&amp;"、")),"")),""))</f>
        <v/>
      </c>
      <c r="K24" s="646">
        <f>IF(A24="","",IF(SUMPRODUCT(ISNUMBER(SEARCH("、"&amp;A24&amp;"、","、"&amp;AssumptionRiskTable[关联 Story ID]&amp;"、"))*(AssumptionRiskTable[状态]="待确认"))&gt;0,"待确认","已明确"))</f>
        <v/>
      </c>
    </row>
    <row r="25" ht="42" customHeight="1">
      <c r="A25" s="641" t="inlineStr">
        <is>
          <t>story-user-training</t>
        </is>
      </c>
      <c r="B25" s="641" t="inlineStr">
        <is>
          <t>培训门店、客服和财务用户</t>
        </is>
      </c>
      <c r="C25" s="641" t="inlineStr">
        <is>
          <t>feature-observability-ops</t>
        </is>
      </c>
      <c r="D25" s="642" t="inlineStr">
        <is>
          <t>是</t>
        </is>
      </c>
      <c r="E25" s="643">
        <f>IF(C25="","",IFERROR(INDEX(EpicTable[需求名称],MATCH(INDEX(FeatureTable[Epic ID],MATCH(C25,FeatureTable[Feature ID],0)),EpicTable[Epic ID],0)),"来源未匹配"))</f>
        <v/>
      </c>
      <c r="F25" s="643">
        <f>IF(C25="","",IFERROR(INDEX(FeatureTable[子需求名称],MATCH(C25,FeatureTable[Feature ID],0)),"来源未匹配"))</f>
        <v/>
      </c>
      <c r="G25" s="643">
        <f>IF(A25="","",IFERROR(_xlfn.TEXTJOIN(CHAR(10),TRUE,_xlfn._xlws.FILTER(AcceptanceCriterionTable[顺序]&amp;"）"&amp;AcceptanceCriterionTable[验收结果],AcceptanceCriterionTable[Story ID]=A25,"")),""))</f>
        <v/>
      </c>
      <c r="H25" s="644">
        <f>IF(A25="","",IFERROR(_xlfn.TEXTJOIN(CHAR(10),TRUE,_xlfn._xlws.FILTER("• "&amp;TaskTable[任务说明],TaskTable[Story ID]=A25,"")),""))</f>
        <v/>
      </c>
      <c r="I25" s="645">
        <f>IF(A25="","",CEILING(SUMIF(TaskTable[Story ID],A25,TaskTable[人天小计]),INDEX(ProjectParameterTable[值],MATCH("ROUND_STORY",ProjectParameterTable[参数代码],0))))</f>
        <v/>
      </c>
      <c r="J25" s="643">
        <f>IF(A25="","",IFERROR(_xlfn.TEXTJOIN("、",TRUE,_xlfn._xlws.FILTER(AssumptionRiskTable[假设ID],ISNUMBER(SEARCH("、"&amp;A25&amp;"、","、"&amp;AssumptionRiskTable[关联 Story ID]&amp;"、")),"")),""))</f>
        <v/>
      </c>
      <c r="K25" s="646">
        <f>IF(A25="","",IF(SUMPRODUCT(ISNUMBER(SEARCH("、"&amp;A25&amp;"、","、"&amp;AssumptionRiskTable[关联 Story ID]&amp;"、"))*(AssumptionRiskTable[状态]="待确认"))&gt;0,"待确认","已明确"))</f>
        <v/>
      </c>
    </row>
    <row r="26" ht="42" customHeight="1">
      <c r="A26" s="641" t="inlineStr">
        <is>
          <t>story-test-automation</t>
        </is>
      </c>
      <c r="B26" s="641" t="inlineStr">
        <is>
          <t>扩展自动化与性能验证</t>
        </is>
      </c>
      <c r="C26" s="641" t="inlineStr">
        <is>
          <t>feature-test-quality</t>
        </is>
      </c>
      <c r="D26" s="642" t="inlineStr">
        <is>
          <t>否</t>
        </is>
      </c>
      <c r="E26" s="643">
        <f>IF(C26="","",IFERROR(INDEX(EpicTable[需求名称],MATCH(INDEX(FeatureTable[Epic ID],MATCH(C26,FeatureTable[Feature ID],0)),EpicTable[Epic ID],0)),"来源未匹配"))</f>
        <v/>
      </c>
      <c r="F26" s="643">
        <f>IF(C26="","",IFERROR(INDEX(FeatureTable[子需求名称],MATCH(C26,FeatureTable[Feature ID],0)),"来源未匹配"))</f>
        <v/>
      </c>
      <c r="G26" s="643">
        <f>IF(A26="","",IFERROR(_xlfn.TEXTJOIN(CHAR(10),TRUE,_xlfn._xlws.FILTER(AcceptanceCriterionTable[顺序]&amp;"）"&amp;AcceptanceCriterionTable[验收结果],AcceptanceCriterionTable[Story ID]=A26,"")),""))</f>
        <v/>
      </c>
      <c r="H26" s="644">
        <f>IF(A26="","",IFERROR(_xlfn.TEXTJOIN(CHAR(10),TRUE,_xlfn._xlws.FILTER("• "&amp;TaskTable[任务说明],TaskTable[Story ID]=A26,"")),""))</f>
        <v/>
      </c>
      <c r="I26" s="645">
        <f>IF(A26="","",CEILING(SUMIF(TaskTable[Story ID],A26,TaskTable[人天小计]),INDEX(ProjectParameterTable[值],MATCH("ROUND_STORY",ProjectParameterTable[参数代码],0))))</f>
        <v/>
      </c>
      <c r="J26" s="643">
        <f>IF(A26="","",IFERROR(_xlfn.TEXTJOIN("、",TRUE,_xlfn._xlws.FILTER(AssumptionRiskTable[假设ID],ISNUMBER(SEARCH("、"&amp;A26&amp;"、","、"&amp;AssumptionRiskTable[关联 Story ID]&amp;"、")),"")),""))</f>
        <v/>
      </c>
      <c r="K26" s="646">
        <f>IF(A26="","",IF(SUMPRODUCT(ISNUMBER(SEARCH("、"&amp;A26&amp;"、","、"&amp;AssumptionRiskTable[关联 Story ID]&amp;"、"))*(AssumptionRiskTable[状态]="待确认"))&gt;0,"待确认","已明确"))</f>
        <v/>
      </c>
    </row>
    <row r="27" ht="42" customHeight="1">
      <c r="A27" s="641" t="inlineStr">
        <is>
          <t>story-test-non-uat</t>
        </is>
      </c>
      <c r="B27" s="641" t="inlineStr">
        <is>
          <t>执行兼容性与工程回归</t>
        </is>
      </c>
      <c r="C27" s="641" t="inlineStr">
        <is>
          <t>feature-test-quality</t>
        </is>
      </c>
      <c r="D27" s="642" t="inlineStr">
        <is>
          <t>否</t>
        </is>
      </c>
      <c r="E27" s="643">
        <f>IF(C27="","",IFERROR(INDEX(EpicTable[需求名称],MATCH(INDEX(FeatureTable[Epic ID],MATCH(C27,FeatureTable[Feature ID],0)),EpicTable[Epic ID],0)),"来源未匹配"))</f>
        <v/>
      </c>
      <c r="F27" s="643">
        <f>IF(C27="","",IFERROR(INDEX(FeatureTable[子需求名称],MATCH(C27,FeatureTable[Feature ID],0)),"来源未匹配"))</f>
        <v/>
      </c>
      <c r="G27" s="643">
        <f>IF(A27="","",IFERROR(_xlfn.TEXTJOIN(CHAR(10),TRUE,_xlfn._xlws.FILTER(AcceptanceCriterionTable[顺序]&amp;"）"&amp;AcceptanceCriterionTable[验收结果],AcceptanceCriterionTable[Story ID]=A27,"")),""))</f>
        <v/>
      </c>
      <c r="H27" s="644">
        <f>IF(A27="","",IFERROR(_xlfn.TEXTJOIN(CHAR(10),TRUE,_xlfn._xlws.FILTER("• "&amp;TaskTable[任务说明],TaskTable[Story ID]=A27,"")),""))</f>
        <v/>
      </c>
      <c r="I27" s="645">
        <f>IF(A27="","",CEILING(SUMIF(TaskTable[Story ID],A27,TaskTable[人天小计]),INDEX(ProjectParameterTable[值],MATCH("ROUND_STORY",ProjectParameterTable[参数代码],0))))</f>
        <v/>
      </c>
      <c r="J27" s="643">
        <f>IF(A27="","",IFERROR(_xlfn.TEXTJOIN("、",TRUE,_xlfn._xlws.FILTER(AssumptionRiskTable[假设ID],ISNUMBER(SEARCH("、"&amp;A27&amp;"、","、"&amp;AssumptionRiskTable[关联 Story ID]&amp;"、")),"")),""))</f>
        <v/>
      </c>
      <c r="K27" s="646">
        <f>IF(A27="","",IF(SUMPRODUCT(ISNUMBER(SEARCH("、"&amp;A27&amp;"、","、"&amp;AssumptionRiskTable[关联 Story ID]&amp;"、"))*(AssumptionRiskTable[状态]="待确认"))&gt;0,"待确认","已明确"))</f>
        <v/>
      </c>
    </row>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sheetData>
  <mergeCells count="2">
    <mergeCell ref="A2:K2"/>
    <mergeCell ref="A1:K1"/>
  </mergeCells>
  <conditionalFormatting sqref="L5:L14">
    <cfRule type="containsText" priority="1" operator="containsText" dxfId="19" text="已明确"/>
    <cfRule type="containsText" priority="2" operator="containsText" dxfId="20" text="待确认"/>
  </conditionalFormatting>
  <dataValidations count="2">
    <dataValidation sqref="C5:C104" showDropDown="0" showInputMessage="0" showErrorMessage="0" allowBlank="0" type="list">
      <formula1>INDIRECT("'02-子需求'!$A$5:$A$104")</formula1>
    </dataValidation>
    <dataValidation sqref="D5:D104" showDropDown="0" showInputMessage="0" showErrorMessage="0" allowBlank="0" type="list">
      <formula1>"是,否"</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104"/>
  <sheetViews>
    <sheetView showGridLines="0" workbookViewId="0">
      <pane ySplit="3" topLeftCell="A4" activePane="bottomLeft" state="frozen"/>
      <selection pane="bottomLeft" activeCell="A1" sqref="A1"/>
    </sheetView>
  </sheetViews>
  <sheetFormatPr baseColWidth="8" defaultColWidth="9" defaultRowHeight="16.79999923706055"/>
  <cols>
    <col width="20" customWidth="1" min="1" max="1"/>
    <col width="20" customWidth="1" min="2" max="2"/>
    <col width="11" customWidth="1" min="3" max="3"/>
    <col width="70" customWidth="1" min="4" max="4"/>
  </cols>
  <sheetData>
    <row r="1" ht="31" customHeight="1">
      <c r="A1" s="390" t="inlineStr">
        <is>
          <t>验收条件（AcceptanceCriterion）</t>
        </is>
      </c>
      <c r="B1" s="635" t="n"/>
      <c r="C1" s="635" t="n"/>
      <c r="D1" s="635" t="n"/>
    </row>
    <row r="2" ht="34" customHeight="1">
      <c r="A2" s="400" t="inlineStr">
        <is>
          <t>事实源：每行一条可独立核验的 AC；通过 Story ID 归属一个 Story；SOW 主表只读派生汇总</t>
        </is>
      </c>
      <c r="B2" s="636" t="n"/>
      <c r="C2" s="636" t="n"/>
      <c r="D2" s="636" t="n"/>
    </row>
    <row r="3" ht="9" customHeight="1"/>
    <row r="4" ht="38" customHeight="1">
      <c r="A4" s="453" t="inlineStr">
        <is>
          <t>AC ID</t>
        </is>
      </c>
      <c r="B4" s="453" t="inlineStr">
        <is>
          <t>Story ID</t>
        </is>
      </c>
      <c r="C4" s="453" t="inlineStr">
        <is>
          <t>顺序</t>
        </is>
      </c>
      <c r="D4" s="453" t="inlineStr">
        <is>
          <t>验收结果</t>
        </is>
      </c>
    </row>
    <row r="5" ht="34" customHeight="1">
      <c r="A5" s="641" t="inlineStr">
        <is>
          <t>ac-profile-visible</t>
        </is>
      </c>
      <c r="B5" s="641" t="inlineStr">
        <is>
          <t>story-customer-profile</t>
        </is>
      </c>
      <c r="C5" s="647" t="n">
        <v>1</v>
      </c>
      <c r="D5" s="641" t="inlineStr">
        <is>
          <t>用户保存档案后可以查看授权范围内的最新字段。</t>
        </is>
      </c>
    </row>
    <row r="6" ht="34" customHeight="1">
      <c r="A6" s="641" t="inlineStr">
        <is>
          <t>ac-profile-audit</t>
        </is>
      </c>
      <c r="B6" s="641" t="inlineStr">
        <is>
          <t>story-customer-profile</t>
        </is>
      </c>
      <c r="C6" s="647" t="n">
        <v>2</v>
      </c>
      <c r="D6" s="641" t="inlineStr">
        <is>
          <t>档案变更记录包含操作者、时间和变更字段。</t>
        </is>
      </c>
    </row>
    <row r="7" ht="34" customHeight="1">
      <c r="A7" s="641" t="inlineStr">
        <is>
          <t>ac-profile-api</t>
        </is>
      </c>
      <c r="B7" s="641" t="inlineStr">
        <is>
          <t>story-profile-api</t>
        </is>
      </c>
      <c r="C7" s="647" t="n">
        <v>1</v>
      </c>
      <c r="D7" s="641" t="inlineStr">
        <is>
          <t>渠道可以通过已发布 API 创建、维护和检索客户档案。</t>
        </is>
      </c>
    </row>
    <row r="8" ht="34" customHeight="1">
      <c r="A8" s="641" t="inlineStr">
        <is>
          <t>ac-profile-api-security</t>
        </is>
      </c>
      <c r="B8" s="641" t="inlineStr">
        <is>
          <t>story-profile-api</t>
        </is>
      </c>
      <c r="C8" s="647" t="n">
        <v>2</v>
      </c>
      <c r="D8" s="641" t="inlineStr">
        <is>
          <t>未授权角色无法读取敏感字段且访问留痕。</t>
        </is>
      </c>
    </row>
    <row r="9" ht="34" customHeight="1">
      <c r="A9" s="641" t="inlineStr">
        <is>
          <t>ac-profile-integration</t>
        </is>
      </c>
      <c r="B9" s="641" t="inlineStr">
        <is>
          <t>story-profile-integration</t>
        </is>
      </c>
      <c r="C9" s="647" t="n">
        <v>1</v>
      </c>
      <c r="D9" s="641" t="inlineStr">
        <is>
          <t>星云会员门户可以通过内部接口检索统一会员号和档案。</t>
        </is>
      </c>
    </row>
    <row r="10" ht="34" customHeight="1">
      <c r="A10" s="641" t="inlineStr">
        <is>
          <t>ac-member-tier</t>
        </is>
      </c>
      <c r="B10" s="641" t="inlineStr">
        <is>
          <t>story-member-tier</t>
        </is>
      </c>
      <c r="C10" s="647" t="n">
        <v>1</v>
      </c>
      <c r="D10" s="641" t="inlineStr">
        <is>
          <t>会员等级按生效规则计算且可以追溯规则版本。</t>
        </is>
      </c>
    </row>
    <row r="11" ht="34" customHeight="1">
      <c r="A11" s="641" t="inlineStr">
        <is>
          <t>ac-member-tier-history</t>
        </is>
      </c>
      <c r="B11" s="641" t="inlineStr">
        <is>
          <t>story-member-tier</t>
        </is>
      </c>
      <c r="C11" s="647" t="n">
        <v>2</v>
      </c>
      <c r="D11" s="641" t="inlineStr">
        <is>
          <t>等级调整后保留原等级、生效时间和调整原因。</t>
        </is>
      </c>
    </row>
    <row r="12" ht="34" customHeight="1">
      <c r="A12" s="641" t="inlineStr">
        <is>
          <t>ac-order-create</t>
        </is>
      </c>
      <c r="B12" s="641" t="inlineStr">
        <is>
          <t>story-order-create</t>
        </is>
      </c>
      <c r="C12" s="647" t="n">
        <v>1</v>
      </c>
      <c r="D12" s="641" t="inlineStr">
        <is>
          <t>门店和线上渠道通过相同校验规则创建订单。</t>
        </is>
      </c>
    </row>
    <row r="13" ht="34" customHeight="1">
      <c r="A13" s="641" t="inlineStr">
        <is>
          <t>ac-order-idempotency</t>
        </is>
      </c>
      <c r="B13" s="641" t="inlineStr">
        <is>
          <t>story-order-create</t>
        </is>
      </c>
      <c r="C13" s="647" t="n">
        <v>2</v>
      </c>
      <c r="D13" s="641" t="inlineStr">
        <is>
          <t>相同幂等键的重复请求不产生重复订单。</t>
        </is>
      </c>
    </row>
    <row r="14" ht="34" customHeight="1">
      <c r="A14" s="641" t="inlineStr">
        <is>
          <t>ac-order-state</t>
        </is>
      </c>
      <c r="B14" s="641" t="inlineStr">
        <is>
          <t>story-order-state</t>
        </is>
      </c>
      <c r="C14" s="647" t="n">
        <v>1</v>
      </c>
      <c r="D14" s="641" t="inlineStr">
        <is>
          <t>合法命令驱动状态变化并记录来源、时间和事件编号。</t>
        </is>
      </c>
    </row>
    <row r="15" ht="34" customHeight="1">
      <c r="A15" s="641" t="inlineStr">
        <is>
          <t>ac-inventory-reservation</t>
        </is>
      </c>
      <c r="B15" s="641" t="inlineStr">
        <is>
          <t>story-inventory-reservation</t>
        </is>
      </c>
      <c r="C15" s="647" t="n">
        <v>1</v>
      </c>
      <c r="D15" s="641" t="inlineStr">
        <is>
          <t>订单确认和取消分别完成库存预占与释放。</t>
        </is>
      </c>
    </row>
    <row r="16" ht="34" customHeight="1">
      <c r="A16" s="641" t="inlineStr">
        <is>
          <t>ac-inventory-retry</t>
        </is>
      </c>
      <c r="B16" s="641" t="inlineStr">
        <is>
          <t>story-inventory-reservation</t>
        </is>
      </c>
      <c r="C16" s="647" t="n">
        <v>2</v>
      </c>
      <c r="D16" s="641" t="inlineStr">
        <is>
          <t>ERP 超时重试不会产生重复预占。</t>
        </is>
      </c>
    </row>
    <row r="17" ht="34" customHeight="1">
      <c r="A17" s="641" t="inlineStr">
        <is>
          <t>ac-return-request</t>
        </is>
      </c>
      <c r="B17" s="641" t="inlineStr">
        <is>
          <t>story-return-request</t>
        </is>
      </c>
      <c r="C17" s="647" t="n">
        <v>1</v>
      </c>
      <c r="D17" s="641" t="inlineStr">
        <is>
          <t>系统拒绝超过可退数量的申请并记录审核结果。</t>
        </is>
      </c>
    </row>
    <row r="18" ht="34" customHeight="1">
      <c r="A18" s="641" t="inlineStr">
        <is>
          <t>ac-refund-payment</t>
        </is>
      </c>
      <c r="B18" s="641" t="inlineStr">
        <is>
          <t>story-refund-payment</t>
        </is>
      </c>
      <c r="C18" s="647" t="n">
        <v>1</v>
      </c>
      <c r="D18" s="641" t="inlineStr">
        <is>
          <t>退款结果回写订单且同一退货单不重复退款。</t>
        </is>
      </c>
    </row>
    <row r="19" ht="34" customHeight="1">
      <c r="A19" s="641" t="inlineStr">
        <is>
          <t>ac-store-order</t>
        </is>
      </c>
      <c r="B19" s="641" t="inlineStr">
        <is>
          <t>story-store-order</t>
        </is>
      </c>
      <c r="C19" s="647" t="n">
        <v>1</v>
      </c>
      <c r="D19" s="641" t="inlineStr">
        <is>
          <t>授权门店可以处理本店订单并完成交接记录。</t>
        </is>
      </c>
    </row>
    <row r="20" ht="34" customHeight="1">
      <c r="A20" s="641" t="inlineStr">
        <is>
          <t>ac-order-visibility</t>
        </is>
      </c>
      <c r="B20" s="641" t="inlineStr">
        <is>
          <t>story-order-visibility</t>
        </is>
      </c>
      <c r="C20" s="647" t="n">
        <v>1</v>
      </c>
      <c r="D20" s="641" t="inlineStr">
        <is>
          <t>顾客和客服看到一致的履约节点与异常原因。</t>
        </is>
      </c>
    </row>
    <row r="21" ht="34" customHeight="1">
      <c r="A21" s="641" t="inlineStr">
        <is>
          <t>ac-payment-reconciliation</t>
        </is>
      </c>
      <c r="B21" s="641" t="inlineStr">
        <is>
          <t>story-payment-reconciliation</t>
        </is>
      </c>
      <c r="C21" s="647" t="n">
        <v>1</v>
      </c>
      <c r="D21" s="641" t="inlineStr">
        <is>
          <t>前一自然日交易在 07:00 前完成对账并标识差异。</t>
        </is>
      </c>
    </row>
    <row r="22" ht="34" customHeight="1">
      <c r="A22" s="641" t="inlineStr">
        <is>
          <t>ac-payment-trace</t>
        </is>
      </c>
      <c r="B22" s="641" t="inlineStr">
        <is>
          <t>story-payment-reconciliation</t>
        </is>
      </c>
      <c r="C22" s="647" t="n">
        <v>2</v>
      </c>
      <c r="D22" s="641" t="inlineStr">
        <is>
          <t>每个差异项可以追溯到订单、支付交易和退款记录。</t>
        </is>
      </c>
    </row>
    <row r="23" ht="34" customHeight="1">
      <c r="A23" s="641" t="inlineStr">
        <is>
          <t>ac-einvoice</t>
        </is>
      </c>
      <c r="B23" s="641" t="inlineStr">
        <is>
          <t>story-einvoice</t>
        </is>
      </c>
      <c r="C23" s="647" t="n">
        <v>1</v>
      </c>
      <c r="D23" s="641" t="inlineStr">
        <is>
          <t>开票成功后保存发票号码和下载地址，失败时保存失败码。</t>
        </is>
      </c>
    </row>
    <row r="24" ht="34" customHeight="1">
      <c r="A24" s="641" t="inlineStr">
        <is>
          <t>ac-einvoice-idempotency</t>
        </is>
      </c>
      <c r="B24" s="641" t="inlineStr">
        <is>
          <t>story-einvoice</t>
        </is>
      </c>
      <c r="C24" s="647" t="n">
        <v>2</v>
      </c>
      <c r="D24" s="641" t="inlineStr">
        <is>
          <t>重复提交相同开票申请不会重复开票。</t>
        </is>
      </c>
    </row>
    <row r="25" ht="34" customHeight="1">
      <c r="A25" s="641" t="inlineStr">
        <is>
          <t>ac-finance-report</t>
        </is>
      </c>
      <c r="B25" s="641" t="inlineStr">
        <is>
          <t>story-finance-report</t>
        </is>
      </c>
      <c r="C25" s="647" t="n">
        <v>1</v>
      </c>
      <c r="D25" s="641" t="inlineStr">
        <is>
          <t>财务可按日期、区域和渠道查看已定义经营指标。</t>
        </is>
      </c>
    </row>
    <row r="26" ht="34" customHeight="1">
      <c r="A26" s="641" t="inlineStr">
        <is>
          <t>ac-finance-drilldown</t>
        </is>
      </c>
      <c r="B26" s="641" t="inlineStr">
        <is>
          <t>story-finance-report</t>
        </is>
      </c>
      <c r="C26" s="647" t="n">
        <v>2</v>
      </c>
      <c r="D26" s="641" t="inlineStr">
        <is>
          <t>报表金额可下钻到构成订单和对账状态。</t>
        </is>
      </c>
    </row>
    <row r="27" ht="34" customHeight="1">
      <c r="A27" s="641" t="inlineStr">
        <is>
          <t>ac-production-preparation</t>
        </is>
      </c>
      <c r="B27" s="641" t="inlineStr">
        <is>
          <t>story-production-preparation</t>
        </is>
      </c>
      <c r="C27" s="647" t="n">
        <v>1</v>
      </c>
      <c r="D27" s="641" t="inlineStr">
        <is>
          <t>生产参数、权限、制品和功能开关通过准备检查。</t>
        </is>
      </c>
    </row>
    <row r="28" ht="34" customHeight="1">
      <c r="A28" s="641" t="inlineStr">
        <is>
          <t>ac-production-cutover</t>
        </is>
      </c>
      <c r="B28" s="641" t="inlineStr">
        <is>
          <t>story-production-cutover</t>
        </is>
      </c>
      <c r="C28" s="647" t="n">
        <v>1</v>
      </c>
      <c r="D28" s="641" t="inlineStr">
        <is>
          <t>切换清单在批准窗口内完成且回滚演练有记录。</t>
        </is>
      </c>
    </row>
    <row r="29" ht="34" customHeight="1">
      <c r="A29" s="641" t="inlineStr">
        <is>
          <t>ac-production-validation</t>
        </is>
      </c>
      <c r="B29" s="641" t="inlineStr">
        <is>
          <t>story-production-validation</t>
        </is>
      </c>
      <c r="C29" s="647" t="n">
        <v>1</v>
      </c>
      <c r="D29" s="641" t="inlineStr">
        <is>
          <t>五条关键业务链路烟测通过并由业务负责人确认。</t>
        </is>
      </c>
    </row>
    <row r="30" ht="34" customHeight="1">
      <c r="A30" s="641" t="inlineStr">
        <is>
          <t>ac-data-migration</t>
        </is>
      </c>
      <c r="B30" s="641" t="inlineStr">
        <is>
          <t>story-data-migration</t>
        </is>
      </c>
      <c r="C30" s="647" t="n">
        <v>1</v>
      </c>
      <c r="D30" s="641" t="inlineStr">
        <is>
          <t>关键字段迁移前后一致率为 100%，重复业务主键为 0。</t>
        </is>
      </c>
    </row>
    <row r="31" ht="34" customHeight="1">
      <c r="A31" s="641" t="inlineStr">
        <is>
          <t>ac-observability</t>
        </is>
      </c>
      <c r="B31" s="641" t="inlineStr">
        <is>
          <t>story-observability</t>
        </is>
      </c>
      <c r="C31" s="647" t="n">
        <v>1</v>
      </c>
      <c r="D31" s="641" t="inlineStr">
        <is>
          <t>核心交易和财务作业指标均配置阈值、渠道与接收人。</t>
        </is>
      </c>
    </row>
    <row r="32" ht="34" customHeight="1">
      <c r="A32" s="641" t="inlineStr">
        <is>
          <t>ac-ops-handover</t>
        </is>
      </c>
      <c r="B32" s="641" t="inlineStr">
        <is>
          <t>story-ops-handover</t>
        </is>
      </c>
      <c r="C32" s="647" t="n">
        <v>1</v>
      </c>
      <c r="D32" s="641" t="inlineStr">
        <is>
          <t>运维手册、联系人和故障演练由运维经理签收。</t>
        </is>
      </c>
    </row>
    <row r="33" ht="34" customHeight="1">
      <c r="A33" s="641" t="inlineStr">
        <is>
          <t>ac-user-training</t>
        </is>
      </c>
      <c r="B33" s="641" t="inlineStr">
        <is>
          <t>story-user-training</t>
        </is>
      </c>
      <c r="C33" s="647" t="n">
        <v>1</v>
      </c>
      <c r="D33" s="641" t="inlineStr">
        <is>
          <t>门店、客服和财务培训完成并保留材料、签到和反馈。</t>
        </is>
      </c>
    </row>
    <row r="34" ht="34" customHeight="1">
      <c r="A34" s="641" t="inlineStr">
        <is>
          <t>ac-test-automation</t>
        </is>
      </c>
      <c r="B34" s="641" t="inlineStr">
        <is>
          <t>story-test-automation</t>
        </is>
      </c>
      <c r="C34" s="647" t="n">
        <v>1</v>
      </c>
      <c r="D34" s="641" t="inlineStr">
        <is>
          <t>P0/P1 自动化用例全部通过且核心查询达到 500 TPS。</t>
        </is>
      </c>
    </row>
    <row r="35" ht="34" customHeight="1">
      <c r="A35" s="641" t="inlineStr">
        <is>
          <t>ac-test-non-uat</t>
        </is>
      </c>
      <c r="B35" s="641" t="inlineStr">
        <is>
          <t>story-test-non-uat</t>
        </is>
      </c>
      <c r="C35" s="647" t="n">
        <v>1</v>
      </c>
      <c r="D35" s="641" t="inlineStr">
        <is>
          <t>支持的浏览器和设备矩阵通过工程回归且无阻断缺陷。</t>
        </is>
      </c>
    </row>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sheetData>
  <mergeCells count="2">
    <mergeCell ref="A1:D1"/>
    <mergeCell ref="A2:D2"/>
  </mergeCells>
  <dataValidations count="2">
    <dataValidation sqref="C5:C45" showDropDown="0" showInputMessage="0" showErrorMessage="0" allowBlank="0" type="whole" operator="greaterThanOrEqual">
      <formula1>1</formula1>
    </dataValidation>
    <dataValidation sqref="B5:B104" showDropDown="0" showInputMessage="0" showErrorMessage="0" allowBlank="0" type="list">
      <formula1>INDIRECT("'03-SOW主表'!$A$5:$A$104")</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504"/>
  <sheetViews>
    <sheetView showGridLines="0" workbookViewId="0">
      <pane ySplit="3" topLeftCell="A4" activePane="bottomLeft" state="frozen"/>
      <selection pane="bottomLeft" activeCell="A1" sqref="A1"/>
    </sheetView>
  </sheetViews>
  <sheetFormatPr baseColWidth="8" defaultColWidth="9" defaultRowHeight="16.79999923706055"/>
  <cols>
    <col width="20" customWidth="1" min="1" max="1"/>
    <col width="20" customWidth="1" min="2" max="2"/>
    <col width="48" customWidth="1" min="3" max="3"/>
    <col width="28" customWidth="1" min="4" max="4"/>
    <col width="18" customWidth="1" min="5" max="5"/>
    <col width="14" customWidth="1" min="6" max="6"/>
    <col width="36" customWidth="1" min="7" max="7"/>
    <col width="12" customWidth="1" min="8" max="8"/>
    <col width="36" customWidth="1" min="9" max="9"/>
    <col width="22" customWidth="1" min="10" max="10"/>
    <col width="17" customWidth="1" min="11" max="11"/>
    <col width="42" customWidth="1" min="12" max="12"/>
    <col width="14" customWidth="1" min="13" max="13"/>
    <col width="14" customWidth="1" min="14" max="14"/>
    <col width="14" customWidth="1" min="15" max="15"/>
  </cols>
  <sheetData>
    <row r="1" ht="31" customHeight="1">
      <c r="A1" s="390" t="inlineStr">
        <is>
          <t>任务明细（Task）</t>
        </is>
      </c>
      <c r="B1" s="635" t="n"/>
      <c r="C1" s="635" t="n"/>
      <c r="D1" s="635" t="n"/>
      <c r="E1" s="635" t="n"/>
      <c r="F1" s="635" t="n"/>
      <c r="G1" s="635" t="n"/>
      <c r="H1" s="635" t="n"/>
      <c r="I1" s="635" t="n"/>
      <c r="J1" s="635" t="n"/>
      <c r="K1" s="635" t="n"/>
      <c r="L1" s="635" t="n"/>
      <c r="M1" s="635" t="n"/>
      <c r="N1" s="635" t="n"/>
      <c r="O1" s="635" t="n"/>
    </row>
    <row r="2" ht="34" customHeight="1">
      <c r="A2" s="400" t="inlineStr">
        <is>
          <t>一行对应一个基础单元实例；任务族、基础人天、复杂度倍率和人天小计由模板派生；不使用活动、数量或 Story 类型。</t>
        </is>
      </c>
      <c r="B2" s="636" t="n"/>
      <c r="C2" s="636" t="n"/>
      <c r="D2" s="636" t="n"/>
      <c r="E2" s="636" t="n"/>
      <c r="F2" s="636" t="n"/>
      <c r="G2" s="636" t="n"/>
      <c r="H2" s="636" t="n"/>
      <c r="I2" s="636" t="n"/>
      <c r="J2" s="636" t="n"/>
      <c r="K2" s="636" t="n"/>
      <c r="L2" s="636" t="n"/>
      <c r="M2" s="636" t="n"/>
      <c r="N2" s="636" t="n"/>
      <c r="O2" s="636" t="n"/>
    </row>
    <row r="3" ht="9" customHeight="1"/>
    <row r="4" ht="38" customHeight="1">
      <c r="A4" s="453" t="inlineStr">
        <is>
          <t>Task ID</t>
        </is>
      </c>
      <c r="B4" s="453" t="inlineStr">
        <is>
          <t>Story ID</t>
        </is>
      </c>
      <c r="C4" s="453" t="inlineStr">
        <is>
          <t>任务说明</t>
        </is>
      </c>
      <c r="D4" s="453" t="inlineStr">
        <is>
          <t>基础单元ID</t>
        </is>
      </c>
      <c r="E4" s="453" t="inlineStr">
        <is>
          <t>任务族</t>
        </is>
      </c>
      <c r="F4" s="453" t="inlineStr">
        <is>
          <t>工作模式</t>
        </is>
      </c>
      <c r="G4" s="453" t="inlineStr">
        <is>
          <t>工作模式理由</t>
        </is>
      </c>
      <c r="H4" s="453" t="inlineStr">
        <is>
          <t>复杂度</t>
        </is>
      </c>
      <c r="I4" s="453" t="inlineStr">
        <is>
          <t>复杂度理由</t>
        </is>
      </c>
      <c r="J4" s="453" t="inlineStr">
        <is>
          <t>Integration ID</t>
        </is>
      </c>
      <c r="K4" s="453" t="inlineStr">
        <is>
          <t>系统现状匹配</t>
        </is>
      </c>
      <c r="L4" s="453" t="inlineStr">
        <is>
          <t>判断依据与备注</t>
        </is>
      </c>
      <c r="M4" s="453" t="inlineStr">
        <is>
          <t>基础人天</t>
        </is>
      </c>
      <c r="N4" s="453" t="inlineStr">
        <is>
          <t>复杂度倍率</t>
        </is>
      </c>
      <c r="O4" s="453" t="inlineStr">
        <is>
          <t>人天小计</t>
        </is>
      </c>
    </row>
    <row r="5" ht="38" customHeight="1">
      <c r="A5" s="641" t="inlineStr">
        <is>
          <t>task-customer-profile-page</t>
        </is>
      </c>
      <c r="B5" s="641" t="inlineStr">
        <is>
          <t>story-customer-profile</t>
        </is>
      </c>
      <c r="C5" s="641" t="inlineStr">
        <is>
          <t>调整客户档案页面和状态</t>
        </is>
      </c>
      <c r="D5" s="641" t="inlineStr">
        <is>
          <t>BU-UI-INTERACTION</t>
        </is>
      </c>
      <c r="E5" s="646">
        <f>IF(D5="","",IFERROR(INDEX(BaseUnitCatalogTable[任务族名称],MATCH(D5,BaseUnitCatalogTable[基础单元ID],0)),""))</f>
        <v/>
      </c>
      <c r="F5" s="642" t="inlineStr">
        <is>
          <t>调整</t>
        </is>
      </c>
      <c r="G5" s="648" t="inlineStr">
        <is>
          <t>沿用可复用的客户档案框架及其页面入口，修改本次交付范围内的界面状态和校验。</t>
        </is>
      </c>
      <c r="H5" s="649" t="inlineStr">
        <is>
          <t>S</t>
        </is>
      </c>
      <c r="I5" s="648" t="inlineStr">
        <is>
          <t>仅一个界面和单一路径，使用成熟组件，无复杂权限或跨界面状态恢复。</t>
        </is>
      </c>
      <c r="J5" s="648" t="inlineStr"/>
      <c r="K5" s="648" t="inlineStr">
        <is>
          <t>effective-start-customer-profile</t>
        </is>
      </c>
      <c r="L5" s="648" t="inlineStr">
        <is>
          <t>调整一个可独立验收的客户档案界面实例。</t>
        </is>
      </c>
      <c r="M5" s="645">
        <f>IF(OR(A5="",D5="",F5=""),"",IFERROR(IF(F5="新建",INDEX(BaseUnitCatalogTable[新建M档人天],MATCH(D5,BaseUnitCatalogTable[基础单元ID],0)),IF(F5="调整",INDEX(BaseUnitCatalogTable[调整M档人天],MATCH(D5,BaseUnitCatalogTable[基础单元ID],0)),IF(F5="接入复用",INDEX(BaseUnitCatalogTable[接入复用M档人天],MATCH(D5,BaseUnitCatalogTable[基础单元ID],0)),""))),""))</f>
        <v/>
      </c>
      <c r="N5" s="645">
        <f>IF(OR(A5="",H5=""),"",IFERROR(INDEX(ProjectParameterTable[值],MATCH("K_COMPLEXITY_"&amp;H5,ProjectParameterTable[参数代码],0)),""))</f>
        <v/>
      </c>
      <c r="O5" s="645">
        <f>IF(OR(A5="",NOT(ISNUMBER(M5)),NOT(ISNUMBER(N5))),"",ROUND(M5*N5,1))</f>
        <v/>
      </c>
    </row>
    <row r="6" ht="38" customHeight="1">
      <c r="A6" s="641" t="inlineStr">
        <is>
          <t>task-profile-api</t>
        </is>
      </c>
      <c r="B6" s="641" t="inlineStr">
        <is>
          <t>story-profile-api</t>
        </is>
      </c>
      <c r="C6" s="641" t="inlineStr">
        <is>
          <t>调整客户档案业务服务与接口</t>
        </is>
      </c>
      <c r="D6" s="641" t="inlineStr">
        <is>
          <t>BU-BUSINESS-SERVICE-API</t>
        </is>
      </c>
      <c r="E6" s="646">
        <f>IF(D6="","",IFERROR(INDEX(BaseUnitCatalogTable[任务族名称],MATCH(D6,BaseUnitCatalogTable[基础单元ID],0)),""))</f>
        <v/>
      </c>
      <c r="F6" s="642" t="inlineStr">
        <is>
          <t>调整</t>
        </is>
      </c>
      <c r="G6" s="648" t="inlineStr">
        <is>
          <t>保留可复用的客户档案框架对应的服务边界，扩展创建和检索规则及接口。</t>
        </is>
      </c>
      <c r="H6" s="649" t="inlineStr">
        <is>
          <t>M</t>
        </is>
      </c>
      <c r="I6" s="648" t="inlineStr"/>
      <c r="J6" s="648" t="inlineStr"/>
      <c r="K6" s="648" t="inlineStr">
        <is>
          <t>effective-start-customer-profile</t>
        </is>
      </c>
      <c r="L6" s="648" t="inlineStr">
        <is>
          <t>一组围绕客户档案操作的紧密相关接口，符合单实例计数口径。</t>
        </is>
      </c>
      <c r="M6" s="645">
        <f>IF(OR(A6="",D6="",F6=""),"",IFERROR(IF(F6="新建",INDEX(BaseUnitCatalogTable[新建M档人天],MATCH(D6,BaseUnitCatalogTable[基础单元ID],0)),IF(F6="调整",INDEX(BaseUnitCatalogTable[调整M档人天],MATCH(D6,BaseUnitCatalogTable[基础单元ID],0)),IF(F6="接入复用",INDEX(BaseUnitCatalogTable[接入复用M档人天],MATCH(D6,BaseUnitCatalogTable[基础单元ID],0)),""))),""))</f>
        <v/>
      </c>
      <c r="N6" s="645">
        <f>IF(OR(A6="",H6=""),"",IFERROR(INDEX(ProjectParameterTable[值],MATCH("K_COMPLEXITY_"&amp;H6,ProjectParameterTable[参数代码],0)),""))</f>
        <v/>
      </c>
      <c r="O6" s="645">
        <f>IF(OR(A6="",NOT(ISNUMBER(M6)),NOT(ISNUMBER(N6))),"",ROUND(M6*N6,1))</f>
        <v/>
      </c>
    </row>
    <row r="7" ht="38" customHeight="1">
      <c r="A7" s="641" t="inlineStr">
        <is>
          <t>task-profile-integration</t>
        </is>
      </c>
      <c r="B7" s="641" t="inlineStr">
        <is>
          <t>story-profile-integration</t>
        </is>
      </c>
      <c r="C7" s="641" t="inlineStr">
        <is>
          <t>接入内部客户档案 API</t>
        </is>
      </c>
      <c r="D7" s="641" t="inlineStr">
        <is>
          <t>BU-INTERNAL-INTEGRATION</t>
        </is>
      </c>
      <c r="E7" s="646">
        <f>IF(D7="","",IFERROR(INDEX(BaseUnitCatalogTable[任务族名称],MATCH(D7,BaseUnitCatalogTable[基础单元ID],0)),""))</f>
        <v/>
      </c>
      <c r="F7" s="642" t="inlineStr">
        <is>
          <t>接入复用</t>
        </is>
      </c>
      <c r="G7" s="648" t="inlineStr">
        <is>
          <t>可复用的客户档案框架保持不变；本项目负责并交付：认证、映射、适配。</t>
        </is>
      </c>
      <c r="H7" s="649" t="inlineStr">
        <is>
          <t>S</t>
        </is>
      </c>
      <c r="I7" s="648" t="inlineStr">
        <is>
          <t>同组织稳定接口、单向查询和简单字段映射，不涉及对端改造。</t>
        </is>
      </c>
      <c r="J7" s="648" t="inlineStr">
        <is>
          <t>integration-profile-api</t>
        </is>
      </c>
      <c r="K7" s="648" t="inlineStr">
        <is>
          <t>effective-start-customer-profile</t>
        </is>
      </c>
      <c r="L7" s="648" t="inlineStr">
        <is>
          <t>实现一个已登记的内部出站 Integration，不包含另行开展的 SIT。</t>
        </is>
      </c>
      <c r="M7" s="645">
        <f>IF(OR(A7="",D7="",F7=""),"",IFERROR(IF(F7="新建",INDEX(BaseUnitCatalogTable[新建M档人天],MATCH(D7,BaseUnitCatalogTable[基础单元ID],0)),IF(F7="调整",INDEX(BaseUnitCatalogTable[调整M档人天],MATCH(D7,BaseUnitCatalogTable[基础单元ID],0)),IF(F7="接入复用",INDEX(BaseUnitCatalogTable[接入复用M档人天],MATCH(D7,BaseUnitCatalogTable[基础单元ID],0)),""))),""))</f>
        <v/>
      </c>
      <c r="N7" s="645">
        <f>IF(OR(A7="",H7=""),"",IFERROR(INDEX(ProjectParameterTable[值],MATCH("K_COMPLEXITY_"&amp;H7,ProjectParameterTable[参数代码],0)),""))</f>
        <v/>
      </c>
      <c r="O7" s="645">
        <f>IF(OR(A7="",NOT(ISNUMBER(M7)),NOT(ISNUMBER(N7))),"",ROUND(M7*N7,1))</f>
        <v/>
      </c>
    </row>
    <row r="8" ht="38" customHeight="1">
      <c r="A8" s="641" t="inlineStr">
        <is>
          <t>task-customer-profile-model</t>
        </is>
      </c>
      <c r="B8" s="641" t="inlineStr">
        <is>
          <t>story-customer-profile</t>
        </is>
      </c>
      <c r="C8" s="641" t="inlineStr">
        <is>
          <t>调整可复用的客户档案框架字段模型</t>
        </is>
      </c>
      <c r="D8" s="641" t="inlineStr">
        <is>
          <t>BU-DATA-MODEL</t>
        </is>
      </c>
      <c r="E8" s="646">
        <f>IF(D8="","",IFERROR(INDEX(BaseUnitCatalogTable[任务族名称],MATCH(D8,BaseUnitCatalogTable[基础单元ID],0)),""))</f>
        <v/>
      </c>
      <c r="F8" s="642" t="inlineStr">
        <is>
          <t>调整</t>
        </is>
      </c>
      <c r="G8" s="648" t="inlineStr">
        <is>
          <t>在可复用的客户档案框架中增加一期顺延字段、授权标识和变更审计列。</t>
        </is>
      </c>
      <c r="H8" s="649" t="inlineStr">
        <is>
          <t>M</t>
        </is>
      </c>
      <c r="I8" s="648" t="inlineStr"/>
      <c r="J8" s="648" t="inlineStr"/>
      <c r="K8" s="648" t="inlineStr">
        <is>
          <t>effective-start-customer-profile</t>
        </is>
      </c>
      <c r="L8" s="648" t="inlineStr">
        <is>
          <t>一个客户档案数据模型实例，覆盖字段、约束和审计列。</t>
        </is>
      </c>
      <c r="M8" s="645">
        <f>IF(OR(A8="",D8="",F8=""),"",IFERROR(IF(F8="新建",INDEX(BaseUnitCatalogTable[新建M档人天],MATCH(D8,BaseUnitCatalogTable[基础单元ID],0)),IF(F8="调整",INDEX(BaseUnitCatalogTable[调整M档人天],MATCH(D8,BaseUnitCatalogTable[基础单元ID],0)),IF(F8="接入复用",INDEX(BaseUnitCatalogTable[接入复用M档人天],MATCH(D8,BaseUnitCatalogTable[基础单元ID],0)),""))),""))</f>
        <v/>
      </c>
      <c r="N8" s="645">
        <f>IF(OR(A8="",H8=""),"",IFERROR(INDEX(ProjectParameterTable[值],MATCH("K_COMPLEXITY_"&amp;H8,ProjectParameterTable[参数代码],0)),""))</f>
        <v/>
      </c>
      <c r="O8" s="645">
        <f>IF(OR(A8="",NOT(ISNUMBER(M8)),NOT(ISNUMBER(N8))),"",ROUND(M8*N8,1))</f>
        <v/>
      </c>
    </row>
    <row r="9" ht="38" customHeight="1">
      <c r="A9" s="641" t="inlineStr">
        <is>
          <t>task-profile-identity</t>
        </is>
      </c>
      <c r="B9" s="641" t="inlineStr">
        <is>
          <t>story-profile-api</t>
        </is>
      </c>
      <c r="C9" s="641" t="inlineStr">
        <is>
          <t>建立档案 API 身份与字段权限</t>
        </is>
      </c>
      <c r="D9" s="641" t="inlineStr">
        <is>
          <t>BU-IDENTITY-ACCESS</t>
        </is>
      </c>
      <c r="E9" s="646">
        <f>IF(D9="","",IFERROR(INDEX(BaseUnitCatalogTable[任务族名称],MATCH(D9,BaseUnitCatalogTable[基础单元ID],0)),""))</f>
        <v/>
      </c>
      <c r="F9" s="642" t="inlineStr">
        <is>
          <t>新建</t>
        </is>
      </c>
      <c r="G9" s="648" t="inlineStr">
        <is>
          <t>为档案 API 新增角色、权限范围和敏感字段过滤规则。</t>
        </is>
      </c>
      <c r="H9" s="649" t="inlineStr">
        <is>
          <t>M</t>
        </is>
      </c>
      <c r="I9" s="648" t="inlineStr"/>
      <c r="J9" s="648" t="inlineStr"/>
      <c r="K9" s="648" t="inlineStr"/>
      <c r="L9" s="648" t="inlineStr">
        <is>
          <t>一个档案 API 权限控制实例，覆盖门店、客服和会员三类主体。</t>
        </is>
      </c>
      <c r="M9" s="645">
        <f>IF(OR(A9="",D9="",F9=""),"",IFERROR(IF(F9="新建",INDEX(BaseUnitCatalogTable[新建M档人天],MATCH(D9,BaseUnitCatalogTable[基础单元ID],0)),IF(F9="调整",INDEX(BaseUnitCatalogTable[调整M档人天],MATCH(D9,BaseUnitCatalogTable[基础单元ID],0)),IF(F9="接入复用",INDEX(BaseUnitCatalogTable[接入复用M档人天],MATCH(D9,BaseUnitCatalogTable[基础单元ID],0)),""))),""))</f>
        <v/>
      </c>
      <c r="N9" s="645">
        <f>IF(OR(A9="",H9=""),"",IFERROR(INDEX(ProjectParameterTable[值],MATCH("K_COMPLEXITY_"&amp;H9,ProjectParameterTable[参数代码],0)),""))</f>
        <v/>
      </c>
      <c r="O9" s="645">
        <f>IF(OR(A9="",NOT(ISNUMBER(M9)),NOT(ISNUMBER(N9))),"",ROUND(M9*N9,1))</f>
        <v/>
      </c>
    </row>
    <row r="10" ht="38" customHeight="1">
      <c r="A10" s="641" t="inlineStr">
        <is>
          <t>task-member-tier-service</t>
        </is>
      </c>
      <c r="B10" s="641" t="inlineStr">
        <is>
          <t>story-member-tier</t>
        </is>
      </c>
      <c r="C10" s="641" t="inlineStr">
        <is>
          <t>调整既有会员主数据模型的等级计算服务</t>
        </is>
      </c>
      <c r="D10" s="641" t="inlineStr">
        <is>
          <t>BU-BUSINESS-SERVICE-API</t>
        </is>
      </c>
      <c r="E10" s="646">
        <f>IF(D10="","",IFERROR(INDEX(BaseUnitCatalogTable[任务族名称],MATCH(D10,BaseUnitCatalogTable[基础单元ID],0)),""))</f>
        <v/>
      </c>
      <c r="F10" s="642" t="inlineStr">
        <is>
          <t>调整</t>
        </is>
      </c>
      <c r="G10" s="648" t="inlineStr">
        <is>
          <t>基于既有会员主数据模型新增等级试算、生效和查询操作。</t>
        </is>
      </c>
      <c r="H10" s="649" t="inlineStr">
        <is>
          <t>M</t>
        </is>
      </c>
      <c r="I10" s="648" t="inlineStr"/>
      <c r="J10" s="648" t="inlineStr"/>
      <c r="K10" s="648" t="inlineStr">
        <is>
          <t>effective-start-member-master</t>
        </is>
      </c>
      <c r="L10" s="648" t="inlineStr">
        <is>
          <t>一组围绕等级规则生效的紧密相关业务操作。</t>
        </is>
      </c>
      <c r="M10" s="645">
        <f>IF(OR(A10="",D10="",F10=""),"",IFERROR(IF(F10="新建",INDEX(BaseUnitCatalogTable[新建M档人天],MATCH(D10,BaseUnitCatalogTable[基础单元ID],0)),IF(F10="调整",INDEX(BaseUnitCatalogTable[调整M档人天],MATCH(D10,BaseUnitCatalogTable[基础单元ID],0)),IF(F10="接入复用",INDEX(BaseUnitCatalogTable[接入复用M档人天],MATCH(D10,BaseUnitCatalogTable[基础单元ID],0)),""))),""))</f>
        <v/>
      </c>
      <c r="N10" s="645">
        <f>IF(OR(A10="",H10=""),"",IFERROR(INDEX(ProjectParameterTable[值],MATCH("K_COMPLEXITY_"&amp;H10,ProjectParameterTable[参数代码],0)),""))</f>
        <v/>
      </c>
      <c r="O10" s="645">
        <f>IF(OR(A10="",NOT(ISNUMBER(M10)),NOT(ISNUMBER(N10))),"",ROUND(M10*N10,1))</f>
        <v/>
      </c>
    </row>
    <row r="11" ht="38" customHeight="1">
      <c r="A11" s="641" t="inlineStr">
        <is>
          <t>task-member-tier-model</t>
        </is>
      </c>
      <c r="B11" s="641" t="inlineStr">
        <is>
          <t>story-member-tier</t>
        </is>
      </c>
      <c r="C11" s="641" t="inlineStr">
        <is>
          <t>调整既有会员主数据模型的等级历史</t>
        </is>
      </c>
      <c r="D11" s="641" t="inlineStr">
        <is>
          <t>BU-DATA-MODEL</t>
        </is>
      </c>
      <c r="E11" s="646">
        <f>IF(D11="","",IFERROR(INDEX(BaseUnitCatalogTable[任务族名称],MATCH(D11,BaseUnitCatalogTable[基础单元ID],0)),""))</f>
        <v/>
      </c>
      <c r="F11" s="642" t="inlineStr">
        <is>
          <t>调整</t>
        </is>
      </c>
      <c r="G11" s="648" t="inlineStr">
        <is>
          <t>扩展既有会员主数据模型，增加规则版本、生效区间和等级变更历史。</t>
        </is>
      </c>
      <c r="H11" s="649" t="inlineStr">
        <is>
          <t>S</t>
        </is>
      </c>
      <c r="I11" s="648" t="inlineStr">
        <is>
          <t>新增两张关系清晰的历史表和唯一性约束，不涉及分区或跨库事务。</t>
        </is>
      </c>
      <c r="J11" s="648" t="inlineStr"/>
      <c r="K11" s="648" t="inlineStr">
        <is>
          <t>effective-start-member-master</t>
        </is>
      </c>
      <c r="L11" s="648" t="inlineStr">
        <is>
          <t>一个会员等级数据模型实例。</t>
        </is>
      </c>
      <c r="M11" s="645">
        <f>IF(OR(A11="",D11="",F11=""),"",IFERROR(IF(F11="新建",INDEX(BaseUnitCatalogTable[新建M档人天],MATCH(D11,BaseUnitCatalogTable[基础单元ID],0)),IF(F11="调整",INDEX(BaseUnitCatalogTable[调整M档人天],MATCH(D11,BaseUnitCatalogTable[基础单元ID],0)),IF(F11="接入复用",INDEX(BaseUnitCatalogTable[接入复用M档人天],MATCH(D11,BaseUnitCatalogTable[基础单元ID],0)),""))),""))</f>
        <v/>
      </c>
      <c r="N11" s="645">
        <f>IF(OR(A11="",H11=""),"",IFERROR(INDEX(ProjectParameterTable[值],MATCH("K_COMPLEXITY_"&amp;H11,ProjectParameterTable[参数代码],0)),""))</f>
        <v/>
      </c>
      <c r="O11" s="645">
        <f>IF(OR(A11="",NOT(ISNUMBER(M11)),NOT(ISNUMBER(N11))),"",ROUND(M11*N11,1))</f>
        <v/>
      </c>
    </row>
    <row r="12" ht="38" customHeight="1">
      <c r="A12" s="641" t="inlineStr">
        <is>
          <t>task-order-create-page</t>
        </is>
      </c>
      <c r="B12" s="641" t="inlineStr">
        <is>
          <t>story-order-create</t>
        </is>
      </c>
      <c r="C12" s="641" t="inlineStr">
        <is>
          <t>新建全渠道订单创建交互</t>
        </is>
      </c>
      <c r="D12" s="641" t="inlineStr">
        <is>
          <t>BU-UI-INTERACTION</t>
        </is>
      </c>
      <c r="E12" s="646">
        <f>IF(D12="","",IFERROR(INDEX(BaseUnitCatalogTable[任务族名称],MATCH(D12,BaseUnitCatalogTable[基础单元ID],0)),""))</f>
        <v/>
      </c>
      <c r="F12" s="642" t="inlineStr">
        <is>
          <t>新建</t>
        </is>
      </c>
      <c r="G12" s="648" t="inlineStr">
        <is>
          <t>新增门店与线上共用的价格、权益和履约方式校验交互。</t>
        </is>
      </c>
      <c r="H12" s="649" t="inlineStr">
        <is>
          <t>M</t>
        </is>
      </c>
      <c r="I12" s="648" t="inlineStr"/>
      <c r="J12" s="648" t="inlineStr"/>
      <c r="K12" s="648" t="inlineStr"/>
      <c r="L12" s="648" t="inlineStr">
        <is>
          <t>一个订单创建主流程界面实例，包含统一校验和错误反馈。</t>
        </is>
      </c>
      <c r="M12" s="645">
        <f>IF(OR(A12="",D12="",F12=""),"",IFERROR(IF(F12="新建",INDEX(BaseUnitCatalogTable[新建M档人天],MATCH(D12,BaseUnitCatalogTable[基础单元ID],0)),IF(F12="调整",INDEX(BaseUnitCatalogTable[调整M档人天],MATCH(D12,BaseUnitCatalogTable[基础单元ID],0)),IF(F12="接入复用",INDEX(BaseUnitCatalogTable[接入复用M档人天],MATCH(D12,BaseUnitCatalogTable[基础单元ID],0)),""))),""))</f>
        <v/>
      </c>
      <c r="N12" s="645">
        <f>IF(OR(A12="",H12=""),"",IFERROR(INDEX(ProjectParameterTable[值],MATCH("K_COMPLEXITY_"&amp;H12,ProjectParameterTable[参数代码],0)),""))</f>
        <v/>
      </c>
      <c r="O12" s="645">
        <f>IF(OR(A12="",NOT(ISNUMBER(M12)),NOT(ISNUMBER(N12))),"",ROUND(M12*N12,1))</f>
        <v/>
      </c>
    </row>
    <row r="13" ht="38" customHeight="1">
      <c r="A13" s="641" t="inlineStr">
        <is>
          <t>task-order-create-service</t>
        </is>
      </c>
      <c r="B13" s="641" t="inlineStr">
        <is>
          <t>story-order-create</t>
        </is>
      </c>
      <c r="C13" s="641" t="inlineStr">
        <is>
          <t>新建全渠道订单创建服务</t>
        </is>
      </c>
      <c r="D13" s="641" t="inlineStr">
        <is>
          <t>BU-BUSINESS-SERVICE-API</t>
        </is>
      </c>
      <c r="E13" s="646">
        <f>IF(D13="","",IFERROR(INDEX(BaseUnitCatalogTable[任务族名称],MATCH(D13,BaseUnitCatalogTable[基础单元ID],0)),""))</f>
        <v/>
      </c>
      <c r="F13" s="642" t="inlineStr">
        <is>
          <t>新建</t>
        </is>
      </c>
      <c r="G13" s="648" t="inlineStr">
        <is>
          <t>新增跨渠道订单创建、价格快照、权益核验和幂等控制。</t>
        </is>
      </c>
      <c r="H13" s="649" t="inlineStr">
        <is>
          <t>L</t>
        </is>
      </c>
      <c r="I13" s="648" t="inlineStr">
        <is>
          <t>涉及门店与线上两类渠道、四项业务校验、跨域价格权益快照和并发幂等。</t>
        </is>
      </c>
      <c r="J13" s="648" t="inlineStr"/>
      <c r="K13" s="648" t="inlineStr"/>
      <c r="L13" s="648" t="inlineStr">
        <is>
          <t>一个全渠道订单创建服务实例。</t>
        </is>
      </c>
      <c r="M13" s="645">
        <f>IF(OR(A13="",D13="",F13=""),"",IFERROR(IF(F13="新建",INDEX(BaseUnitCatalogTable[新建M档人天],MATCH(D13,BaseUnitCatalogTable[基础单元ID],0)),IF(F13="调整",INDEX(BaseUnitCatalogTable[调整M档人天],MATCH(D13,BaseUnitCatalogTable[基础单元ID],0)),IF(F13="接入复用",INDEX(BaseUnitCatalogTable[接入复用M档人天],MATCH(D13,BaseUnitCatalogTable[基础单元ID],0)),""))),""))</f>
        <v/>
      </c>
      <c r="N13" s="645">
        <f>IF(OR(A13="",H13=""),"",IFERROR(INDEX(ProjectParameterTable[值],MATCH("K_COMPLEXITY_"&amp;H13,ProjectParameterTable[参数代码],0)),""))</f>
        <v/>
      </c>
      <c r="O13" s="645">
        <f>IF(OR(A13="",NOT(ISNUMBER(M13)),NOT(ISNUMBER(N13))),"",ROUND(M13*N13,1))</f>
        <v/>
      </c>
    </row>
    <row r="14" ht="38" customHeight="1">
      <c r="A14" s="641" t="inlineStr">
        <is>
          <t>task-order-state-service</t>
        </is>
      </c>
      <c r="B14" s="641" t="inlineStr">
        <is>
          <t>story-order-state</t>
        </is>
      </c>
      <c r="C14" s="641" t="inlineStr">
        <is>
          <t>调整既有订单服务与状态机</t>
        </is>
      </c>
      <c r="D14" s="641" t="inlineStr">
        <is>
          <t>BU-BUSINESS-SERVICE-API</t>
        </is>
      </c>
      <c r="E14" s="646">
        <f>IF(D14="","",IFERROR(INDEX(BaseUnitCatalogTable[任务族名称],MATCH(D14,BaseUnitCatalogTable[基础单元ID],0)),""))</f>
        <v/>
      </c>
      <c r="F14" s="642" t="inlineStr">
        <is>
          <t>调整</t>
        </is>
      </c>
      <c r="G14" s="648" t="inlineStr">
        <is>
          <t>扩展既有订单服务与状态机，增加门店接单、退货、退款和开票状态。</t>
        </is>
      </c>
      <c r="H14" s="649" t="inlineStr">
        <is>
          <t>M</t>
        </is>
      </c>
      <c r="I14" s="648" t="inlineStr"/>
      <c r="J14" s="648" t="inlineStr"/>
      <c r="K14" s="648" t="inlineStr">
        <is>
          <t>effective-start-order-service</t>
        </is>
      </c>
      <c r="L14" s="648" t="inlineStr">
        <is>
          <t>一个订单状态机调整实例，包含新增状态、命令和合法迁移。</t>
        </is>
      </c>
      <c r="M14" s="645">
        <f>IF(OR(A14="",D14="",F14=""),"",IFERROR(IF(F14="新建",INDEX(BaseUnitCatalogTable[新建M档人天],MATCH(D14,BaseUnitCatalogTable[基础单元ID],0)),IF(F14="调整",INDEX(BaseUnitCatalogTable[调整M档人天],MATCH(D14,BaseUnitCatalogTable[基础单元ID],0)),IF(F14="接入复用",INDEX(BaseUnitCatalogTable[接入复用M档人天],MATCH(D14,BaseUnitCatalogTable[基础单元ID],0)),""))),""))</f>
        <v/>
      </c>
      <c r="N14" s="645">
        <f>IF(OR(A14="",H14=""),"",IFERROR(INDEX(ProjectParameterTable[值],MATCH("K_COMPLEXITY_"&amp;H14,ProjectParameterTable[参数代码],0)),""))</f>
        <v/>
      </c>
      <c r="O14" s="645">
        <f>IF(OR(A14="",NOT(ISNUMBER(M14)),NOT(ISNUMBER(N14))),"",ROUND(M14*N14,1))</f>
        <v/>
      </c>
    </row>
    <row r="15" ht="38" customHeight="1">
      <c r="A15" s="641" t="inlineStr">
        <is>
          <t>task-order-state-events</t>
        </is>
      </c>
      <c r="B15" s="641" t="inlineStr">
        <is>
          <t>story-order-state</t>
        </is>
      </c>
      <c r="C15" s="641" t="inlineStr">
        <is>
          <t>新建订单状态事件处理</t>
        </is>
      </c>
      <c r="D15" s="641" t="inlineStr">
        <is>
          <t>BU-EVENT-MESSAGE</t>
        </is>
      </c>
      <c r="E15" s="646">
        <f>IF(D15="","",IFERROR(INDEX(BaseUnitCatalogTable[任务族名称],MATCH(D15,BaseUnitCatalogTable[基础单元ID],0)),""))</f>
        <v/>
      </c>
      <c r="F15" s="642" t="inlineStr">
        <is>
          <t>新建</t>
        </is>
      </c>
      <c r="G15" s="648" t="inlineStr">
        <is>
          <t>新增带事件编号、业务键和重放保护的订单状态事件。</t>
        </is>
      </c>
      <c r="H15" s="649" t="inlineStr">
        <is>
          <t>L</t>
        </is>
      </c>
      <c r="I15" s="648" t="inlineStr">
        <is>
          <t>覆盖九类状态事件、顺序保证、重复消费和失败重放，并被多个下游订阅。</t>
        </is>
      </c>
      <c r="J15" s="648" t="inlineStr"/>
      <c r="K15" s="648" t="inlineStr"/>
      <c r="L15" s="648" t="inlineStr">
        <is>
          <t>一个订单状态事件主题及其生产消费处理实例。</t>
        </is>
      </c>
      <c r="M15" s="645">
        <f>IF(OR(A15="",D15="",F15=""),"",IFERROR(IF(F15="新建",INDEX(BaseUnitCatalogTable[新建M档人天],MATCH(D15,BaseUnitCatalogTable[基础单元ID],0)),IF(F15="调整",INDEX(BaseUnitCatalogTable[调整M档人天],MATCH(D15,BaseUnitCatalogTable[基础单元ID],0)),IF(F15="接入复用",INDEX(BaseUnitCatalogTable[接入复用M档人天],MATCH(D15,BaseUnitCatalogTable[基础单元ID],0)),""))),""))</f>
        <v/>
      </c>
      <c r="N15" s="645">
        <f>IF(OR(A15="",H15=""),"",IFERROR(INDEX(ProjectParameterTable[值],MATCH("K_COMPLEXITY_"&amp;H15,ProjectParameterTable[参数代码],0)),""))</f>
        <v/>
      </c>
      <c r="O15" s="645">
        <f>IF(OR(A15="",NOT(ISNUMBER(M15)),NOT(ISNUMBER(N15))),"",ROUND(M15*N15,1))</f>
        <v/>
      </c>
    </row>
    <row r="16" ht="38" customHeight="1">
      <c r="A16" s="641" t="inlineStr">
        <is>
          <t>task-erp-reservation-integration</t>
        </is>
      </c>
      <c r="B16" s="641" t="inlineStr">
        <is>
          <t>story-inventory-reservation</t>
        </is>
      </c>
      <c r="C16" s="641" t="inlineStr">
        <is>
          <t>接入既有 ERP 库存接口</t>
        </is>
      </c>
      <c r="D16" s="641" t="inlineStr">
        <is>
          <t>BU-INTERNAL-INTEGRATION</t>
        </is>
      </c>
      <c r="E16" s="646">
        <f>IF(D16="","",IFERROR(INDEX(BaseUnitCatalogTable[任务族名称],MATCH(D16,BaseUnitCatalogTable[基础单元ID],0)),""))</f>
        <v/>
      </c>
      <c r="F16" s="642" t="inlineStr">
        <is>
          <t>接入复用</t>
        </is>
      </c>
      <c r="G16" s="648" t="inlineStr">
        <is>
          <t>既有 ERP 库存接口保持不变；本项目负责并交付：映射、适配、认证、专项验证。</t>
        </is>
      </c>
      <c r="H16" s="649" t="inlineStr">
        <is>
          <t>M</t>
        </is>
      </c>
      <c r="I16" s="648" t="inlineStr"/>
      <c r="J16" s="648" t="inlineStr">
        <is>
          <t>integration-erp-reservation</t>
        </is>
      </c>
      <c r="K16" s="648" t="inlineStr">
        <is>
          <t>effective-start-erp-interface</t>
        </is>
      </c>
      <c r="L16" s="648" t="inlineStr">
        <is>
          <t>实现一个已登记的内部 ERP 库存 Integration，SIT 人天由集成表公式另计。</t>
        </is>
      </c>
      <c r="M16" s="645">
        <f>IF(OR(A16="",D16="",F16=""),"",IFERROR(IF(F16="新建",INDEX(BaseUnitCatalogTable[新建M档人天],MATCH(D16,BaseUnitCatalogTable[基础单元ID],0)),IF(F16="调整",INDEX(BaseUnitCatalogTable[调整M档人天],MATCH(D16,BaseUnitCatalogTable[基础单元ID],0)),IF(F16="接入复用",INDEX(BaseUnitCatalogTable[接入复用M档人天],MATCH(D16,BaseUnitCatalogTable[基础单元ID],0)),""))),""))</f>
        <v/>
      </c>
      <c r="N16" s="645">
        <f>IF(OR(A16="",H16=""),"",IFERROR(INDEX(ProjectParameterTable[值],MATCH("K_COMPLEXITY_"&amp;H16,ProjectParameterTable[参数代码],0)),""))</f>
        <v/>
      </c>
      <c r="O16" s="645">
        <f>IF(OR(A16="",NOT(ISNUMBER(M16)),NOT(ISNUMBER(N16))),"",ROUND(M16*N16,1))</f>
        <v/>
      </c>
    </row>
    <row r="17" ht="38" customHeight="1">
      <c r="A17" s="641" t="inlineStr">
        <is>
          <t>task-inventory-sit</t>
        </is>
      </c>
      <c r="B17" s="641" t="inlineStr">
        <is>
          <t>story-inventory-reservation</t>
        </is>
      </c>
      <c r="C17" s="641" t="inlineStr">
        <is>
          <t>验证库存预占幂等与补偿</t>
        </is>
      </c>
      <c r="D17" s="641" t="inlineStr">
        <is>
          <t>BU-MANUAL-TESTING</t>
        </is>
      </c>
      <c r="E17" s="646">
        <f>IF(D17="","",IFERROR(INDEX(BaseUnitCatalogTable[任务族名称],MATCH(D17,BaseUnitCatalogTable[基础单元ID],0)),""))</f>
        <v/>
      </c>
      <c r="F17" s="642" t="inlineStr">
        <is>
          <t>新建</t>
        </is>
      </c>
      <c r="G17" s="648" t="inlineStr">
        <is>
          <t>新增 ERP 超时、重试、重复请求和释放失败的人工验证场景。</t>
        </is>
      </c>
      <c r="H17" s="649" t="inlineStr">
        <is>
          <t>S</t>
        </is>
      </c>
      <c r="I17" s="648" t="inlineStr">
        <is>
          <t>集中验证四个已定义异常场景，数据准备简单且无需跨设备矩阵。</t>
        </is>
      </c>
      <c r="J17" s="648" t="inlineStr"/>
      <c r="K17" s="648" t="inlineStr"/>
      <c r="L17" s="648" t="inlineStr">
        <is>
          <t>一个库存集成专项人工测试实例，不替代集成支持 SIT 公式。</t>
        </is>
      </c>
      <c r="M17" s="645">
        <f>IF(OR(A17="",D17="",F17=""),"",IFERROR(IF(F17="新建",INDEX(BaseUnitCatalogTable[新建M档人天],MATCH(D17,BaseUnitCatalogTable[基础单元ID],0)),IF(F17="调整",INDEX(BaseUnitCatalogTable[调整M档人天],MATCH(D17,BaseUnitCatalogTable[基础单元ID],0)),IF(F17="接入复用",INDEX(BaseUnitCatalogTable[接入复用M档人天],MATCH(D17,BaseUnitCatalogTable[基础单元ID],0)),""))),""))</f>
        <v/>
      </c>
      <c r="N17" s="645">
        <f>IF(OR(A17="",H17=""),"",IFERROR(INDEX(ProjectParameterTable[值],MATCH("K_COMPLEXITY_"&amp;H17,ProjectParameterTable[参数代码],0)),""))</f>
        <v/>
      </c>
      <c r="O17" s="645">
        <f>IF(OR(A17="",NOT(ISNUMBER(M17)),NOT(ISNUMBER(N17))),"",ROUND(M17*N17,1))</f>
        <v/>
      </c>
    </row>
    <row r="18" ht="38" customHeight="1">
      <c r="A18" s="641" t="inlineStr">
        <is>
          <t>task-return-page</t>
        </is>
      </c>
      <c r="B18" s="641" t="inlineStr">
        <is>
          <t>story-return-request</t>
        </is>
      </c>
      <c r="C18" s="641" t="inlineStr">
        <is>
          <t>新建退货申请与审核交互</t>
        </is>
      </c>
      <c r="D18" s="641" t="inlineStr">
        <is>
          <t>BU-UI-INTERACTION</t>
        </is>
      </c>
      <c r="E18" s="646">
        <f>IF(D18="","",IFERROR(INDEX(BaseUnitCatalogTable[任务族名称],MATCH(D18,BaseUnitCatalogTable[基础单元ID],0)),""))</f>
        <v/>
      </c>
      <c r="F18" s="642" t="inlineStr">
        <is>
          <t>新建</t>
        </is>
      </c>
      <c r="G18" s="648" t="inlineStr">
        <is>
          <t>新增门店和客服使用的退货明细、可退校验和审核反馈。</t>
        </is>
      </c>
      <c r="H18" s="649" t="inlineStr">
        <is>
          <t>M</t>
        </is>
      </c>
      <c r="I18" s="648" t="inlineStr"/>
      <c r="J18" s="648" t="inlineStr"/>
      <c r="K18" s="648" t="inlineStr"/>
      <c r="L18" s="648" t="inlineStr">
        <is>
          <t>一个退货申请与审核主流程界面实例。</t>
        </is>
      </c>
      <c r="M18" s="645">
        <f>IF(OR(A18="",D18="",F18=""),"",IFERROR(IF(F18="新建",INDEX(BaseUnitCatalogTable[新建M档人天],MATCH(D18,BaseUnitCatalogTable[基础单元ID],0)),IF(F18="调整",INDEX(BaseUnitCatalogTable[调整M档人天],MATCH(D18,BaseUnitCatalogTable[基础单元ID],0)),IF(F18="接入复用",INDEX(BaseUnitCatalogTable[接入复用M档人天],MATCH(D18,BaseUnitCatalogTable[基础单元ID],0)),""))),""))</f>
        <v/>
      </c>
      <c r="N18" s="645">
        <f>IF(OR(A18="",H18=""),"",IFERROR(INDEX(ProjectParameterTable[值],MATCH("K_COMPLEXITY_"&amp;H18,ProjectParameterTable[参数代码],0)),""))</f>
        <v/>
      </c>
      <c r="O18" s="645">
        <f>IF(OR(A18="",NOT(ISNUMBER(M18)),NOT(ISNUMBER(N18))),"",ROUND(M18*N18,1))</f>
        <v/>
      </c>
    </row>
    <row r="19" ht="38" customHeight="1">
      <c r="A19" s="641" t="inlineStr">
        <is>
          <t>task-return-service</t>
        </is>
      </c>
      <c r="B19" s="641" t="inlineStr">
        <is>
          <t>story-return-request</t>
        </is>
      </c>
      <c r="C19" s="641" t="inlineStr">
        <is>
          <t>调整既有订单服务与状态机的退货规则</t>
        </is>
      </c>
      <c r="D19" s="641" t="inlineStr">
        <is>
          <t>BU-BUSINESS-SERVICE-API</t>
        </is>
      </c>
      <c r="E19" s="646">
        <f>IF(D19="","",IFERROR(INDEX(BaseUnitCatalogTable[任务族名称],MATCH(D19,BaseUnitCatalogTable[基础单元ID],0)),""))</f>
        <v/>
      </c>
      <c r="F19" s="642" t="inlineStr">
        <is>
          <t>调整</t>
        </is>
      </c>
      <c r="G19" s="648" t="inlineStr">
        <is>
          <t>在既有订单服务与状态机中增加可退数量、退货审核和退货单状态。</t>
        </is>
      </c>
      <c r="H19" s="649" t="inlineStr">
        <is>
          <t>M</t>
        </is>
      </c>
      <c r="I19" s="648" t="inlineStr"/>
      <c r="J19" s="648" t="inlineStr"/>
      <c r="K19" s="648" t="inlineStr">
        <is>
          <t>effective-start-order-service</t>
        </is>
      </c>
      <c r="L19" s="648" t="inlineStr">
        <is>
          <t>一个退货领域服务调整实例。</t>
        </is>
      </c>
      <c r="M19" s="645">
        <f>IF(OR(A19="",D19="",F19=""),"",IFERROR(IF(F19="新建",INDEX(BaseUnitCatalogTable[新建M档人天],MATCH(D19,BaseUnitCatalogTable[基础单元ID],0)),IF(F19="调整",INDEX(BaseUnitCatalogTable[调整M档人天],MATCH(D19,BaseUnitCatalogTable[基础单元ID],0)),IF(F19="接入复用",INDEX(BaseUnitCatalogTable[接入复用M档人天],MATCH(D19,BaseUnitCatalogTable[基础单元ID],0)),""))),""))</f>
        <v/>
      </c>
      <c r="N19" s="645">
        <f>IF(OR(A19="",H19=""),"",IFERROR(INDEX(ProjectParameterTable[值],MATCH("K_COMPLEXITY_"&amp;H19,ProjectParameterTable[参数代码],0)),""))</f>
        <v/>
      </c>
      <c r="O19" s="645">
        <f>IF(OR(A19="",NOT(ISNUMBER(M19)),NOT(ISNUMBER(N19))),"",ROUND(M19*N19,1))</f>
        <v/>
      </c>
    </row>
    <row r="20" ht="38" customHeight="1">
      <c r="A20" s="641" t="inlineStr">
        <is>
          <t>task-payment-refund-integration</t>
        </is>
      </c>
      <c r="B20" s="641" t="inlineStr">
        <is>
          <t>story-refund-payment</t>
        </is>
      </c>
      <c r="C20" s="641" t="inlineStr">
        <is>
          <t>接入既有支付网关租户</t>
        </is>
      </c>
      <c r="D20" s="641" t="inlineStr">
        <is>
          <t>BU-EXTERNAL-INTEGRATION</t>
        </is>
      </c>
      <c r="E20" s="646">
        <f>IF(D20="","",IFERROR(INDEX(BaseUnitCatalogTable[任务族名称],MATCH(D20,BaseUnitCatalogTable[基础单元ID],0)),""))</f>
        <v/>
      </c>
      <c r="F20" s="642" t="inlineStr">
        <is>
          <t>接入复用</t>
        </is>
      </c>
      <c r="G20" s="648" t="inlineStr">
        <is>
          <t>既有支付网关租户保持不变；本项目负责并交付：配置、映射、适配、认证、专项验证。</t>
        </is>
      </c>
      <c r="H20" s="649" t="inlineStr">
        <is>
          <t>L</t>
        </is>
      </c>
      <c r="I20" s="648" t="inlineStr">
        <is>
          <t>涉及外部认证、同步申请与异步回调、金额幂等、供应商错误码和认证窗口。</t>
        </is>
      </c>
      <c r="J20" s="648" t="inlineStr">
        <is>
          <t>integration-payment-gateway</t>
        </is>
      </c>
      <c r="K20" s="648" t="inlineStr">
        <is>
          <t>effective-start-payment-gateway</t>
        </is>
      </c>
      <c r="L20" s="648" t="inlineStr">
        <is>
          <t>实现一个已登记的外部支付退款 Integration，外部支持成本在集成表单列展示。</t>
        </is>
      </c>
      <c r="M20" s="645">
        <f>IF(OR(A20="",D20="",F20=""),"",IFERROR(IF(F20="新建",INDEX(BaseUnitCatalogTable[新建M档人天],MATCH(D20,BaseUnitCatalogTable[基础单元ID],0)),IF(F20="调整",INDEX(BaseUnitCatalogTable[调整M档人天],MATCH(D20,BaseUnitCatalogTable[基础单元ID],0)),IF(F20="接入复用",INDEX(BaseUnitCatalogTable[接入复用M档人天],MATCH(D20,BaseUnitCatalogTable[基础单元ID],0)),""))),""))</f>
        <v/>
      </c>
      <c r="N20" s="645">
        <f>IF(OR(A20="",H20=""),"",IFERROR(INDEX(ProjectParameterTable[值],MATCH("K_COMPLEXITY_"&amp;H20,ProjectParameterTable[参数代码],0)),""))</f>
        <v/>
      </c>
      <c r="O20" s="645">
        <f>IF(OR(A20="",NOT(ISNUMBER(M20)),NOT(ISNUMBER(N20))),"",ROUND(M20*N20,1))</f>
        <v/>
      </c>
    </row>
    <row r="21" ht="38" customHeight="1">
      <c r="A21" s="641" t="inlineStr">
        <is>
          <t>task-refund-security</t>
        </is>
      </c>
      <c r="B21" s="641" t="inlineStr">
        <is>
          <t>story-refund-payment</t>
        </is>
      </c>
      <c r="C21" s="641" t="inlineStr">
        <is>
          <t>验证退款签名与隐私保护</t>
        </is>
      </c>
      <c r="D21" s="641" t="inlineStr">
        <is>
          <t>BU-SECURITY-PRIVACY-TESTING</t>
        </is>
      </c>
      <c r="E21" s="646">
        <f>IF(D21="","",IFERROR(INDEX(BaseUnitCatalogTable[任务族名称],MATCH(D21,BaseUnitCatalogTable[基础单元ID],0)),""))</f>
        <v/>
      </c>
      <c r="F21" s="642" t="inlineStr">
        <is>
          <t>新建</t>
        </is>
      </c>
      <c r="G21" s="648" t="inlineStr">
        <is>
          <t>新增退款回调签名、重放攻击、敏感字段和越权场景验证。</t>
        </is>
      </c>
      <c r="H21" s="649" t="inlineStr">
        <is>
          <t>M</t>
        </is>
      </c>
      <c r="I21" s="648" t="inlineStr"/>
      <c r="J21" s="648" t="inlineStr"/>
      <c r="K21" s="648" t="inlineStr"/>
      <c r="L21" s="648" t="inlineStr">
        <is>
          <t>一个退款链路安全与隐私测试实例。</t>
        </is>
      </c>
      <c r="M21" s="645">
        <f>IF(OR(A21="",D21="",F21=""),"",IFERROR(IF(F21="新建",INDEX(BaseUnitCatalogTable[新建M档人天],MATCH(D21,BaseUnitCatalogTable[基础单元ID],0)),IF(F21="调整",INDEX(BaseUnitCatalogTable[调整M档人天],MATCH(D21,BaseUnitCatalogTable[基础单元ID],0)),IF(F21="接入复用",INDEX(BaseUnitCatalogTable[接入复用M档人天],MATCH(D21,BaseUnitCatalogTable[基础单元ID],0)),""))),""))</f>
        <v/>
      </c>
      <c r="N21" s="645">
        <f>IF(OR(A21="",H21=""),"",IFERROR(INDEX(ProjectParameterTable[值],MATCH("K_COMPLEXITY_"&amp;H21,ProjectParameterTable[参数代码],0)),""))</f>
        <v/>
      </c>
      <c r="O21" s="645">
        <f>IF(OR(A21="",NOT(ISNUMBER(M21)),NOT(ISNUMBER(N21))),"",ROUND(M21*N21,1))</f>
        <v/>
      </c>
    </row>
    <row r="22" ht="38" customHeight="1">
      <c r="A22" s="641" t="inlineStr">
        <is>
          <t>task-store-order-page</t>
        </is>
      </c>
      <c r="B22" s="641" t="inlineStr">
        <is>
          <t>story-store-order</t>
        </is>
      </c>
      <c r="C22" s="641" t="inlineStr">
        <is>
          <t>新建门店订单队列与交接界面</t>
        </is>
      </c>
      <c r="D22" s="641" t="inlineStr">
        <is>
          <t>BU-UI-INTERACTION</t>
        </is>
      </c>
      <c r="E22" s="646">
        <f>IF(D22="","",IFERROR(INDEX(BaseUnitCatalogTable[任务族名称],MATCH(D22,BaseUnitCatalogTable[基础单元ID],0)),""))</f>
        <v/>
      </c>
      <c r="F22" s="642" t="inlineStr">
        <is>
          <t>新建</t>
        </is>
      </c>
      <c r="G22" s="648" t="inlineStr">
        <is>
          <t>新增门店待处理队列、缺货替代、备注和班次交接交互。</t>
        </is>
      </c>
      <c r="H22" s="649" t="inlineStr">
        <is>
          <t>M</t>
        </is>
      </c>
      <c r="I22" s="648" t="inlineStr"/>
      <c r="J22" s="648" t="inlineStr"/>
      <c r="K22" s="648" t="inlineStr"/>
      <c r="L22" s="648" t="inlineStr">
        <is>
          <t>一个门店接单工作台主界面实例。</t>
        </is>
      </c>
      <c r="M22" s="645">
        <f>IF(OR(A22="",D22="",F22=""),"",IFERROR(IF(F22="新建",INDEX(BaseUnitCatalogTable[新建M档人天],MATCH(D22,BaseUnitCatalogTable[基础单元ID],0)),IF(F22="调整",INDEX(BaseUnitCatalogTable[调整M档人天],MATCH(D22,BaseUnitCatalogTable[基础单元ID],0)),IF(F22="接入复用",INDEX(BaseUnitCatalogTable[接入复用M档人天],MATCH(D22,BaseUnitCatalogTable[基础单元ID],0)),""))),""))</f>
        <v/>
      </c>
      <c r="N22" s="645">
        <f>IF(OR(A22="",H22=""),"",IFERROR(INDEX(ProjectParameterTable[值],MATCH("K_COMPLEXITY_"&amp;H22,ProjectParameterTable[参数代码],0)),""))</f>
        <v/>
      </c>
      <c r="O22" s="645">
        <f>IF(OR(A22="",NOT(ISNUMBER(M22)),NOT(ISNUMBER(N22))),"",ROUND(M22*N22,1))</f>
        <v/>
      </c>
    </row>
    <row r="23" ht="38" customHeight="1">
      <c r="A23" s="641" t="inlineStr">
        <is>
          <t>task-store-order-service</t>
        </is>
      </c>
      <c r="B23" s="641" t="inlineStr">
        <is>
          <t>story-store-order</t>
        </is>
      </c>
      <c r="C23" s="641" t="inlineStr">
        <is>
          <t>新建门店接单与交接服务</t>
        </is>
      </c>
      <c r="D23" s="641" t="inlineStr">
        <is>
          <t>BU-BUSINESS-SERVICE-API</t>
        </is>
      </c>
      <c r="E23" s="646">
        <f>IF(D23="","",IFERROR(INDEX(BaseUnitCatalogTable[任务族名称],MATCH(D23,BaseUnitCatalogTable[基础单元ID],0)),""))</f>
        <v/>
      </c>
      <c r="F23" s="642" t="inlineStr">
        <is>
          <t>新建</t>
        </is>
      </c>
      <c r="G23" s="648" t="inlineStr">
        <is>
          <t>交付一期顺延的门店接单、缺货替代、权限校验和交接操作。</t>
        </is>
      </c>
      <c r="H23" s="649" t="inlineStr">
        <is>
          <t>L</t>
        </is>
      </c>
      <c r="I23" s="648" t="inlineStr">
        <is>
          <t>涉及门店数据隔离、并发抢单、缺货替代和跨班次交接四类复杂规则。</t>
        </is>
      </c>
      <c r="J23" s="648" t="inlineStr"/>
      <c r="K23" s="648" t="inlineStr"/>
      <c r="L23" s="648" t="inlineStr">
        <is>
          <t>一个门店接单领域服务实例。</t>
        </is>
      </c>
      <c r="M23" s="645">
        <f>IF(OR(A23="",D23="",F23=""),"",IFERROR(IF(F23="新建",INDEX(BaseUnitCatalogTable[新建M档人天],MATCH(D23,BaseUnitCatalogTable[基础单元ID],0)),IF(F23="调整",INDEX(BaseUnitCatalogTable[调整M档人天],MATCH(D23,BaseUnitCatalogTable[基础单元ID],0)),IF(F23="接入复用",INDEX(BaseUnitCatalogTable[接入复用M档人天],MATCH(D23,BaseUnitCatalogTable[基础单元ID],0)),""))),""))</f>
        <v/>
      </c>
      <c r="N23" s="645">
        <f>IF(OR(A23="",H23=""),"",IFERROR(INDEX(ProjectParameterTable[值],MATCH("K_COMPLEXITY_"&amp;H23,ProjectParameterTable[参数代码],0)),""))</f>
        <v/>
      </c>
      <c r="O23" s="645">
        <f>IF(OR(A23="",NOT(ISNUMBER(M23)),NOT(ISNUMBER(N23))),"",ROUND(M23*N23,1))</f>
        <v/>
      </c>
    </row>
    <row r="24" ht="38" customHeight="1">
      <c r="A24" s="641" t="inlineStr">
        <is>
          <t>task-order-timeline-page</t>
        </is>
      </c>
      <c r="B24" s="641" t="inlineStr">
        <is>
          <t>story-order-visibility</t>
        </is>
      </c>
      <c r="C24" s="641" t="inlineStr">
        <is>
          <t>新建统一订单履约轨迹</t>
        </is>
      </c>
      <c r="D24" s="641" t="inlineStr">
        <is>
          <t>BU-UI-INTERACTION</t>
        </is>
      </c>
      <c r="E24" s="646">
        <f>IF(D24="","",IFERROR(INDEX(BaseUnitCatalogTable[任务族名称],MATCH(D24,BaseUnitCatalogTable[基础单元ID],0)),""))</f>
        <v/>
      </c>
      <c r="F24" s="642" t="inlineStr">
        <is>
          <t>新建</t>
        </is>
      </c>
      <c r="G24" s="648" t="inlineStr">
        <is>
          <t>新增顾客与客服共用的状态、履约节点和异常原因时间轴。</t>
        </is>
      </c>
      <c r="H24" s="649" t="inlineStr">
        <is>
          <t>S</t>
        </is>
      </c>
      <c r="I24" s="648" t="inlineStr">
        <is>
          <t>单一只读时间轴，复用现有列表组件且无复杂编辑状态。</t>
        </is>
      </c>
      <c r="J24" s="648" t="inlineStr"/>
      <c r="K24" s="648" t="inlineStr"/>
      <c r="L24" s="648" t="inlineStr">
        <is>
          <t>一个订单履约轨迹界面实例。</t>
        </is>
      </c>
      <c r="M24" s="645">
        <f>IF(OR(A24="",D24="",F24=""),"",IFERROR(IF(F24="新建",INDEX(BaseUnitCatalogTable[新建M档人天],MATCH(D24,BaseUnitCatalogTable[基础单元ID],0)),IF(F24="调整",INDEX(BaseUnitCatalogTable[调整M档人天],MATCH(D24,BaseUnitCatalogTable[基础单元ID],0)),IF(F24="接入复用",INDEX(BaseUnitCatalogTable[接入复用M档人天],MATCH(D24,BaseUnitCatalogTable[基础单元ID],0)),""))),""))</f>
        <v/>
      </c>
      <c r="N24" s="645">
        <f>IF(OR(A24="",H24=""),"",IFERROR(INDEX(ProjectParameterTable[值],MATCH("K_COMPLEXITY_"&amp;H24,ProjectParameterTable[参数代码],0)),""))</f>
        <v/>
      </c>
      <c r="O24" s="645">
        <f>IF(OR(A24="",NOT(ISNUMBER(M24)),NOT(ISNUMBER(N24))),"",ROUND(M24*N24,1))</f>
        <v/>
      </c>
    </row>
    <row r="25" ht="38" customHeight="1">
      <c r="A25" s="641" t="inlineStr">
        <is>
          <t>task-order-timeline-events</t>
        </is>
      </c>
      <c r="B25" s="641" t="inlineStr">
        <is>
          <t>story-order-visibility</t>
        </is>
      </c>
      <c r="C25" s="641" t="inlineStr">
        <is>
          <t>新建履约轨迹事件投影</t>
        </is>
      </c>
      <c r="D25" s="641" t="inlineStr">
        <is>
          <t>BU-EVENT-MESSAGE</t>
        </is>
      </c>
      <c r="E25" s="646">
        <f>IF(D25="","",IFERROR(INDEX(BaseUnitCatalogTable[任务族名称],MATCH(D25,BaseUnitCatalogTable[基础单元ID],0)),""))</f>
        <v/>
      </c>
      <c r="F25" s="642" t="inlineStr">
        <is>
          <t>新建</t>
        </is>
      </c>
      <c r="G25" s="648" t="inlineStr">
        <is>
          <t>新增订单状态事件到渠道可读轨迹的投影与延迟补偿。</t>
        </is>
      </c>
      <c r="H25" s="649" t="inlineStr">
        <is>
          <t>M</t>
        </is>
      </c>
      <c r="I25" s="648" t="inlineStr"/>
      <c r="J25" s="648" t="inlineStr"/>
      <c r="K25" s="648" t="inlineStr"/>
      <c r="L25" s="648" t="inlineStr">
        <is>
          <t>一个履约轨迹事件消费和投影实例。</t>
        </is>
      </c>
      <c r="M25" s="645">
        <f>IF(OR(A25="",D25="",F25=""),"",IFERROR(IF(F25="新建",INDEX(BaseUnitCatalogTable[新建M档人天],MATCH(D25,BaseUnitCatalogTable[基础单元ID],0)),IF(F25="调整",INDEX(BaseUnitCatalogTable[调整M档人天],MATCH(D25,BaseUnitCatalogTable[基础单元ID],0)),IF(F25="接入复用",INDEX(BaseUnitCatalogTable[接入复用M档人天],MATCH(D25,BaseUnitCatalogTable[基础单元ID],0)),""))),""))</f>
        <v/>
      </c>
      <c r="N25" s="645">
        <f>IF(OR(A25="",H25=""),"",IFERROR(INDEX(ProjectParameterTable[值],MATCH("K_COMPLEXITY_"&amp;H25,ProjectParameterTable[参数代码],0)),""))</f>
        <v/>
      </c>
      <c r="O25" s="645">
        <f>IF(OR(A25="",NOT(ISNUMBER(M25)),NOT(ISNUMBER(N25))),"",ROUND(M25*N25,1))</f>
        <v/>
      </c>
    </row>
    <row r="26" ht="38" customHeight="1">
      <c r="A26" s="641" t="inlineStr">
        <is>
          <t>task-reconciliation-job</t>
        </is>
      </c>
      <c r="B26" s="641" t="inlineStr">
        <is>
          <t>story-payment-reconciliation</t>
        </is>
      </c>
      <c r="C26" s="641" t="inlineStr">
        <is>
          <t>新建支付退款日结作业</t>
        </is>
      </c>
      <c r="D26" s="641" t="inlineStr">
        <is>
          <t>BU-BACKGROUND-JOB</t>
        </is>
      </c>
      <c r="E26" s="646">
        <f>IF(D26="","",IFERROR(INDEX(BaseUnitCatalogTable[任务族名称],MATCH(D26,BaseUnitCatalogTable[基础单元ID],0)),""))</f>
        <v/>
      </c>
      <c r="F26" s="642" t="inlineStr">
        <is>
          <t>新建</t>
        </is>
      </c>
      <c r="G26" s="648" t="inlineStr">
        <is>
          <t>新增每日交易归集、手续费计算、差异识别和失败重跑作业。</t>
        </is>
      </c>
      <c r="H26" s="649" t="inlineStr">
        <is>
          <t>M</t>
        </is>
      </c>
      <c r="I26" s="648" t="inlineStr"/>
      <c r="J26" s="648" t="inlineStr"/>
      <c r="K26" s="648" t="inlineStr"/>
      <c r="L26" s="648" t="inlineStr">
        <is>
          <t>一个按自然日调度的支付对账后台作业实例。</t>
        </is>
      </c>
      <c r="M26" s="645">
        <f>IF(OR(A26="",D26="",F26=""),"",IFERROR(IF(F26="新建",INDEX(BaseUnitCatalogTable[新建M档人天],MATCH(D26,BaseUnitCatalogTable[基础单元ID],0)),IF(F26="调整",INDEX(BaseUnitCatalogTable[调整M档人天],MATCH(D26,BaseUnitCatalogTable[基础单元ID],0)),IF(F26="接入复用",INDEX(BaseUnitCatalogTable[接入复用M档人天],MATCH(D26,BaseUnitCatalogTable[基础单元ID],0)),""))),""))</f>
        <v/>
      </c>
      <c r="N26" s="645">
        <f>IF(OR(A26="",H26=""),"",IFERROR(INDEX(ProjectParameterTable[值],MATCH("K_COMPLEXITY_"&amp;H26,ProjectParameterTable[参数代码],0)),""))</f>
        <v/>
      </c>
      <c r="O26" s="645">
        <f>IF(OR(A26="",NOT(ISNUMBER(M26)),NOT(ISNUMBER(N26))),"",ROUND(M26*N26,1))</f>
        <v/>
      </c>
    </row>
    <row r="27" ht="38" customHeight="1">
      <c r="A27" s="641" t="inlineStr">
        <is>
          <t>task-reconciliation-report</t>
        </is>
      </c>
      <c r="B27" s="641" t="inlineStr">
        <is>
          <t>story-payment-reconciliation</t>
        </is>
      </c>
      <c r="C27" s="641" t="inlineStr">
        <is>
          <t>新建支付差异复核视图</t>
        </is>
      </c>
      <c r="D27" s="641" t="inlineStr">
        <is>
          <t>BU-REPORT-METRIC</t>
        </is>
      </c>
      <c r="E27" s="646">
        <f>IF(D27="","",IFERROR(INDEX(BaseUnitCatalogTable[任务族名称],MATCH(D27,BaseUnitCatalogTable[基础单元ID],0)),""))</f>
        <v/>
      </c>
      <c r="F27" s="642" t="inlineStr">
        <is>
          <t>新建</t>
        </is>
      </c>
      <c r="G27" s="648" t="inlineStr">
        <is>
          <t>新增按渠道、门店和订单查看实收、退款与手续费差异的财务视图。</t>
        </is>
      </c>
      <c r="H27" s="649" t="inlineStr">
        <is>
          <t>M</t>
        </is>
      </c>
      <c r="I27" s="648" t="inlineStr"/>
      <c r="J27" s="648" t="inlineStr"/>
      <c r="K27" s="648" t="inlineStr"/>
      <c r="L27" s="648" t="inlineStr">
        <is>
          <t>一个支付日结差异报表实例。</t>
        </is>
      </c>
      <c r="M27" s="645">
        <f>IF(OR(A27="",D27="",F27=""),"",IFERROR(IF(F27="新建",INDEX(BaseUnitCatalogTable[新建M档人天],MATCH(D27,BaseUnitCatalogTable[基础单元ID],0)),IF(F27="调整",INDEX(BaseUnitCatalogTable[调整M档人天],MATCH(D27,BaseUnitCatalogTable[基础单元ID],0)),IF(F27="接入复用",INDEX(BaseUnitCatalogTable[接入复用M档人天],MATCH(D27,BaseUnitCatalogTable[基础单元ID],0)),""))),""))</f>
        <v/>
      </c>
      <c r="N27" s="645">
        <f>IF(OR(A27="",H27=""),"",IFERROR(INDEX(ProjectParameterTable[值],MATCH("K_COMPLEXITY_"&amp;H27,ProjectParameterTable[参数代码],0)),""))</f>
        <v/>
      </c>
      <c r="O27" s="645">
        <f>IF(OR(A27="",NOT(ISNUMBER(M27)),NOT(ISNUMBER(N27))),"",ROUND(M27*N27,1))</f>
        <v/>
      </c>
    </row>
    <row r="28" ht="38" customHeight="1">
      <c r="A28" s="641" t="inlineStr">
        <is>
          <t>task-einvoice-integration</t>
        </is>
      </c>
      <c r="B28" s="641" t="inlineStr">
        <is>
          <t>story-einvoice</t>
        </is>
      </c>
      <c r="C28" s="641" t="inlineStr">
        <is>
          <t>接入既有电子发票通道</t>
        </is>
      </c>
      <c r="D28" s="641" t="inlineStr">
        <is>
          <t>BU-EXTERNAL-INTEGRATION</t>
        </is>
      </c>
      <c r="E28" s="646">
        <f>IF(D28="","",IFERROR(INDEX(BaseUnitCatalogTable[任务族名称],MATCH(D28,BaseUnitCatalogTable[基础单元ID],0)),""))</f>
        <v/>
      </c>
      <c r="F28" s="642" t="inlineStr">
        <is>
          <t>接入复用</t>
        </is>
      </c>
      <c r="G28" s="648" t="inlineStr">
        <is>
          <t>既有电子发票通道保持不变；本项目负责并交付：配置、映射、适配、认证、租户设置、专项验证。</t>
        </is>
      </c>
      <c r="H28" s="649" t="inlineStr">
        <is>
          <t>M</t>
        </is>
      </c>
      <c r="I28" s="648" t="inlineStr"/>
      <c r="J28" s="648" t="inlineStr">
        <is>
          <t>integration-einvoice</t>
        </is>
      </c>
      <c r="K28" s="648" t="inlineStr">
        <is>
          <t>effective-start-invoice-gateway</t>
        </is>
      </c>
      <c r="L28" s="648" t="inlineStr">
        <is>
          <t>实现一个已登记的外部电子发票 Integration，并单列外部支持成本。</t>
        </is>
      </c>
      <c r="M28" s="645">
        <f>IF(OR(A28="",D28="",F28=""),"",IFERROR(IF(F28="新建",INDEX(BaseUnitCatalogTable[新建M档人天],MATCH(D28,BaseUnitCatalogTable[基础单元ID],0)),IF(F28="调整",INDEX(BaseUnitCatalogTable[调整M档人天],MATCH(D28,BaseUnitCatalogTable[基础单元ID],0)),IF(F28="接入复用",INDEX(BaseUnitCatalogTable[接入复用M档人天],MATCH(D28,BaseUnitCatalogTable[基础单元ID],0)),""))),""))</f>
        <v/>
      </c>
      <c r="N28" s="645">
        <f>IF(OR(A28="",H28=""),"",IFERROR(INDEX(ProjectParameterTable[值],MATCH("K_COMPLEXITY_"&amp;H28,ProjectParameterTable[参数代码],0)),""))</f>
        <v/>
      </c>
      <c r="O28" s="645">
        <f>IF(OR(A28="",NOT(ISNUMBER(M28)),NOT(ISNUMBER(N28))),"",ROUND(M28*N28,1))</f>
        <v/>
      </c>
    </row>
    <row r="29" ht="38" customHeight="1">
      <c r="A29" s="641" t="inlineStr">
        <is>
          <t>task-einvoice-status-job</t>
        </is>
      </c>
      <c r="B29" s="641" t="inlineStr">
        <is>
          <t>story-einvoice</t>
        </is>
      </c>
      <c r="C29" s="641" t="inlineStr">
        <is>
          <t>新建发票状态补偿作业</t>
        </is>
      </c>
      <c r="D29" s="641" t="inlineStr">
        <is>
          <t>BU-BACKGROUND-JOB</t>
        </is>
      </c>
      <c r="E29" s="646">
        <f>IF(D29="","",IFERROR(INDEX(BaseUnitCatalogTable[任务族名称],MATCH(D29,BaseUnitCatalogTable[基础单元ID],0)),""))</f>
        <v/>
      </c>
      <c r="F29" s="642" t="inlineStr">
        <is>
          <t>新建</t>
        </is>
      </c>
      <c r="G29" s="648" t="inlineStr">
        <is>
          <t>新增开票状态轮询、失败重试、重复申请拦截和结果回写作业。</t>
        </is>
      </c>
      <c r="H29" s="649" t="inlineStr">
        <is>
          <t>M</t>
        </is>
      </c>
      <c r="I29" s="648" t="inlineStr"/>
      <c r="J29" s="648" t="inlineStr"/>
      <c r="K29" s="648" t="inlineStr"/>
      <c r="L29" s="648" t="inlineStr">
        <is>
          <t>一个电子发票状态补偿后台作业实例。</t>
        </is>
      </c>
      <c r="M29" s="645">
        <f>IF(OR(A29="",D29="",F29=""),"",IFERROR(IF(F29="新建",INDEX(BaseUnitCatalogTable[新建M档人天],MATCH(D29,BaseUnitCatalogTable[基础单元ID],0)),IF(F29="调整",INDEX(BaseUnitCatalogTable[调整M档人天],MATCH(D29,BaseUnitCatalogTable[基础单元ID],0)),IF(F29="接入复用",INDEX(BaseUnitCatalogTable[接入复用M档人天],MATCH(D29,BaseUnitCatalogTable[基础单元ID],0)),""))),""))</f>
        <v/>
      </c>
      <c r="N29" s="645">
        <f>IF(OR(A29="",H29=""),"",IFERROR(INDEX(ProjectParameterTable[值],MATCH("K_COMPLEXITY_"&amp;H29,ProjectParameterTable[参数代码],0)),""))</f>
        <v/>
      </c>
      <c r="O29" s="645">
        <f>IF(OR(A29="",NOT(ISNUMBER(M29)),NOT(ISNUMBER(N29))),"",ROUND(M29*N29,1))</f>
        <v/>
      </c>
    </row>
    <row r="30" ht="38" customHeight="1">
      <c r="A30" s="641" t="inlineStr">
        <is>
          <t>task-finance-report</t>
        </is>
      </c>
      <c r="B30" s="641" t="inlineStr">
        <is>
          <t>story-finance-report</t>
        </is>
      </c>
      <c r="C30" s="641" t="inlineStr">
        <is>
          <t>新建财务经营日报</t>
        </is>
      </c>
      <c r="D30" s="641" t="inlineStr">
        <is>
          <t>BU-REPORT-METRIC</t>
        </is>
      </c>
      <c r="E30" s="646">
        <f>IF(D30="","",IFERROR(INDEX(BaseUnitCatalogTable[任务族名称],MATCH(D30,BaseUnitCatalogTable[基础单元ID],0)),""))</f>
        <v/>
      </c>
      <c r="F30" s="642" t="inlineStr">
        <is>
          <t>新建</t>
        </is>
      </c>
      <c r="G30" s="648" t="inlineStr">
        <is>
          <t>新增销售、退款、优惠和未对账金额的多维指标与下钻。</t>
        </is>
      </c>
      <c r="H30" s="649" t="inlineStr">
        <is>
          <t>L</t>
        </is>
      </c>
      <c r="I30" s="648" t="inlineStr">
        <is>
          <t>包含四类金额、日期区域渠道三维切片、逐笔下钻和财务口径校验。</t>
        </is>
      </c>
      <c r="J30" s="648" t="inlineStr"/>
      <c r="K30" s="648" t="inlineStr"/>
      <c r="L30" s="648" t="inlineStr">
        <is>
          <t>一个财务经营日报与指标集合实例。</t>
        </is>
      </c>
      <c r="M30" s="645">
        <f>IF(OR(A30="",D30="",F30=""),"",IFERROR(IF(F30="新建",INDEX(BaseUnitCatalogTable[新建M档人天],MATCH(D30,BaseUnitCatalogTable[基础单元ID],0)),IF(F30="调整",INDEX(BaseUnitCatalogTable[调整M档人天],MATCH(D30,BaseUnitCatalogTable[基础单元ID],0)),IF(F30="接入复用",INDEX(BaseUnitCatalogTable[接入复用M档人天],MATCH(D30,BaseUnitCatalogTable[基础单元ID],0)),""))),""))</f>
        <v/>
      </c>
      <c r="N30" s="645">
        <f>IF(OR(A30="",H30=""),"",IFERROR(INDEX(ProjectParameterTable[值],MATCH("K_COMPLEXITY_"&amp;H30,ProjectParameterTable[参数代码],0)),""))</f>
        <v/>
      </c>
      <c r="O30" s="645">
        <f>IF(OR(A30="",NOT(ISNUMBER(M30)),NOT(ISNUMBER(N30))),"",ROUND(M30*N30,1))</f>
        <v/>
      </c>
    </row>
    <row r="31" ht="38" customHeight="1">
      <c r="A31" s="641" t="inlineStr">
        <is>
          <t>task-finance-pipeline</t>
        </is>
      </c>
      <c r="B31" s="641" t="inlineStr">
        <is>
          <t>story-finance-report</t>
        </is>
      </c>
      <c r="C31" s="641" t="inlineStr">
        <is>
          <t>新建财务指标处理流程</t>
        </is>
      </c>
      <c r="D31" s="641" t="inlineStr">
        <is>
          <t>BU-DATA-PIPELINE</t>
        </is>
      </c>
      <c r="E31" s="646">
        <f>IF(D31="","",IFERROR(INDEX(BaseUnitCatalogTable[任务族名称],MATCH(D31,BaseUnitCatalogTable[基础单元ID],0)),""))</f>
        <v/>
      </c>
      <c r="F31" s="642" t="inlineStr">
        <is>
          <t>新建</t>
        </is>
      </c>
      <c r="G31" s="648" t="inlineStr">
        <is>
          <t>新增订单、支付、退款和发票明细的清洗、关联与日汇总流程。</t>
        </is>
      </c>
      <c r="H31" s="649" t="inlineStr">
        <is>
          <t>M</t>
        </is>
      </c>
      <c r="I31" s="648" t="inlineStr"/>
      <c r="J31" s="648" t="inlineStr"/>
      <c r="K31" s="648" t="inlineStr"/>
      <c r="L31" s="648" t="inlineStr">
        <is>
          <t>一个财务指标数据处理流程实例。</t>
        </is>
      </c>
      <c r="M31" s="645">
        <f>IF(OR(A31="",D31="",F31=""),"",IFERROR(IF(F31="新建",INDEX(BaseUnitCatalogTable[新建M档人天],MATCH(D31,BaseUnitCatalogTable[基础单元ID],0)),IF(F31="调整",INDEX(BaseUnitCatalogTable[调整M档人天],MATCH(D31,BaseUnitCatalogTable[基础单元ID],0)),IF(F31="接入复用",INDEX(BaseUnitCatalogTable[接入复用M档人天],MATCH(D31,BaseUnitCatalogTable[基础单元ID],0)),""))),""))</f>
        <v/>
      </c>
      <c r="N31" s="645">
        <f>IF(OR(A31="",H31=""),"",IFERROR(INDEX(ProjectParameterTable[值],MATCH("K_COMPLEXITY_"&amp;H31,ProjectParameterTable[参数代码],0)),""))</f>
        <v/>
      </c>
      <c r="O31" s="645">
        <f>IF(OR(A31="",NOT(ISNUMBER(M31)),NOT(ISNUMBER(N31))),"",ROUND(M31*N31,1))</f>
        <v/>
      </c>
    </row>
    <row r="32" ht="38" customHeight="1">
      <c r="A32" s="641" t="inlineStr">
        <is>
          <t>task-production-env</t>
        </is>
      </c>
      <c r="B32" s="641" t="inlineStr">
        <is>
          <t>story-production-preparation</t>
        </is>
      </c>
      <c r="C32" s="641" t="inlineStr">
        <is>
          <t>调整既有生产环境与发布流水线的运行配置</t>
        </is>
      </c>
      <c r="D32" s="641" t="inlineStr">
        <is>
          <t>BU-RUNTIME-ENV</t>
        </is>
      </c>
      <c r="E32" s="646">
        <f>IF(D32="","",IFERROR(INDEX(BaseUnitCatalogTable[任务族名称],MATCH(D32,BaseUnitCatalogTable[基础单元ID],0)),""))</f>
        <v/>
      </c>
      <c r="F32" s="642" t="inlineStr">
        <is>
          <t>调整</t>
        </is>
      </c>
      <c r="G32" s="648" t="inlineStr">
        <is>
          <t>在既有生产环境与发布流水线中增加会员、订单、批处理和外部证书配置。</t>
        </is>
      </c>
      <c r="H32" s="649" t="inlineStr">
        <is>
          <t>M</t>
        </is>
      </c>
      <c r="I32" s="648" t="inlineStr"/>
      <c r="J32" s="648" t="inlineStr"/>
      <c r="K32" s="648" t="inlineStr">
        <is>
          <t>effective-start-deployment-platform</t>
        </is>
      </c>
      <c r="L32" s="648" t="inlineStr">
        <is>
          <t>一个生产运行环境配置实例。</t>
        </is>
      </c>
      <c r="M32" s="645">
        <f>IF(OR(A32="",D32="",F32=""),"",IFERROR(IF(F32="新建",INDEX(BaseUnitCatalogTable[新建M档人天],MATCH(D32,BaseUnitCatalogTable[基础单元ID],0)),IF(F32="调整",INDEX(BaseUnitCatalogTable[调整M档人天],MATCH(D32,BaseUnitCatalogTable[基础单元ID],0)),IF(F32="接入复用",INDEX(BaseUnitCatalogTable[接入复用M档人天],MATCH(D32,BaseUnitCatalogTable[基础单元ID],0)),""))),""))</f>
        <v/>
      </c>
      <c r="N32" s="645">
        <f>IF(OR(A32="",H32=""),"",IFERROR(INDEX(ProjectParameterTable[值],MATCH("K_COMPLEXITY_"&amp;H32,ProjectParameterTable[参数代码],0)),""))</f>
        <v/>
      </c>
      <c r="O32" s="645">
        <f>IF(OR(A32="",NOT(ISNUMBER(M32)),NOT(ISNUMBER(N32))),"",ROUND(M32*N32,1))</f>
        <v/>
      </c>
    </row>
    <row r="33" ht="38" customHeight="1">
      <c r="A33" s="641" t="inlineStr">
        <is>
          <t>task-production-pipeline</t>
        </is>
      </c>
      <c r="B33" s="641" t="inlineStr">
        <is>
          <t>story-production-preparation</t>
        </is>
      </c>
      <c r="C33" s="641" t="inlineStr">
        <is>
          <t>调整既有生产环境与发布流水线的部署步骤</t>
        </is>
      </c>
      <c r="D33" s="641" t="inlineStr">
        <is>
          <t>BU-BUILD-DEPLOY-PIPELINE</t>
        </is>
      </c>
      <c r="E33" s="646">
        <f>IF(D33="","",IFERROR(INDEX(BaseUnitCatalogTable[任务族名称],MATCH(D33,BaseUnitCatalogTable[基础单元ID],0)),""))</f>
        <v/>
      </c>
      <c r="F33" s="642" t="inlineStr">
        <is>
          <t>调整</t>
        </is>
      </c>
      <c r="G33" s="648" t="inlineStr">
        <is>
          <t>扩展既有生产环境与发布流水线，增加迁移前检查、分步发布和验证门禁。</t>
        </is>
      </c>
      <c r="H33" s="649" t="inlineStr">
        <is>
          <t>M</t>
        </is>
      </c>
      <c r="I33" s="648" t="inlineStr"/>
      <c r="J33" s="648" t="inlineStr"/>
      <c r="K33" s="648" t="inlineStr">
        <is>
          <t>effective-start-deployment-platform</t>
        </is>
      </c>
      <c r="L33" s="648" t="inlineStr">
        <is>
          <t>一个应用构建与部署流水线调整实例。</t>
        </is>
      </c>
      <c r="M33" s="645">
        <f>IF(OR(A33="",D33="",F33=""),"",IFERROR(IF(F33="新建",INDEX(BaseUnitCatalogTable[新建M档人天],MATCH(D33,BaseUnitCatalogTable[基础单元ID],0)),IF(F33="调整",INDEX(BaseUnitCatalogTable[调整M档人天],MATCH(D33,BaseUnitCatalogTable[基础单元ID],0)),IF(F33="接入复用",INDEX(BaseUnitCatalogTable[接入复用M档人天],MATCH(D33,BaseUnitCatalogTable[基础单元ID],0)),""))),""))</f>
        <v/>
      </c>
      <c r="N33" s="645">
        <f>IF(OR(A33="",H33=""),"",IFERROR(INDEX(ProjectParameterTable[值],MATCH("K_COMPLEXITY_"&amp;H33,ProjectParameterTable[参数代码],0)),""))</f>
        <v/>
      </c>
      <c r="O33" s="645">
        <f>IF(OR(A33="",NOT(ISNUMBER(M33)),NOT(ISNUMBER(N33))),"",ROUND(M33*N33,1))</f>
        <v/>
      </c>
    </row>
    <row r="34" ht="38" customHeight="1">
      <c r="A34" s="641" t="inlineStr">
        <is>
          <t>task-production-feature-flag</t>
        </is>
      </c>
      <c r="B34" s="641" t="inlineStr">
        <is>
          <t>story-production-preparation</t>
        </is>
      </c>
      <c r="C34" s="641" t="inlineStr">
        <is>
          <t>调整既有生产环境与发布流水线的功能开关</t>
        </is>
      </c>
      <c r="D34" s="641" t="inlineStr">
        <is>
          <t>BU-CONFIG-FEATURE-FLAG</t>
        </is>
      </c>
      <c r="E34" s="646">
        <f>IF(D34="","",IFERROR(INDEX(BaseUnitCatalogTable[任务族名称],MATCH(D34,BaseUnitCatalogTable[基础单元ID],0)),""))</f>
        <v/>
      </c>
      <c r="F34" s="642" t="inlineStr">
        <is>
          <t>调整</t>
        </is>
      </c>
      <c r="G34" s="648" t="inlineStr">
        <is>
          <t>在既有生产环境与发布流水线中配置渠道切流、退款和开票功能开关。</t>
        </is>
      </c>
      <c r="H34" s="649" t="inlineStr">
        <is>
          <t>S</t>
        </is>
      </c>
      <c r="I34" s="648" t="inlineStr">
        <is>
          <t>三个独立布尔开关及默认值，沿用现有配置中心且无复杂灰度算法。</t>
        </is>
      </c>
      <c r="J34" s="648" t="inlineStr"/>
      <c r="K34" s="648" t="inlineStr">
        <is>
          <t>effective-start-deployment-platform</t>
        </is>
      </c>
      <c r="L34" s="648" t="inlineStr">
        <is>
          <t>一个上线功能开关配置实例。</t>
        </is>
      </c>
      <c r="M34" s="645">
        <f>IF(OR(A34="",D34="",F34=""),"",IFERROR(IF(F34="新建",INDEX(BaseUnitCatalogTable[新建M档人天],MATCH(D34,BaseUnitCatalogTable[基础单元ID],0)),IF(F34="调整",INDEX(BaseUnitCatalogTable[调整M档人天],MATCH(D34,BaseUnitCatalogTable[基础单元ID],0)),IF(F34="接入复用",INDEX(BaseUnitCatalogTable[接入复用M档人天],MATCH(D34,BaseUnitCatalogTable[基础单元ID],0)),""))),""))</f>
        <v/>
      </c>
      <c r="N34" s="645">
        <f>IF(OR(A34="",H34=""),"",IFERROR(INDEX(ProjectParameterTable[值],MATCH("K_COMPLEXITY_"&amp;H34,ProjectParameterTable[参数代码],0)),""))</f>
        <v/>
      </c>
      <c r="O34" s="645">
        <f>IF(OR(A34="",NOT(ISNUMBER(M34)),NOT(ISNUMBER(N34))),"",ROUND(M34*N34,1))</f>
        <v/>
      </c>
    </row>
    <row r="35" ht="38" customHeight="1">
      <c r="A35" s="641" t="inlineStr">
        <is>
          <t>task-production-cutover</t>
        </is>
      </c>
      <c r="B35" s="641" t="inlineStr">
        <is>
          <t>story-production-cutover</t>
        </is>
      </c>
      <c r="C35" s="641" t="inlineStr">
        <is>
          <t>执行生产切换与回滚</t>
        </is>
      </c>
      <c r="D35" s="641" t="inlineStr">
        <is>
          <t>BU-RELEASE-CUTOVER</t>
        </is>
      </c>
      <c r="E35" s="646">
        <f>IF(D35="","",IFERROR(INDEX(BaseUnitCatalogTable[任务族名称],MATCH(D35,BaseUnitCatalogTable[基础单元ID],0)),""))</f>
        <v/>
      </c>
      <c r="F35" s="642" t="inlineStr">
        <is>
          <t>新建</t>
        </is>
      </c>
      <c r="G35" s="648" t="inlineStr">
        <is>
          <t>基于既有生产环境与发布流水线编制并执行分步切流、检查点和回滚清单。</t>
        </is>
      </c>
      <c r="H35" s="649" t="inlineStr">
        <is>
          <t>L</t>
        </is>
      </c>
      <c r="I35" s="648" t="inlineStr">
        <is>
          <t>涉及会员、订单、四个集成链路、迁移窗口、三次继续回滚决策和多团队协同。</t>
        </is>
      </c>
      <c r="J35" s="648" t="inlineStr"/>
      <c r="K35" s="648" t="inlineStr">
        <is>
          <t>effective-start-deployment-platform</t>
        </is>
      </c>
      <c r="L35" s="648" t="inlineStr">
        <is>
          <t>一个批准上线窗口内的生产发布切换实例。</t>
        </is>
      </c>
      <c r="M35" s="645">
        <f>IF(OR(A35="",D35="",F35=""),"",IFERROR(IF(F35="新建",INDEX(BaseUnitCatalogTable[新建M档人天],MATCH(D35,BaseUnitCatalogTable[基础单元ID],0)),IF(F35="调整",INDEX(BaseUnitCatalogTable[调整M档人天],MATCH(D35,BaseUnitCatalogTable[基础单元ID],0)),IF(F35="接入复用",INDEX(BaseUnitCatalogTable[接入复用M档人天],MATCH(D35,BaseUnitCatalogTable[基础单元ID],0)),""))),""))</f>
        <v/>
      </c>
      <c r="N35" s="645">
        <f>IF(OR(A35="",H35=""),"",IFERROR(INDEX(ProjectParameterTable[值],MATCH("K_COMPLEXITY_"&amp;H35,ProjectParameterTable[参数代码],0)),""))</f>
        <v/>
      </c>
      <c r="O35" s="645">
        <f>IF(OR(A35="",NOT(ISNUMBER(M35)),NOT(ISNUMBER(N35))),"",ROUND(M35*N35,1))</f>
        <v/>
      </c>
    </row>
    <row r="36" ht="38" customHeight="1">
      <c r="A36" s="641" t="inlineStr">
        <is>
          <t>task-cutover-checklist-test</t>
        </is>
      </c>
      <c r="B36" s="641" t="inlineStr">
        <is>
          <t>story-production-cutover</t>
        </is>
      </c>
      <c r="C36" s="641" t="inlineStr">
        <is>
          <t>验证切换与回滚检查清单</t>
        </is>
      </c>
      <c r="D36" s="641" t="inlineStr">
        <is>
          <t>BU-MANUAL-TESTING</t>
        </is>
      </c>
      <c r="E36" s="646">
        <f>IF(D36="","",IFERROR(INDEX(BaseUnitCatalogTable[任务族名称],MATCH(D36,BaseUnitCatalogTable[基础单元ID],0)),""))</f>
        <v/>
      </c>
      <c r="F36" s="642" t="inlineStr">
        <is>
          <t>新建</t>
        </is>
      </c>
      <c r="G36" s="648" t="inlineStr">
        <is>
          <t>新增切换前置条件、检查点、回滚触发器和联系人桌面演练。</t>
        </is>
      </c>
      <c r="H36" s="649" t="inlineStr">
        <is>
          <t>S</t>
        </is>
      </c>
      <c r="I36" s="648" t="inlineStr">
        <is>
          <t>一次桌面演练和一套固定清单，不涉及额外环境或大规模数据准备。</t>
        </is>
      </c>
      <c r="J36" s="648" t="inlineStr"/>
      <c r="K36" s="648" t="inlineStr"/>
      <c r="L36" s="648" t="inlineStr">
        <is>
          <t>一个切换回滚清单验证实例。</t>
        </is>
      </c>
      <c r="M36" s="645">
        <f>IF(OR(A36="",D36="",F36=""),"",IFERROR(IF(F36="新建",INDEX(BaseUnitCatalogTable[新建M档人天],MATCH(D36,BaseUnitCatalogTable[基础单元ID],0)),IF(F36="调整",INDEX(BaseUnitCatalogTable[调整M档人天],MATCH(D36,BaseUnitCatalogTable[基础单元ID],0)),IF(F36="接入复用",INDEX(BaseUnitCatalogTable[接入复用M档人天],MATCH(D36,BaseUnitCatalogTable[基础单元ID],0)),""))),""))</f>
        <v/>
      </c>
      <c r="N36" s="645">
        <f>IF(OR(A36="",H36=""),"",IFERROR(INDEX(ProjectParameterTable[值],MATCH("K_COMPLEXITY_"&amp;H36,ProjectParameterTable[参数代码],0)),""))</f>
        <v/>
      </c>
      <c r="O36" s="645">
        <f>IF(OR(A36="",NOT(ISNUMBER(M36)),NOT(ISNUMBER(N36))),"",ROUND(M36*N36,1))</f>
        <v/>
      </c>
    </row>
    <row r="37" ht="38" customHeight="1">
      <c r="A37" s="641" t="inlineStr">
        <is>
          <t>task-production-performance</t>
        </is>
      </c>
      <c r="B37" s="641" t="inlineStr">
        <is>
          <t>story-production-validation</t>
        </is>
      </c>
      <c r="C37" s="641" t="inlineStr">
        <is>
          <t>执行核心查询性能验证</t>
        </is>
      </c>
      <c r="D37" s="641" t="inlineStr">
        <is>
          <t>BU-PERFORMANCE-TESTING</t>
        </is>
      </c>
      <c r="E37" s="646">
        <f>IF(D37="","",IFERROR(INDEX(BaseUnitCatalogTable[任务族名称],MATCH(D37,BaseUnitCatalogTable[基础单元ID],0)),""))</f>
        <v/>
      </c>
      <c r="F37" s="642" t="inlineStr">
        <is>
          <t>新建</t>
        </is>
      </c>
      <c r="G37" s="648" t="inlineStr">
        <is>
          <t>新增档案查询、订单创建和轨迹查询的峰值负载与稳定性验证。</t>
        </is>
      </c>
      <c r="H37" s="649" t="inlineStr">
        <is>
          <t>L</t>
        </is>
      </c>
      <c r="I37" s="648" t="inlineStr">
        <is>
          <t>三条核心链路、500 TPS 峰值、两小时稳定性和容量拐点分析需要多轮调优。</t>
        </is>
      </c>
      <c r="J37" s="648" t="inlineStr"/>
      <c r="K37" s="648" t="inlineStr"/>
      <c r="L37" s="648" t="inlineStr">
        <is>
          <t>一个生产前性能与容量测试实例。</t>
        </is>
      </c>
      <c r="M37" s="645">
        <f>IF(OR(A37="",D37="",F37=""),"",IFERROR(IF(F37="新建",INDEX(BaseUnitCatalogTable[新建M档人天],MATCH(D37,BaseUnitCatalogTable[基础单元ID],0)),IF(F37="调整",INDEX(BaseUnitCatalogTable[调整M档人天],MATCH(D37,BaseUnitCatalogTable[基础单元ID],0)),IF(F37="接入复用",INDEX(BaseUnitCatalogTable[接入复用M档人天],MATCH(D37,BaseUnitCatalogTable[基础单元ID],0)),""))),""))</f>
        <v/>
      </c>
      <c r="N37" s="645">
        <f>IF(OR(A37="",H37=""),"",IFERROR(INDEX(ProjectParameterTable[值],MATCH("K_COMPLEXITY_"&amp;H37,ProjectParameterTable[参数代码],0)),""))</f>
        <v/>
      </c>
      <c r="O37" s="645">
        <f>IF(OR(A37="",NOT(ISNUMBER(M37)),NOT(ISNUMBER(N37))),"",ROUND(M37*N37,1))</f>
        <v/>
      </c>
    </row>
    <row r="38" ht="38" customHeight="1">
      <c r="A38" s="641" t="inlineStr">
        <is>
          <t>task-production-security</t>
        </is>
      </c>
      <c r="B38" s="641" t="inlineStr">
        <is>
          <t>story-production-validation</t>
        </is>
      </c>
      <c r="C38" s="641" t="inlineStr">
        <is>
          <t>执行生产权限与证书验证</t>
        </is>
      </c>
      <c r="D38" s="641" t="inlineStr">
        <is>
          <t>BU-SECURITY-PRIVACY-TESTING</t>
        </is>
      </c>
      <c r="E38" s="646">
        <f>IF(D38="","",IFERROR(INDEX(BaseUnitCatalogTable[任务族名称],MATCH(D38,BaseUnitCatalogTable[基础单元ID],0)),""))</f>
        <v/>
      </c>
      <c r="F38" s="642" t="inlineStr">
        <is>
          <t>新建</t>
        </is>
      </c>
      <c r="G38" s="648" t="inlineStr">
        <is>
          <t>新增生产角色最小权限、外部证书、密钥轮换和敏感字段脱敏检查。</t>
        </is>
      </c>
      <c r="H38" s="649" t="inlineStr">
        <is>
          <t>M</t>
        </is>
      </c>
      <c r="I38" s="648" t="inlineStr"/>
      <c r="J38" s="648" t="inlineStr"/>
      <c r="K38" s="648" t="inlineStr"/>
      <c r="L38" s="648" t="inlineStr">
        <is>
          <t>一个生产安全与隐私验证实例。</t>
        </is>
      </c>
      <c r="M38" s="645">
        <f>IF(OR(A38="",D38="",F38=""),"",IFERROR(IF(F38="新建",INDEX(BaseUnitCatalogTable[新建M档人天],MATCH(D38,BaseUnitCatalogTable[基础单元ID],0)),IF(F38="调整",INDEX(BaseUnitCatalogTable[调整M档人天],MATCH(D38,BaseUnitCatalogTable[基础单元ID],0)),IF(F38="接入复用",INDEX(BaseUnitCatalogTable[接入复用M档人天],MATCH(D38,BaseUnitCatalogTable[基础单元ID],0)),""))),""))</f>
        <v/>
      </c>
      <c r="N38" s="645">
        <f>IF(OR(A38="",H38=""),"",IFERROR(INDEX(ProjectParameterTable[值],MATCH("K_COMPLEXITY_"&amp;H38,ProjectParameterTable[参数代码],0)),""))</f>
        <v/>
      </c>
      <c r="O38" s="645">
        <f>IF(OR(A38="",NOT(ISNUMBER(M38)),NOT(ISNUMBER(N38))),"",ROUND(M38*N38,1))</f>
        <v/>
      </c>
    </row>
    <row r="39" ht="38" customHeight="1">
      <c r="A39" s="641" t="inlineStr">
        <is>
          <t>task-production-smoke</t>
        </is>
      </c>
      <c r="B39" s="641" t="inlineStr">
        <is>
          <t>story-production-validation</t>
        </is>
      </c>
      <c r="C39" s="641" t="inlineStr">
        <is>
          <t>执行五条生产业务烟测</t>
        </is>
      </c>
      <c r="D39" s="641" t="inlineStr">
        <is>
          <t>BU-MANUAL-TESTING</t>
        </is>
      </c>
      <c r="E39" s="646">
        <f>IF(D39="","",IFERROR(INDEX(BaseUnitCatalogTable[任务族名称],MATCH(D39,BaseUnitCatalogTable[基础单元ID],0)),""))</f>
        <v/>
      </c>
      <c r="F39" s="642" t="inlineStr">
        <is>
          <t>新建</t>
        </is>
      </c>
      <c r="G39" s="648" t="inlineStr">
        <is>
          <t>新增档案、下单、退款、开票和对账五条生产烟测并留存证据。</t>
        </is>
      </c>
      <c r="H39" s="649" t="inlineStr">
        <is>
          <t>M</t>
        </is>
      </c>
      <c r="I39" s="648" t="inlineStr"/>
      <c r="J39" s="648" t="inlineStr"/>
      <c r="K39" s="648" t="inlineStr"/>
      <c r="L39" s="648" t="inlineStr">
        <is>
          <t>一个生产关键业务链路烟测实例。</t>
        </is>
      </c>
      <c r="M39" s="645">
        <f>IF(OR(A39="",D39="",F39=""),"",IFERROR(IF(F39="新建",INDEX(BaseUnitCatalogTable[新建M档人天],MATCH(D39,BaseUnitCatalogTable[基础单元ID],0)),IF(F39="调整",INDEX(BaseUnitCatalogTable[调整M档人天],MATCH(D39,BaseUnitCatalogTable[基础单元ID],0)),IF(F39="接入复用",INDEX(BaseUnitCatalogTable[接入复用M档人天],MATCH(D39,BaseUnitCatalogTable[基础单元ID],0)),""))),""))</f>
        <v/>
      </c>
      <c r="N39" s="645">
        <f>IF(OR(A39="",H39=""),"",IFERROR(INDEX(ProjectParameterTable[值],MATCH("K_COMPLEXITY_"&amp;H39,ProjectParameterTable[参数代码],0)),""))</f>
        <v/>
      </c>
      <c r="O39" s="645">
        <f>IF(OR(A39="",NOT(ISNUMBER(M39)),NOT(ISNUMBER(N39))),"",ROUND(M39*N39,1))</f>
        <v/>
      </c>
    </row>
    <row r="40" ht="38" customHeight="1">
      <c r="A40" s="641" t="inlineStr">
        <is>
          <t>task-data-migration</t>
        </is>
      </c>
      <c r="B40" s="641" t="inlineStr">
        <is>
          <t>story-data-migration</t>
        </is>
      </c>
      <c r="C40" s="641" t="inlineStr">
        <is>
          <t>迁移会员与两年历史订单</t>
        </is>
      </c>
      <c r="D40" s="641" t="inlineStr">
        <is>
          <t>BU-DATA-MIGRATION</t>
        </is>
      </c>
      <c r="E40" s="646">
        <f>IF(D40="","",IFERROR(INDEX(BaseUnitCatalogTable[任务族名称],MATCH(D40,BaseUnitCatalogTable[基础单元ID],0)),""))</f>
        <v/>
      </c>
      <c r="F40" s="642" t="inlineStr">
        <is>
          <t>新建</t>
        </is>
      </c>
      <c r="G40" s="648" t="inlineStr">
        <is>
          <t>从既有会员主数据模型和既有订单服务与状态机抽取数据，执行映射、加载、校验和补偿。</t>
        </is>
      </c>
      <c r="H40" s="649" t="inlineStr">
        <is>
          <t>L</t>
        </is>
      </c>
      <c r="I40" s="648" t="inlineStr">
        <is>
          <t>涉及两类源数据、约 1200 万订单行、历史状态映射、增量窗口和失败补偿。</t>
        </is>
      </c>
      <c r="J40" s="648" t="inlineStr"/>
      <c r="K40" s="648" t="inlineStr">
        <is>
          <t>effective-start-member-master、effective-start-order-service</t>
        </is>
      </c>
      <c r="L40" s="648" t="inlineStr">
        <is>
          <t>一个会员与订单迁移批次方案实例，与发布切换分别估算。</t>
        </is>
      </c>
      <c r="M40" s="645">
        <f>IF(OR(A40="",D40="",F40=""),"",IFERROR(IF(F40="新建",INDEX(BaseUnitCatalogTable[新建M档人天],MATCH(D40,BaseUnitCatalogTable[基础单元ID],0)),IF(F40="调整",INDEX(BaseUnitCatalogTable[调整M档人天],MATCH(D40,BaseUnitCatalogTable[基础单元ID],0)),IF(F40="接入复用",INDEX(BaseUnitCatalogTable[接入复用M档人天],MATCH(D40,BaseUnitCatalogTable[基础单元ID],0)),""))),""))</f>
        <v/>
      </c>
      <c r="N40" s="645">
        <f>IF(OR(A40="",H40=""),"",IFERROR(INDEX(ProjectParameterTable[值],MATCH("K_COMPLEXITY_"&amp;H40,ProjectParameterTable[参数代码],0)),""))</f>
        <v/>
      </c>
      <c r="O40" s="645">
        <f>IF(OR(A40="",NOT(ISNUMBER(M40)),NOT(ISNUMBER(N40))),"",ROUND(M40*N40,1))</f>
        <v/>
      </c>
    </row>
    <row r="41" ht="38" customHeight="1">
      <c r="A41" s="641" t="inlineStr">
        <is>
          <t>task-migration-pipeline</t>
        </is>
      </c>
      <c r="B41" s="641" t="inlineStr">
        <is>
          <t>story-data-migration</t>
        </is>
      </c>
      <c r="C41" s="641" t="inlineStr">
        <is>
          <t>新建迁移抽取转换流程</t>
        </is>
      </c>
      <c r="D41" s="641" t="inlineStr">
        <is>
          <t>BU-DATA-PIPELINE</t>
        </is>
      </c>
      <c r="E41" s="646">
        <f>IF(D41="","",IFERROR(INDEX(BaseUnitCatalogTable[任务族名称],MATCH(D41,BaseUnitCatalogTable[基础单元ID],0)),""))</f>
        <v/>
      </c>
      <c r="F41" s="642" t="inlineStr">
        <is>
          <t>新建</t>
        </is>
      </c>
      <c r="G41" s="648" t="inlineStr">
        <is>
          <t>新增全量与增量抽取、字段标准化、状态映射和失败重放流程。</t>
        </is>
      </c>
      <c r="H41" s="649" t="inlineStr">
        <is>
          <t>L</t>
        </is>
      </c>
      <c r="I41" s="648" t="inlineStr">
        <is>
          <t>包含全量与增量两条路径、跨版本状态映射、断点续传和可重复执行控制。</t>
        </is>
      </c>
      <c r="J41" s="648" t="inlineStr"/>
      <c r="K41" s="648" t="inlineStr"/>
      <c r="L41" s="648" t="inlineStr">
        <is>
          <t>一个可重复执行的数据迁移处理流程实例。</t>
        </is>
      </c>
      <c r="M41" s="645">
        <f>IF(OR(A41="",D41="",F41=""),"",IFERROR(IF(F41="新建",INDEX(BaseUnitCatalogTable[新建M档人天],MATCH(D41,BaseUnitCatalogTable[基础单元ID],0)),IF(F41="调整",INDEX(BaseUnitCatalogTable[调整M档人天],MATCH(D41,BaseUnitCatalogTable[基础单元ID],0)),IF(F41="接入复用",INDEX(BaseUnitCatalogTable[接入复用M档人天],MATCH(D41,BaseUnitCatalogTable[基础单元ID],0)),""))),""))</f>
        <v/>
      </c>
      <c r="N41" s="645">
        <f>IF(OR(A41="",H41=""),"",IFERROR(INDEX(ProjectParameterTable[值],MATCH("K_COMPLEXITY_"&amp;H41,ProjectParameterTable[参数代码],0)),""))</f>
        <v/>
      </c>
      <c r="O41" s="645">
        <f>IF(OR(A41="",NOT(ISNUMBER(M41)),NOT(ISNUMBER(N41))),"",ROUND(M41*N41,1))</f>
        <v/>
      </c>
    </row>
    <row r="42" ht="38" customHeight="1">
      <c r="A42" s="641" t="inlineStr">
        <is>
          <t>task-migration-reconciliation</t>
        </is>
      </c>
      <c r="B42" s="641" t="inlineStr">
        <is>
          <t>story-data-migration</t>
        </is>
      </c>
      <c r="C42" s="641" t="inlineStr">
        <is>
          <t>验证迁移数量与关键字段</t>
        </is>
      </c>
      <c r="D42" s="641" t="inlineStr">
        <is>
          <t>BU-MANUAL-TESTING</t>
        </is>
      </c>
      <c r="E42" s="646">
        <f>IF(D42="","",IFERROR(INDEX(BaseUnitCatalogTable[任务族名称],MATCH(D42,BaseUnitCatalogTable[基础单元ID],0)),""))</f>
        <v/>
      </c>
      <c r="F42" s="642" t="inlineStr">
        <is>
          <t>新建</t>
        </is>
      </c>
      <c r="G42" s="648" t="inlineStr">
        <is>
          <t>新增数量、金额、业务主键、抽样字段和失败补偿核对场景。</t>
        </is>
      </c>
      <c r="H42" s="649" t="inlineStr">
        <is>
          <t>M</t>
        </is>
      </c>
      <c r="I42" s="648" t="inlineStr"/>
      <c r="J42" s="648" t="inlineStr"/>
      <c r="K42" s="648" t="inlineStr"/>
      <c r="L42" s="648" t="inlineStr">
        <is>
          <t>一个迁移核对与业务签署测试实例。</t>
        </is>
      </c>
      <c r="M42" s="645">
        <f>IF(OR(A42="",D42="",F42=""),"",IFERROR(IF(F42="新建",INDEX(BaseUnitCatalogTable[新建M档人天],MATCH(D42,BaseUnitCatalogTable[基础单元ID],0)),IF(F42="调整",INDEX(BaseUnitCatalogTable[调整M档人天],MATCH(D42,BaseUnitCatalogTable[基础单元ID],0)),IF(F42="接入复用",INDEX(BaseUnitCatalogTable[接入复用M档人天],MATCH(D42,BaseUnitCatalogTable[基础单元ID],0)),""))),""))</f>
        <v/>
      </c>
      <c r="N42" s="645">
        <f>IF(OR(A42="",H42=""),"",IFERROR(INDEX(ProjectParameterTable[值],MATCH("K_COMPLEXITY_"&amp;H42,ProjectParameterTable[参数代码],0)),""))</f>
        <v/>
      </c>
      <c r="O42" s="645">
        <f>IF(OR(A42="",NOT(ISNUMBER(M42)),NOT(ISNUMBER(N42))),"",ROUND(M42*N42,1))</f>
        <v/>
      </c>
    </row>
    <row r="43" ht="38" customHeight="1">
      <c r="A43" s="641" t="inlineStr">
        <is>
          <t>task-observability-dashboard</t>
        </is>
      </c>
      <c r="B43" s="641" t="inlineStr">
        <is>
          <t>story-observability</t>
        </is>
      </c>
      <c r="C43" s="641" t="inlineStr">
        <is>
          <t>调整既有统一监控平台的交易与财务看板</t>
        </is>
      </c>
      <c r="D43" s="641" t="inlineStr">
        <is>
          <t>BU-OBSERVABILITY-AUDIT</t>
        </is>
      </c>
      <c r="E43" s="646">
        <f>IF(D43="","",IFERROR(INDEX(BaseUnitCatalogTable[任务族名称],MATCH(D43,BaseUnitCatalogTable[基础单元ID],0)),""))</f>
        <v/>
      </c>
      <c r="F43" s="642" t="inlineStr">
        <is>
          <t>调整</t>
        </is>
      </c>
      <c r="G43" s="648" t="inlineStr">
        <is>
          <t>在既有统一监控平台新增订单成功率、退款失败、开票积压和对账延迟指标。</t>
        </is>
      </c>
      <c r="H43" s="649" t="inlineStr">
        <is>
          <t>M</t>
        </is>
      </c>
      <c r="I43" s="648" t="inlineStr"/>
      <c r="J43" s="648" t="inlineStr"/>
      <c r="K43" s="648" t="inlineStr">
        <is>
          <t>effective-start-monitoring-platform</t>
        </is>
      </c>
      <c r="L43" s="648" t="inlineStr">
        <is>
          <t>一个核心交易与财务作业可观测性实例。</t>
        </is>
      </c>
      <c r="M43" s="645">
        <f>IF(OR(A43="",D43="",F43=""),"",IFERROR(IF(F43="新建",INDEX(BaseUnitCatalogTable[新建M档人天],MATCH(D43,BaseUnitCatalogTable[基础单元ID],0)),IF(F43="调整",INDEX(BaseUnitCatalogTable[调整M档人天],MATCH(D43,BaseUnitCatalogTable[基础单元ID],0)),IF(F43="接入复用",INDEX(BaseUnitCatalogTable[接入复用M档人天],MATCH(D43,BaseUnitCatalogTable[基础单元ID],0)),""))),""))</f>
        <v/>
      </c>
      <c r="N43" s="645">
        <f>IF(OR(A43="",H43=""),"",IFERROR(INDEX(ProjectParameterTable[值],MATCH("K_COMPLEXITY_"&amp;H43,ProjectParameterTable[参数代码],0)),""))</f>
        <v/>
      </c>
      <c r="O43" s="645">
        <f>IF(OR(A43="",NOT(ISNUMBER(M43)),NOT(ISNUMBER(N43))),"",ROUND(M43*N43,1))</f>
        <v/>
      </c>
    </row>
    <row r="44" ht="38" customHeight="1">
      <c r="A44" s="641" t="inlineStr">
        <is>
          <t>task-reliability-controls</t>
        </is>
      </c>
      <c r="B44" s="641" t="inlineStr">
        <is>
          <t>story-observability</t>
        </is>
      </c>
      <c r="C44" s="641" t="inlineStr">
        <is>
          <t>新建关键链路稳定性控制</t>
        </is>
      </c>
      <c r="D44" s="641" t="inlineStr">
        <is>
          <t>BU-PERFORMANCE-RELIABILITY</t>
        </is>
      </c>
      <c r="E44" s="646">
        <f>IF(D44="","",IFERROR(INDEX(BaseUnitCatalogTable[任务族名称],MATCH(D44,BaseUnitCatalogTable[基础单元ID],0)),""))</f>
        <v/>
      </c>
      <c r="F44" s="642" t="inlineStr">
        <is>
          <t>新建</t>
        </is>
      </c>
      <c r="G44" s="648" t="inlineStr">
        <is>
          <t>新增 ERP、支付和发票调用的超时、限流、重试与熔断配置。</t>
        </is>
      </c>
      <c r="H44" s="649" t="inlineStr">
        <is>
          <t>M</t>
        </is>
      </c>
      <c r="I44" s="648" t="inlineStr"/>
      <c r="J44" s="648" t="inlineStr"/>
      <c r="K44" s="648" t="inlineStr"/>
      <c r="L44" s="648" t="inlineStr">
        <is>
          <t>一个跨外部依赖的性能与稳定性保障实例。</t>
        </is>
      </c>
      <c r="M44" s="645">
        <f>IF(OR(A44="",D44="",F44=""),"",IFERROR(IF(F44="新建",INDEX(BaseUnitCatalogTable[新建M档人天],MATCH(D44,BaseUnitCatalogTable[基础单元ID],0)),IF(F44="调整",INDEX(BaseUnitCatalogTable[调整M档人天],MATCH(D44,BaseUnitCatalogTable[基础单元ID],0)),IF(F44="接入复用",INDEX(BaseUnitCatalogTable[接入复用M档人天],MATCH(D44,BaseUnitCatalogTable[基础单元ID],0)),""))),""))</f>
        <v/>
      </c>
      <c r="N44" s="645">
        <f>IF(OR(A44="",H44=""),"",IFERROR(INDEX(ProjectParameterTable[值],MATCH("K_COMPLEXITY_"&amp;H44,ProjectParameterTable[参数代码],0)),""))</f>
        <v/>
      </c>
      <c r="O44" s="645">
        <f>IF(OR(A44="",NOT(ISNUMBER(M44)),NOT(ISNUMBER(N44))),"",ROUND(M44*N44,1))</f>
        <v/>
      </c>
    </row>
    <row r="45" ht="38" customHeight="1">
      <c r="A45" s="641" t="inlineStr">
        <is>
          <t>task-ops-handover</t>
        </is>
      </c>
      <c r="B45" s="641" t="inlineStr">
        <is>
          <t>story-ops-handover</t>
        </is>
      </c>
      <c r="C45" s="641" t="inlineStr">
        <is>
          <t>调整既有统一监控平台的运维手册与交接</t>
        </is>
      </c>
      <c r="D45" s="641" t="inlineStr">
        <is>
          <t>BU-OPS-HANDOVER</t>
        </is>
      </c>
      <c r="E45" s="646">
        <f>IF(D45="","",IFERROR(INDEX(BaseUnitCatalogTable[任务族名称],MATCH(D45,BaseUnitCatalogTable[基础单元ID],0)),""))</f>
        <v/>
      </c>
      <c r="F45" s="642" t="inlineStr">
        <is>
          <t>调整</t>
        </is>
      </c>
      <c r="G45" s="648" t="inlineStr">
        <is>
          <t>基于既有统一监控平台补齐指标说明、责任人、通知渠道、排障和升级流程。</t>
        </is>
      </c>
      <c r="H45" s="649" t="inlineStr">
        <is>
          <t>M</t>
        </is>
      </c>
      <c r="I45" s="648" t="inlineStr"/>
      <c r="J45" s="648" t="inlineStr"/>
      <c r="K45" s="648" t="inlineStr">
        <is>
          <t>effective-start-monitoring-platform</t>
        </is>
      </c>
      <c r="L45" s="648" t="inlineStr">
        <is>
          <t>一个运维交接包和一次故障演练实例。</t>
        </is>
      </c>
      <c r="M45" s="645">
        <f>IF(OR(A45="",D45="",F45=""),"",IFERROR(IF(F45="新建",INDEX(BaseUnitCatalogTable[新建M档人天],MATCH(D45,BaseUnitCatalogTable[基础单元ID],0)),IF(F45="调整",INDEX(BaseUnitCatalogTable[调整M档人天],MATCH(D45,BaseUnitCatalogTable[基础单元ID],0)),IF(F45="接入复用",INDEX(BaseUnitCatalogTable[接入复用M档人天],MATCH(D45,BaseUnitCatalogTable[基础单元ID],0)),""))),""))</f>
        <v/>
      </c>
      <c r="N45" s="645">
        <f>IF(OR(A45="",H45=""),"",IFERROR(INDEX(ProjectParameterTable[值],MATCH("K_COMPLEXITY_"&amp;H45,ProjectParameterTable[参数代码],0)),""))</f>
        <v/>
      </c>
      <c r="O45" s="645">
        <f>IF(OR(A45="",NOT(ISNUMBER(M45)),NOT(ISNUMBER(N45))),"",ROUND(M45*N45,1))</f>
        <v/>
      </c>
    </row>
    <row r="46" ht="38" customHeight="1">
      <c r="A46" s="641" t="inlineStr">
        <is>
          <t>task-user-training</t>
        </is>
      </c>
      <c r="B46" s="641" t="inlineStr">
        <is>
          <t>story-user-training</t>
        </is>
      </c>
      <c r="C46" s="641" t="inlineStr">
        <is>
          <t>交付门店客服财务培训</t>
        </is>
      </c>
      <c r="D46" s="641" t="inlineStr">
        <is>
          <t>BU-USER-TRAINING</t>
        </is>
      </c>
      <c r="E46" s="646">
        <f>IF(D46="","",IFERROR(INDEX(BaseUnitCatalogTable[任务族名称],MATCH(D46,BaseUnitCatalogTable[基础单元ID],0)),""))</f>
        <v/>
      </c>
      <c r="F46" s="642" t="inlineStr">
        <is>
          <t>新建</t>
        </is>
      </c>
      <c r="G46" s="648" t="inlineStr">
        <is>
          <t>新增门店、客服和财务三类角色材料，并组织两场培训和反馈收集。</t>
        </is>
      </c>
      <c r="H46" s="649" t="inlineStr">
        <is>
          <t>M</t>
        </is>
      </c>
      <c r="I46" s="648" t="inlineStr"/>
      <c r="J46" s="648" t="inlineStr"/>
      <c r="K46" s="648" t="inlineStr"/>
      <c r="L46" s="648" t="inlineStr">
        <is>
          <t>一个角色化用户培训与使用材料交付实例。</t>
        </is>
      </c>
      <c r="M46" s="645">
        <f>IF(OR(A46="",D46="",F46=""),"",IFERROR(IF(F46="新建",INDEX(BaseUnitCatalogTable[新建M档人天],MATCH(D46,BaseUnitCatalogTable[基础单元ID],0)),IF(F46="调整",INDEX(BaseUnitCatalogTable[调整M档人天],MATCH(D46,BaseUnitCatalogTable[基础单元ID],0)),IF(F46="接入复用",INDEX(BaseUnitCatalogTable[接入复用M档人天],MATCH(D46,BaseUnitCatalogTable[基础单元ID],0)),""))),""))</f>
        <v/>
      </c>
      <c r="N46" s="645">
        <f>IF(OR(A46="",H46=""),"",IFERROR(INDEX(ProjectParameterTable[值],MATCH("K_COMPLEXITY_"&amp;H46,ProjectParameterTable[参数代码],0)),""))</f>
        <v/>
      </c>
      <c r="O46" s="645">
        <f>IF(OR(A46="",NOT(ISNUMBER(M46)),NOT(ISNUMBER(N46))),"",ROUND(M46*N46,1))</f>
        <v/>
      </c>
    </row>
    <row r="47" ht="38" customHeight="1">
      <c r="A47" s="641" t="inlineStr">
        <is>
          <t>task-test-framework</t>
        </is>
      </c>
      <c r="B47" s="641" t="inlineStr">
        <is>
          <t>story-test-automation</t>
        </is>
      </c>
      <c r="C47" s="641" t="inlineStr">
        <is>
          <t>调整既有回归测试资产的自动化框架</t>
        </is>
      </c>
      <c r="D47" s="641" t="inlineStr">
        <is>
          <t>BU-AUTOMATION-FRAMEWORK</t>
        </is>
      </c>
      <c r="E47" s="646">
        <f>IF(D47="","",IFERROR(INDEX(BaseUnitCatalogTable[任务族名称],MATCH(D47,BaseUnitCatalogTable[基础单元ID],0)),""))</f>
        <v/>
      </c>
      <c r="F47" s="642" t="inlineStr">
        <is>
          <t>调整</t>
        </is>
      </c>
      <c r="G47" s="648" t="inlineStr">
        <is>
          <t>扩展既有回归测试资产的认证、测试数据、异步回调和报告能力。</t>
        </is>
      </c>
      <c r="H47" s="649" t="inlineStr">
        <is>
          <t>M</t>
        </is>
      </c>
      <c r="I47" s="648" t="inlineStr"/>
      <c r="J47" s="648" t="inlineStr"/>
      <c r="K47" s="648" t="inlineStr">
        <is>
          <t>effective-start-test-assets</t>
        </is>
      </c>
      <c r="L47" s="648" t="inlineStr">
        <is>
          <t>一个 API 自动化测试框架调整实例。</t>
        </is>
      </c>
      <c r="M47" s="645">
        <f>IF(OR(A47="",D47="",F47=""),"",IFERROR(IF(F47="新建",INDEX(BaseUnitCatalogTable[新建M档人天],MATCH(D47,BaseUnitCatalogTable[基础单元ID],0)),IF(F47="调整",INDEX(BaseUnitCatalogTable[调整M档人天],MATCH(D47,BaseUnitCatalogTable[基础单元ID],0)),IF(F47="接入复用",INDEX(BaseUnitCatalogTable[接入复用M档人天],MATCH(D47,BaseUnitCatalogTable[基础单元ID],0)),""))),""))</f>
        <v/>
      </c>
      <c r="N47" s="645">
        <f>IF(OR(A47="",H47=""),"",IFERROR(INDEX(ProjectParameterTable[值],MATCH("K_COMPLEXITY_"&amp;H47,ProjectParameterTable[参数代码],0)),""))</f>
        <v/>
      </c>
      <c r="O47" s="645">
        <f>IF(OR(A47="",NOT(ISNUMBER(M47)),NOT(ISNUMBER(N47))),"",ROUND(M47*N47,1))</f>
        <v/>
      </c>
    </row>
    <row r="48" ht="38" customHeight="1">
      <c r="A48" s="641" t="inlineStr">
        <is>
          <t>task-test-cases</t>
        </is>
      </c>
      <c r="B48" s="641" t="inlineStr">
        <is>
          <t>story-test-automation</t>
        </is>
      </c>
      <c r="C48" s="641" t="inlineStr">
        <is>
          <t>调整既有回归测试资产的核心自动化用例</t>
        </is>
      </c>
      <c r="D48" s="641" t="inlineStr">
        <is>
          <t>BU-AUTOMATION-CASES</t>
        </is>
      </c>
      <c r="E48" s="646">
        <f>IF(D48="","",IFERROR(INDEX(BaseUnitCatalogTable[任务族名称],MATCH(D48,BaseUnitCatalogTable[基础单元ID],0)),""))</f>
        <v/>
      </c>
      <c r="F48" s="642" t="inlineStr">
        <is>
          <t>调整</t>
        </is>
      </c>
      <c r="G48" s="648" t="inlineStr">
        <is>
          <t>在既有回归测试资产中增加订单状态、库存、退款、开票和对账自动化用例。</t>
        </is>
      </c>
      <c r="H48" s="649" t="inlineStr">
        <is>
          <t>L</t>
        </is>
      </c>
      <c r="I48" s="648" t="inlineStr">
        <is>
          <t>覆盖五条跨系统链路、异步结果、失败补偿和财务金额断言，数据组合较多。</t>
        </is>
      </c>
      <c r="J48" s="648" t="inlineStr"/>
      <c r="K48" s="648" t="inlineStr">
        <is>
          <t>effective-start-test-assets</t>
        </is>
      </c>
      <c r="L48" s="648" t="inlineStr">
        <is>
          <t>一个核心业务自动化用例集实例。</t>
        </is>
      </c>
      <c r="M48" s="645">
        <f>IF(OR(A48="",D48="",F48=""),"",IFERROR(IF(F48="新建",INDEX(BaseUnitCatalogTable[新建M档人天],MATCH(D48,BaseUnitCatalogTable[基础单元ID],0)),IF(F48="调整",INDEX(BaseUnitCatalogTable[调整M档人天],MATCH(D48,BaseUnitCatalogTable[基础单元ID],0)),IF(F48="接入复用",INDEX(BaseUnitCatalogTable[接入复用M档人天],MATCH(D48,BaseUnitCatalogTable[基础单元ID],0)),""))),""))</f>
        <v/>
      </c>
      <c r="N48" s="645">
        <f>IF(OR(A48="",H48=""),"",IFERROR(INDEX(ProjectParameterTable[值],MATCH("K_COMPLEXITY_"&amp;H48,ProjectParameterTable[参数代码],0)),""))</f>
        <v/>
      </c>
      <c r="O48" s="645">
        <f>IF(OR(A48="",NOT(ISNUMBER(M48)),NOT(ISNUMBER(N48))),"",ROUND(M48*N48,1))</f>
        <v/>
      </c>
    </row>
    <row r="49" ht="38" customHeight="1">
      <c r="A49" s="641" t="inlineStr">
        <is>
          <t>task-compatibility-matrix</t>
        </is>
      </c>
      <c r="B49" s="641" t="inlineStr">
        <is>
          <t>story-test-non-uat</t>
        </is>
      </c>
      <c r="C49" s="641" t="inlineStr">
        <is>
          <t>调整既有回归测试资产的兼容矩阵</t>
        </is>
      </c>
      <c r="D49" s="641" t="inlineStr">
        <is>
          <t>BU-COMPATIBILITY-ACCESSIBILITY-TESTING</t>
        </is>
      </c>
      <c r="E49" s="646">
        <f>IF(D49="","",IFERROR(INDEX(BaseUnitCatalogTable[任务族名称],MATCH(D49,BaseUnitCatalogTable[基础单元ID],0)),""))</f>
        <v/>
      </c>
      <c r="F49" s="642" t="inlineStr">
        <is>
          <t>调整</t>
        </is>
      </c>
      <c r="G49" s="648" t="inlineStr">
        <is>
          <t>根据既有回归测试资产更新浏览器、门店设备和无障碍检查范围。</t>
        </is>
      </c>
      <c r="H49" s="649" t="inlineStr">
        <is>
          <t>S</t>
        </is>
      </c>
      <c r="I49" s="648" t="inlineStr">
        <is>
          <t>仅验证两类浏览器和一种门店设备，沿用现有脚本且无新增终端。</t>
        </is>
      </c>
      <c r="J49" s="648" t="inlineStr"/>
      <c r="K49" s="648" t="inlineStr">
        <is>
          <t>effective-start-test-assets</t>
        </is>
      </c>
      <c r="L49" s="648" t="inlineStr">
        <is>
          <t>一个兼容性与无障碍测试矩阵实例。</t>
        </is>
      </c>
      <c r="M49" s="645">
        <f>IF(OR(A49="",D49="",F49=""),"",IFERROR(IF(F49="新建",INDEX(BaseUnitCatalogTable[新建M档人天],MATCH(D49,BaseUnitCatalogTable[基础单元ID],0)),IF(F49="调整",INDEX(BaseUnitCatalogTable[调整M档人天],MATCH(D49,BaseUnitCatalogTable[基础单元ID],0)),IF(F49="接入复用",INDEX(BaseUnitCatalogTable[接入复用M档人天],MATCH(D49,BaseUnitCatalogTable[基础单元ID],0)),""))),""))</f>
        <v/>
      </c>
      <c r="N49" s="645">
        <f>IF(OR(A49="",H49=""),"",IFERROR(INDEX(ProjectParameterTable[值],MATCH("K_COMPLEXITY_"&amp;H49,ProjectParameterTable[参数代码],0)),""))</f>
        <v/>
      </c>
      <c r="O49" s="645">
        <f>IF(OR(A49="",NOT(ISNUMBER(M49)),NOT(ISNUMBER(N49))),"",ROUND(M49*N49,1))</f>
        <v/>
      </c>
    </row>
    <row r="50" ht="38" customHeight="1">
      <c r="A50" s="641" t="inlineStr">
        <is>
          <t>task-engineering-regression</t>
        </is>
      </c>
      <c r="B50" s="641" t="inlineStr">
        <is>
          <t>story-test-non-uat</t>
        </is>
      </c>
      <c r="C50" s="641" t="inlineStr">
        <is>
          <t>调整既有回归测试资产的工程回归范围</t>
        </is>
      </c>
      <c r="D50" s="641" t="inlineStr">
        <is>
          <t>BU-MANUAL-TESTING</t>
        </is>
      </c>
      <c r="E50" s="646">
        <f>IF(D50="","",IFERROR(INDEX(BaseUnitCatalogTable[任务族名称],MATCH(D50,BaseUnitCatalogTable[基础单元ID],0)),""))</f>
        <v/>
      </c>
      <c r="F50" s="642" t="inlineStr">
        <is>
          <t>调整</t>
        </is>
      </c>
      <c r="G50" s="648" t="inlineStr">
        <is>
          <t>基于既有回归测试资产补充配置、权限、作业恢复和日志审计检查。</t>
        </is>
      </c>
      <c r="H50" s="649" t="inlineStr">
        <is>
          <t>S</t>
        </is>
      </c>
      <c r="I50" s="648" t="inlineStr">
        <is>
          <t>四项工程检查均有现成步骤，只需补充新配置和日志断言。</t>
        </is>
      </c>
      <c r="J50" s="648" t="inlineStr"/>
      <c r="K50" s="648" t="inlineStr">
        <is>
          <t>effective-start-test-assets</t>
        </is>
      </c>
      <c r="L50" s="648" t="inlineStr">
        <is>
          <t>一个不计入 UAT 分母的工程回归测试实例。</t>
        </is>
      </c>
      <c r="M50" s="645">
        <f>IF(OR(A50="",D50="",F50=""),"",IFERROR(IF(F50="新建",INDEX(BaseUnitCatalogTable[新建M档人天],MATCH(D50,BaseUnitCatalogTable[基础单元ID],0)),IF(F50="调整",INDEX(BaseUnitCatalogTable[调整M档人天],MATCH(D50,BaseUnitCatalogTable[基础单元ID],0)),IF(F50="接入复用",INDEX(BaseUnitCatalogTable[接入复用M档人天],MATCH(D50,BaseUnitCatalogTable[基础单元ID],0)),""))),""))</f>
        <v/>
      </c>
      <c r="N50" s="645">
        <f>IF(OR(A50="",H50=""),"",IFERROR(INDEX(ProjectParameterTable[值],MATCH("K_COMPLEXITY_"&amp;H50,ProjectParameterTable[参数代码],0)),""))</f>
        <v/>
      </c>
      <c r="O50" s="645">
        <f>IF(OR(A50="",NOT(ISNUMBER(M50)),NOT(ISNUMBER(N50))),"",ROUND(M50*N50,1))</f>
        <v/>
      </c>
    </row>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sheetData>
  <mergeCells count="2">
    <mergeCell ref="A1:O1"/>
    <mergeCell ref="A2:O2"/>
  </mergeCells>
  <dataValidations count="5">
    <dataValidation sqref="B5:B504" showDropDown="0" showInputMessage="0" showErrorMessage="0" allowBlank="0" type="list">
      <formula1>INDIRECT("'03-SOW主表'!$A$5:$A$104")</formula1>
    </dataValidation>
    <dataValidation sqref="D5:D504" showDropDown="0" showInputMessage="0" showErrorMessage="0" allowBlank="0" type="list">
      <formula1>INDIRECT("'92-基础人天'!$C$5:$C$41")</formula1>
    </dataValidation>
    <dataValidation sqref="F5:F504" showDropDown="0" showInputMessage="0" showErrorMessage="0" allowBlank="0" type="list">
      <formula1>"新建,调整,接入复用"</formula1>
    </dataValidation>
    <dataValidation sqref="H5:H504" showDropDown="0" showInputMessage="0" showErrorMessage="0" allowBlank="0" type="list">
      <formula1>"S,M,L"</formula1>
    </dataValidation>
    <dataValidation sqref="J5:J504" showDropDown="0" showInputMessage="0" showErrorMessage="0" allowBlank="0" type="list">
      <formula1>INDIRECT("'06-集成点'!$A$5:$A$104")</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04"/>
  <sheetViews>
    <sheetView showGridLines="0" workbookViewId="0">
      <pane ySplit="3" topLeftCell="A4" activePane="bottomLeft" state="frozen"/>
      <selection pane="bottomLeft" activeCell="A1" sqref="A1"/>
    </sheetView>
  </sheetViews>
  <sheetFormatPr baseColWidth="8" defaultColWidth="9" defaultRowHeight="16.79999923706055"/>
  <cols>
    <col width="24" customWidth="1" min="1" max="1"/>
    <col width="20" customWidth="1" min="2" max="2"/>
    <col width="30" customWidth="1" min="3" max="3"/>
    <col width="30" customWidth="1" min="4" max="4"/>
    <col width="36" customWidth="1" min="5" max="5"/>
    <col width="15" customWidth="1" min="6" max="6"/>
    <col width="34" customWidth="1" min="7" max="7"/>
    <col width="16" customWidth="1" min="8" max="8"/>
    <col width="22" customWidth="1" min="9" max="9"/>
    <col width="15" customWidth="1" min="10" max="10"/>
    <col width="13" customWidth="1" min="11" max="11"/>
    <col width="14" customWidth="1" min="12" max="12"/>
    <col width="14" customWidth="1" min="13" max="13"/>
  </cols>
  <sheetData>
    <row r="1" ht="31" customHeight="1">
      <c r="A1" s="390" t="inlineStr">
        <is>
          <t>集成点</t>
        </is>
      </c>
      <c r="B1" s="635" t="n"/>
      <c r="C1" s="635" t="n"/>
      <c r="D1" s="635" t="n"/>
      <c r="E1" s="635" t="n"/>
      <c r="F1" s="635" t="n"/>
      <c r="G1" s="635" t="n"/>
      <c r="H1" s="635" t="n"/>
      <c r="I1" s="635" t="n"/>
      <c r="J1" s="635" t="n"/>
      <c r="K1" s="635" t="n"/>
      <c r="L1" s="635" t="n"/>
      <c r="M1" s="635" t="n"/>
    </row>
    <row r="2" ht="34" customHeight="1">
      <c r="A2" s="400" t="inlineStr">
        <is>
          <t>一行对应一个顶层 Integration；Integration 独立于 Story 类型；只有引用该 Integration 的内部/外部系统对接 Task 才触发 SIT。</t>
        </is>
      </c>
      <c r="B2" s="636" t="n"/>
      <c r="C2" s="636" t="n"/>
      <c r="D2" s="636" t="n"/>
      <c r="E2" s="636" t="n"/>
      <c r="F2" s="636" t="n"/>
      <c r="G2" s="636" t="n"/>
      <c r="H2" s="636" t="n"/>
      <c r="I2" s="636" t="n"/>
      <c r="J2" s="636" t="n"/>
      <c r="K2" s="636" t="n"/>
      <c r="L2" s="636" t="n"/>
      <c r="M2" s="636" t="n"/>
    </row>
    <row r="3" ht="9" customHeight="1"/>
    <row r="4" ht="38" customHeight="1">
      <c r="A4" s="453" t="inlineStr">
        <is>
          <t>Integration ID</t>
        </is>
      </c>
      <c r="B4" s="453" t="inlineStr">
        <is>
          <t>Story ID</t>
        </is>
      </c>
      <c r="C4" s="453" t="inlineStr">
        <is>
          <t>来源</t>
        </is>
      </c>
      <c r="D4" s="453" t="inlineStr">
        <is>
          <t>目标</t>
        </is>
      </c>
      <c r="E4" s="453" t="inlineStr">
        <is>
          <t>触发条件</t>
        </is>
      </c>
      <c r="F4" s="453" t="inlineStr">
        <is>
          <t>方向</t>
        </is>
      </c>
      <c r="G4" s="453" t="inlineStr">
        <is>
          <t>业务目的</t>
        </is>
      </c>
      <c r="H4" s="453" t="inlineStr">
        <is>
          <t>责任边界</t>
        </is>
      </c>
      <c r="I4" s="453" t="inlineStr">
        <is>
          <t>集成Task ID</t>
        </is>
      </c>
      <c r="J4" s="453" t="inlineStr">
        <is>
          <t>工作模式</t>
        </is>
      </c>
      <c r="K4" s="453" t="inlineStr">
        <is>
          <t>复杂度</t>
        </is>
      </c>
      <c r="L4" s="453" t="inlineStr">
        <is>
          <t>支持单价</t>
        </is>
      </c>
      <c r="M4" s="453" t="inlineStr">
        <is>
          <t>SIT人天</t>
        </is>
      </c>
    </row>
    <row r="5" ht="38" customHeight="1">
      <c r="A5" s="641" t="inlineStr">
        <is>
          <t>integration-profile-api</t>
        </is>
      </c>
      <c r="B5" s="641" t="inlineStr">
        <is>
          <t>story-profile-integration</t>
        </is>
      </c>
      <c r="C5" s="641" t="inlineStr">
        <is>
          <t>星云会员门户</t>
        </is>
      </c>
      <c r="D5" s="641" t="inlineStr">
        <is>
          <t>会员主数据服务</t>
        </is>
      </c>
      <c r="E5" s="641" t="inlineStr">
        <is>
          <t>收到客户档案查看请求</t>
        </is>
      </c>
      <c r="F5" s="642" t="inlineStr">
        <is>
          <t>OUTBOUND</t>
        </is>
      </c>
      <c r="G5" s="641" t="inlineStr">
        <is>
          <t>检索统一会员号和授权范围内的客户档案</t>
        </is>
      </c>
      <c r="H5" s="642" t="inlineStr">
        <is>
          <t>内部</t>
        </is>
      </c>
      <c r="I5" s="644">
        <f>IF(A5="","",IFERROR(INDEX(TaskTable[Task ID],MATCH(A5,TaskTable[Integration ID],0)),""))</f>
        <v/>
      </c>
      <c r="J5" s="650">
        <f>IF(I5="","",IFERROR(INDEX(TaskTable[工作模式],MATCH(I5,TaskTable[Task ID],0)),""))</f>
        <v/>
      </c>
      <c r="K5" s="650">
        <f>IF(I5="","",IFERROR(INDEX(TaskTable[复杂度],MATCH(I5,TaskTable[Task ID],0)),""))</f>
        <v/>
      </c>
      <c r="L5" s="645">
        <f>IF(I5="","",IF(H5="内部",INDEX(ProjectParameterTable[值],MATCH("SIT_INT_SUPPORT",ProjectParameterTable[参数代码],0)),IF(H5="外部",INDEX(ProjectParameterTable[值],MATCH("SIT_EXT_SUPPORT",ProjectParameterTable[参数代码],0)),"")))</f>
        <v/>
      </c>
      <c r="M5" s="645">
        <f>IF(OR(I5="",L5=""),"",ROUND(L5*IFERROR(INDEX(TaskTable[复杂度倍率],MATCH(I5,TaskTable[Task ID],0)),0),1))</f>
        <v/>
      </c>
    </row>
    <row r="6" ht="38" customHeight="1">
      <c r="A6" s="641" t="inlineStr">
        <is>
          <t>integration-erp-reservation</t>
        </is>
      </c>
      <c r="B6" s="641" t="inlineStr">
        <is>
          <t>story-inventory-reservation</t>
        </is>
      </c>
      <c r="C6" s="641" t="inlineStr">
        <is>
          <t>订单服务</t>
        </is>
      </c>
      <c r="D6" s="641" t="inlineStr">
        <is>
          <t>ERP</t>
        </is>
      </c>
      <c r="E6" s="641" t="inlineStr">
        <is>
          <t>订单确认、取消或预占超时</t>
        </is>
      </c>
      <c r="F6" s="642" t="inlineStr">
        <is>
          <t>OUTBOUND</t>
        </is>
      </c>
      <c r="G6" s="641" t="inlineStr">
        <is>
          <t>预占或释放门店与仓库库存</t>
        </is>
      </c>
      <c r="H6" s="642" t="inlineStr">
        <is>
          <t>内部</t>
        </is>
      </c>
      <c r="I6" s="644">
        <f>IF(A6="","",IFERROR(INDEX(TaskTable[Task ID],MATCH(A6,TaskTable[Integration ID],0)),""))</f>
        <v/>
      </c>
      <c r="J6" s="650">
        <f>IF(I6="","",IFERROR(INDEX(TaskTable[工作模式],MATCH(I6,TaskTable[Task ID],0)),""))</f>
        <v/>
      </c>
      <c r="K6" s="650">
        <f>IF(I6="","",IFERROR(INDEX(TaskTable[复杂度],MATCH(I6,TaskTable[Task ID],0)),""))</f>
        <v/>
      </c>
      <c r="L6" s="645">
        <f>IF(I6="","",IF(H6="内部",INDEX(ProjectParameterTable[值],MATCH("SIT_INT_SUPPORT",ProjectParameterTable[参数代码],0)),IF(H6="外部",INDEX(ProjectParameterTable[值],MATCH("SIT_EXT_SUPPORT",ProjectParameterTable[参数代码],0)),"")))</f>
        <v/>
      </c>
      <c r="M6" s="645">
        <f>IF(OR(I6="",L6=""),"",ROUND(L6*IFERROR(INDEX(TaskTable[复杂度倍率],MATCH(I6,TaskTable[Task ID],0)),0),1))</f>
        <v/>
      </c>
    </row>
    <row r="7" ht="38" customHeight="1">
      <c r="A7" s="641" t="inlineStr">
        <is>
          <t>integration-payment-gateway</t>
        </is>
      </c>
      <c r="B7" s="641" t="inlineStr">
        <is>
          <t>story-refund-payment</t>
        </is>
      </c>
      <c r="C7" s="641" t="inlineStr">
        <is>
          <t>订单服务</t>
        </is>
      </c>
      <c r="D7" s="641" t="inlineStr">
        <is>
          <t>支付网关</t>
        </is>
      </c>
      <c r="E7" s="641" t="inlineStr">
        <is>
          <t>退货审核通过</t>
        </is>
      </c>
      <c r="F7" s="642" t="inlineStr">
        <is>
          <t>OUTBOUND</t>
        </is>
      </c>
      <c r="G7" s="641" t="inlineStr">
        <is>
          <t>发起退款并查询或接收退款结果</t>
        </is>
      </c>
      <c r="H7" s="642" t="inlineStr">
        <is>
          <t>外部</t>
        </is>
      </c>
      <c r="I7" s="644">
        <f>IF(A7="","",IFERROR(INDEX(TaskTable[Task ID],MATCH(A7,TaskTable[Integration ID],0)),""))</f>
        <v/>
      </c>
      <c r="J7" s="650">
        <f>IF(I7="","",IFERROR(INDEX(TaskTable[工作模式],MATCH(I7,TaskTable[Task ID],0)),""))</f>
        <v/>
      </c>
      <c r="K7" s="650">
        <f>IF(I7="","",IFERROR(INDEX(TaskTable[复杂度],MATCH(I7,TaskTable[Task ID],0)),""))</f>
        <v/>
      </c>
      <c r="L7" s="645">
        <f>IF(I7="","",IF(H7="内部",INDEX(ProjectParameterTable[值],MATCH("SIT_INT_SUPPORT",ProjectParameterTable[参数代码],0)),IF(H7="外部",INDEX(ProjectParameterTable[值],MATCH("SIT_EXT_SUPPORT",ProjectParameterTable[参数代码],0)),"")))</f>
        <v/>
      </c>
      <c r="M7" s="645">
        <f>IF(OR(I7="",L7=""),"",ROUND(L7*IFERROR(INDEX(TaskTable[复杂度倍率],MATCH(I7,TaskTable[Task ID],0)),0),1))</f>
        <v/>
      </c>
    </row>
    <row r="8" ht="38" customHeight="1">
      <c r="A8" s="641" t="inlineStr">
        <is>
          <t>integration-einvoice</t>
        </is>
      </c>
      <c r="B8" s="641" t="inlineStr">
        <is>
          <t>story-einvoice</t>
        </is>
      </c>
      <c r="C8" s="641" t="inlineStr">
        <is>
          <t>订单服务</t>
        </is>
      </c>
      <c r="D8" s="641" t="inlineStr">
        <is>
          <t>电子发票平台</t>
        </is>
      </c>
      <c r="E8" s="641" t="inlineStr">
        <is>
          <t>顾客对已完成订单提交开票申请</t>
        </is>
      </c>
      <c r="F8" s="642" t="inlineStr">
        <is>
          <t>OUTBOUND</t>
        </is>
      </c>
      <c r="G8" s="641" t="inlineStr">
        <is>
          <t>申请电子发票并查询开票状态</t>
        </is>
      </c>
      <c r="H8" s="642" t="inlineStr">
        <is>
          <t>外部</t>
        </is>
      </c>
      <c r="I8" s="644">
        <f>IF(A8="","",IFERROR(INDEX(TaskTable[Task ID],MATCH(A8,TaskTable[Integration ID],0)),""))</f>
        <v/>
      </c>
      <c r="J8" s="650">
        <f>IF(I8="","",IFERROR(INDEX(TaskTable[工作模式],MATCH(I8,TaskTable[Task ID],0)),""))</f>
        <v/>
      </c>
      <c r="K8" s="650">
        <f>IF(I8="","",IFERROR(INDEX(TaskTable[复杂度],MATCH(I8,TaskTable[Task ID],0)),""))</f>
        <v/>
      </c>
      <c r="L8" s="645">
        <f>IF(I8="","",IF(H8="内部",INDEX(ProjectParameterTable[值],MATCH("SIT_INT_SUPPORT",ProjectParameterTable[参数代码],0)),IF(H8="外部",INDEX(ProjectParameterTable[值],MATCH("SIT_EXT_SUPPORT",ProjectParameterTable[参数代码],0)),"")))</f>
        <v/>
      </c>
      <c r="M8" s="645">
        <f>IF(OR(I8="",L8=""),"",ROUND(L8*IFERROR(INDEX(TaskTable[复杂度倍率],MATCH(I8,TaskTable[Task ID],0)),0),1))</f>
        <v/>
      </c>
    </row>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sheetData>
  <mergeCells count="2">
    <mergeCell ref="A2:M2"/>
    <mergeCell ref="A1:M1"/>
  </mergeCells>
  <dataValidations count="3">
    <dataValidation sqref="B5:B104" showDropDown="0" showInputMessage="0" showErrorMessage="0" allowBlank="0" type="list">
      <formula1>INDIRECT("'03-SOW主表'!$A$5:$A$104")</formula1>
    </dataValidation>
    <dataValidation sqref="F5:F104" showDropDown="0" showInputMessage="0" showErrorMessage="0" allowBlank="0" type="list">
      <formula1>"INBOUND,OUTBOUND"</formula1>
    </dataValidation>
    <dataValidation sqref="H5:H104" showDropDown="0" showInputMessage="0" showErrorMessage="0" allowBlank="0" type="list">
      <formula1>"内部,外部"</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I104"/>
  <sheetViews>
    <sheetView showGridLines="0" workbookViewId="0">
      <pane ySplit="3" topLeftCell="A4" activePane="bottomLeft" state="frozen"/>
      <selection pane="bottomLeft" activeCell="A1" sqref="A1"/>
    </sheetView>
  </sheetViews>
  <sheetFormatPr baseColWidth="8" defaultColWidth="9" defaultRowHeight="16.79999923706055"/>
  <cols>
    <col width="19" customWidth="1" min="1" max="1"/>
    <col width="13" customWidth="1" min="2" max="2"/>
    <col width="28" customWidth="1" min="3" max="3"/>
    <col width="40" customWidth="1" min="4" max="4"/>
    <col width="30" customWidth="1" min="5" max="5"/>
    <col width="26" customWidth="1" min="6" max="6"/>
    <col width="14" customWidth="1" min="7" max="7"/>
    <col width="36" customWidth="1" min="8" max="8"/>
    <col width="18" customWidth="1" min="9" max="9"/>
  </cols>
  <sheetData>
    <row r="1" ht="31" customHeight="1">
      <c r="A1" s="390" t="inlineStr">
        <is>
          <t>假设与风险清单</t>
        </is>
      </c>
      <c r="B1" s="635" t="n"/>
      <c r="C1" s="635" t="n"/>
      <c r="D1" s="635" t="n"/>
      <c r="E1" s="635" t="n"/>
      <c r="F1" s="635" t="n"/>
      <c r="G1" s="635" t="n"/>
      <c r="H1" s="635" t="n"/>
      <c r="I1" s="635" t="n"/>
    </row>
    <row r="2" ht="34" customHeight="1">
      <c r="A2" s="400" t="inlineStr">
        <is>
          <t>每个假设或风险一行；关联的 Story ID 按输入顺序去重并以顿号连接；待确认项计入风险人天</t>
        </is>
      </c>
      <c r="B2" s="636" t="n"/>
      <c r="C2" s="636" t="n"/>
      <c r="D2" s="636" t="n"/>
      <c r="E2" s="636" t="n"/>
      <c r="F2" s="636" t="n"/>
      <c r="G2" s="636" t="n"/>
      <c r="H2" s="636" t="n"/>
      <c r="I2" s="636" t="n"/>
    </row>
    <row r="3" ht="9" customHeight="1"/>
    <row r="4" ht="38" customHeight="1">
      <c r="A4" s="453" t="inlineStr">
        <is>
          <t>假设ID</t>
        </is>
      </c>
      <c r="B4" s="453" t="inlineStr">
        <is>
          <t>类型</t>
        </is>
      </c>
      <c r="C4" s="453" t="inlineStr">
        <is>
          <t>名称</t>
        </is>
      </c>
      <c r="D4" s="453" t="inlineStr">
        <is>
          <t>触发条件</t>
        </is>
      </c>
      <c r="E4" s="453" t="inlineStr">
        <is>
          <t>关联 Story ID</t>
        </is>
      </c>
      <c r="F4" s="453" t="inlineStr">
        <is>
          <t>责任边界</t>
        </is>
      </c>
      <c r="G4" s="453" t="inlineStr">
        <is>
          <t>状态</t>
        </is>
      </c>
      <c r="H4" s="453" t="inlineStr">
        <is>
          <t>处理方式</t>
        </is>
      </c>
      <c r="I4" s="453" t="inlineStr">
        <is>
          <t>关联 Story 人天</t>
        </is>
      </c>
    </row>
    <row r="5" ht="38" customHeight="1">
      <c r="A5" s="641" t="inlineStr">
        <is>
          <t>assumption-profile-api-availability</t>
        </is>
      </c>
      <c r="B5" s="642" t="inlineStr">
        <is>
          <t>假设</t>
        </is>
      </c>
      <c r="C5" s="641" t="inlineStr">
        <is>
          <t>会员主数据服务在联调期间可用</t>
        </is>
      </c>
      <c r="D5" s="641" t="inlineStr">
        <is>
          <t>客户档案内部集成测试开始</t>
        </is>
      </c>
      <c r="E5" s="641" t="inlineStr">
        <is>
          <t>story-profile-integration、story-member-tier</t>
        </is>
      </c>
      <c r="F5" s="641" t="inlineStr">
        <is>
          <t>会员主数据团队提供稳定的 SIT 端点和测试账号</t>
        </is>
      </c>
      <c r="G5" s="642" t="inlineStr">
        <is>
          <t>已明确</t>
        </is>
      </c>
      <c r="H5" s="641" t="inlineStr">
        <is>
          <t>按已确认的联调窗口执行系统集成测试</t>
        </is>
      </c>
      <c r="I5" s="645">
        <f>IF(OR(E5="",G5&lt;&gt;"待确认"),0,IFERROR(INDEX(SOWStoryTable[人天],MATCH(E5,SOWStoryTable[Story ID],0)),0))</f>
        <v/>
      </c>
    </row>
    <row r="6" ht="38" customHeight="1">
      <c r="A6" s="641" t="inlineStr">
        <is>
          <t>assumption-risk-profile-alert-channel</t>
        </is>
      </c>
      <c r="B6" s="642" t="inlineStr">
        <is>
          <t>风险</t>
        </is>
      </c>
      <c r="C6" s="641" t="inlineStr">
        <is>
          <t>生产告警通知渠道待确认</t>
        </is>
      </c>
      <c r="D6" s="641" t="inlineStr">
        <is>
          <t>生产准备评审前仍未登记最终通知渠道</t>
        </is>
      </c>
      <c r="E6" s="641" t="inlineStr">
        <is>
          <t>story-profile-integration、story-observability、story-production-validation</t>
        </is>
      </c>
      <c r="F6" s="641" t="inlineStr">
        <is>
          <t>运维团队确认邮件、工单或值班群以及接收人</t>
        </is>
      </c>
      <c r="G6" s="642" t="inlineStr">
        <is>
          <t>待确认</t>
        </is>
      </c>
      <c r="H6" s="641" t="inlineStr">
        <is>
          <t>上线前确认渠道并写入监控配置和运维手册</t>
        </is>
      </c>
      <c r="I6" s="645">
        <f>IF(OR(E6="",G6&lt;&gt;"待确认"),0,IFERROR(INDEX(SOWStoryTable[人天],MATCH(E6,SOWStoryTable[Story ID],0)),0))</f>
        <v/>
      </c>
    </row>
    <row r="7" ht="38" customHeight="1">
      <c r="A7" s="641" t="inlineStr">
        <is>
          <t>assumption-erp-sit-window</t>
        </is>
      </c>
      <c r="B7" s="642" t="inlineStr">
        <is>
          <t>假设</t>
        </is>
      </c>
      <c r="C7" s="641" t="inlineStr">
        <is>
          <t>ERP SIT 环境按工作日窗口开放</t>
        </is>
      </c>
      <c r="D7" s="641" t="inlineStr">
        <is>
          <t>库存预占联调计划基线确认</t>
        </is>
      </c>
      <c r="E7" s="641" t="inlineStr">
        <is>
          <t>story-inventory-reservation、story-production-cutover</t>
        </is>
      </c>
      <c r="F7" s="641" t="inlineStr">
        <is>
          <t>ERP 团队保证工作日 09:00 至 18:00 可用并提前通知停机</t>
        </is>
      </c>
      <c r="G7" s="642" t="inlineStr">
        <is>
          <t>已明确</t>
        </is>
      </c>
      <c r="H7" s="641" t="inlineStr">
        <is>
          <t>联调和缺陷复测安排在已确认窗口内</t>
        </is>
      </c>
      <c r="I7" s="645">
        <f>IF(OR(E7="",G7&lt;&gt;"待确认"),0,IFERROR(INDEX(SOWStoryTable[人天],MATCH(E7,SOWStoryTable[Story ID],0)),0))</f>
        <v/>
      </c>
    </row>
    <row r="8" ht="38" customHeight="1">
      <c r="A8" s="641" t="inlineStr">
        <is>
          <t>assumption-risk-payment-certification</t>
        </is>
      </c>
      <c r="B8" s="642" t="inlineStr">
        <is>
          <t>风险</t>
        </is>
      </c>
      <c r="C8" s="641" t="inlineStr">
        <is>
          <t>支付网关退款认证可能延迟</t>
        </is>
      </c>
      <c r="D8" s="641" t="inlineStr">
        <is>
          <t>SIT 第 2 周开始时认证材料仍未通过</t>
        </is>
      </c>
      <c r="E8" s="641" t="inlineStr">
        <is>
          <t>story-refund-payment、story-production-validation</t>
        </is>
      </c>
      <c r="F8" s="641" t="inlineStr">
        <is>
          <t>资金管理部提交企业材料，项目团队提供回调地址和测试证据</t>
        </is>
      </c>
      <c r="G8" s="642" t="inlineStr">
        <is>
          <t>待确认</t>
        </is>
      </c>
      <c r="H8" s="641" t="inlineStr">
        <is>
          <t>项目启动五个工作日内提交材料，延期时调整退款联调顺序</t>
        </is>
      </c>
      <c r="I8" s="645">
        <f>IF(OR(E8="",G8&lt;&gt;"待确认"),0,IFERROR(INDEX(SOWStoryTable[人天],MATCH(E8,SOWStoryTable[Story ID],0)),0))</f>
        <v/>
      </c>
    </row>
    <row r="9" ht="38" customHeight="1">
      <c r="A9" s="641" t="inlineStr">
        <is>
          <t>assumption-migration-freeze-window</t>
        </is>
      </c>
      <c r="B9" s="642" t="inlineStr">
        <is>
          <t>假设</t>
        </is>
      </c>
      <c r="C9" s="641" t="inlineStr">
        <is>
          <t>迁移冻结窗口为周六 00:00 至 04:00</t>
        </is>
      </c>
      <c r="D9" s="641" t="inlineStr">
        <is>
          <t>生产切换计划批准</t>
        </is>
      </c>
      <c r="E9" s="641" t="inlineStr">
        <is>
          <t>story-data-migration、story-production-cutover</t>
        </is>
      </c>
      <c r="F9" s="641" t="inlineStr">
        <is>
          <t>业务负责人批准冻结，数据负责人提供最终增量范围</t>
        </is>
      </c>
      <c r="G9" s="642" t="inlineStr">
        <is>
          <t>已明确</t>
        </is>
      </c>
      <c r="H9" s="641" t="inlineStr">
        <is>
          <t>按四小时窗口编排增量迁移、校验和回滚检查点</t>
        </is>
      </c>
      <c r="I9" s="645">
        <f>IF(OR(E9="",G9&lt;&gt;"待确认"),0,IFERROR(INDEX(SOWStoryTable[人天],MATCH(E9,SOWStoryTable[Story ID],0)),0))</f>
        <v/>
      </c>
    </row>
    <row r="10" ht="38" customHeight="1">
      <c r="A10" s="641" t="inlineStr">
        <is>
          <t>assumption-risk-invoice-certificate</t>
        </is>
      </c>
      <c r="B10" s="642" t="inlineStr">
        <is>
          <t>风险</t>
        </is>
      </c>
      <c r="C10" s="641" t="inlineStr">
        <is>
          <t>电子发票生产证书与测试配额待确认</t>
        </is>
      </c>
      <c r="D10" s="641" t="inlineStr">
        <is>
          <t>生产准备评审时证书或每日 500 张测试配额未就绪</t>
        </is>
      </c>
      <c r="E10" s="641" t="inlineStr">
        <is>
          <t>story-einvoice</t>
        </is>
      </c>
      <c r="F10" s="641" t="inlineStr">
        <is>
          <t>财务共享中心协调供应商下发证书并确认配额</t>
        </is>
      </c>
      <c r="G10" s="642" t="inlineStr">
        <is>
          <t>待确认</t>
        </is>
      </c>
      <c r="H10" s="641" t="inlineStr">
        <is>
          <t>联调前确认测试配额，生产切换前完成证书装载和连通性检查</t>
        </is>
      </c>
      <c r="I10" s="645">
        <f>IF(OR(E10="",G10&lt;&gt;"待确认"),0,IFERROR(INDEX(SOWStoryTable[人天],MATCH(E10,SOWStoryTable[Story ID],0)),0))</f>
        <v/>
      </c>
    </row>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sheetData>
  <mergeCells count="2">
    <mergeCell ref="A1:I1"/>
    <mergeCell ref="A2:I2"/>
  </mergeCells>
  <conditionalFormatting sqref="G5:G104">
    <cfRule type="containsText" priority="1" operator="containsText" dxfId="19" text="已明确"/>
    <cfRule type="containsText" priority="2" operator="containsText" dxfId="20" text="待确认"/>
  </conditionalFormatting>
  <dataValidations count="3">
    <dataValidation sqref="B5:B104" showDropDown="0" showInputMessage="0" showErrorMessage="0" allowBlank="0" type="list">
      <formula1>"假设,风险"</formula1>
    </dataValidation>
    <dataValidation sqref="E5:E104" showDropDown="0" showInputMessage="0" showErrorMessage="0" allowBlank="0" type="list">
      <formula1>INDIRECT("'03-SOW主表'!$A$5:$A$104")</formula1>
    </dataValidation>
    <dataValidation sqref="G5:G104" showDropDown="0" showInputMessage="0" showErrorMessage="0" allowBlank="0" type="list">
      <formula1>"已明确,待确认"</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22"/>
  <sheetViews>
    <sheetView showGridLines="0" workbookViewId="0">
      <pane ySplit="3" topLeftCell="A4" activePane="bottomLeft" state="frozen"/>
      <selection pane="bottomLeft" activeCell="A1" sqref="A1"/>
    </sheetView>
  </sheetViews>
  <sheetFormatPr baseColWidth="8" defaultColWidth="9" defaultRowHeight="16.79999923706055"/>
  <cols>
    <col width="23" customWidth="1" min="1" max="1"/>
    <col width="38" customWidth="1" min="2" max="2"/>
    <col width="16" customWidth="1" min="3" max="3"/>
    <col width="22" customWidth="1" min="4" max="4"/>
    <col width="15" customWidth="1" min="5" max="5"/>
    <col width="13" customWidth="1" min="6" max="6"/>
  </cols>
  <sheetData>
    <row r="1" ht="31" customHeight="1">
      <c r="A1" s="390" t="inlineStr">
        <is>
          <t>开发交付估算汇总</t>
        </is>
      </c>
      <c r="B1" s="635" t="n"/>
      <c r="C1" s="635" t="n"/>
      <c r="D1" s="635" t="n"/>
      <c r="E1" s="635" t="n"/>
      <c r="F1" s="635" t="n"/>
    </row>
    <row r="2" ht="38" customHeight="1">
      <c r="A2" s="400" t="inlineStr">
        <is>
          <t>当前口径含直接Dev、SIT支持、UAT支持和待确认假设关联Story风险人天；不含人员/迭代、敏捷活动及BA/QA/TL/PM人天</t>
        </is>
      </c>
      <c r="B2" s="636" t="n"/>
      <c r="C2" s="636" t="n"/>
      <c r="D2" s="636" t="n"/>
      <c r="E2" s="636" t="n"/>
      <c r="F2" s="636" t="n"/>
    </row>
    <row r="3" ht="9" customHeight="1"/>
    <row r="4" ht="38" customHeight="1">
      <c r="A4" s="453" t="inlineStr">
        <is>
          <t>项目行</t>
        </is>
      </c>
      <c r="B4" s="453" t="inlineStr">
        <is>
          <t>计算/分母</t>
        </is>
      </c>
      <c r="C4" s="453" t="inlineStr">
        <is>
          <t>取整前</t>
        </is>
      </c>
      <c r="D4" s="453" t="inlineStr">
        <is>
          <t>开发交付估算人天</t>
        </is>
      </c>
      <c r="E4" s="453" t="inlineStr">
        <is>
          <t>口径</t>
        </is>
      </c>
      <c r="F4" s="453" t="inlineStr">
        <is>
          <t>校验</t>
        </is>
      </c>
    </row>
    <row r="5" ht="28" customHeight="1">
      <c r="A5" s="598" t="inlineStr">
        <is>
          <t>直接开发人天</t>
        </is>
      </c>
      <c r="B5" s="598" t="inlineStr">
        <is>
          <t>Σ Story直接人天</t>
        </is>
      </c>
      <c r="C5" s="522">
        <f>SUM(SOWStoryTable[人天])</f>
        <v/>
      </c>
      <c r="D5" s="522">
        <f>C5</f>
        <v/>
      </c>
      <c r="E5" s="598" t="inlineStr">
        <is>
          <t>Dev</t>
        </is>
      </c>
      <c r="F5" s="526">
        <f>IF(AND(C5&gt;=0,D5&gt;=0),"OK","CHECK")</f>
        <v/>
      </c>
    </row>
    <row r="6" ht="28" customHeight="1">
      <c r="A6" s="598" t="inlineStr">
        <is>
          <t>内部SIT支持</t>
        </is>
      </c>
      <c r="B6" s="598" t="inlineStr">
        <is>
          <t>内部系统对接 Task 支持</t>
        </is>
      </c>
      <c r="C6" s="522">
        <f>SUMIFS(IntegrationTable[SIT人天],IntegrationTable[责任边界],"内部")</f>
        <v/>
      </c>
      <c r="D6" s="522">
        <f>CEILING(C6,INDEX(ProjectParameterTable[值],MATCH("ROUND_PROJECT",ProjectParameterTable[参数代码],0)))</f>
        <v/>
      </c>
      <c r="E6" s="598" t="inlineStr">
        <is>
          <t>Dev</t>
        </is>
      </c>
      <c r="F6" s="526">
        <f>IF(AND(C6&gt;=0,D6&gt;=0),"OK","CHECK")</f>
        <v/>
      </c>
    </row>
    <row r="7" ht="28" customHeight="1">
      <c r="A7" s="598" t="inlineStr">
        <is>
          <t>外部SIT支持</t>
        </is>
      </c>
      <c r="B7" s="598" t="inlineStr">
        <is>
          <t>外部系统对接 Task 支持</t>
        </is>
      </c>
      <c r="C7" s="522">
        <f>SUMIFS(IntegrationTable[SIT人天],IntegrationTable[责任边界],"外部")</f>
        <v/>
      </c>
      <c r="D7" s="522">
        <f>CEILING(C7,INDEX(ProjectParameterTable[值],MATCH("ROUND_PROJECT",ProjectParameterTable[参数代码],0)))</f>
        <v/>
      </c>
      <c r="E7" s="598" t="inlineStr">
        <is>
          <t>Dev</t>
        </is>
      </c>
      <c r="F7" s="526">
        <f>IF(AND(C7&gt;=0,D7&gt;=0),"OK","CHECK")</f>
        <v/>
      </c>
    </row>
    <row r="8" ht="28" customHeight="1">
      <c r="A8" s="598" t="inlineStr">
        <is>
          <t>SIT支持合计</t>
        </is>
      </c>
      <c r="B8" s="598" t="inlineStr">
        <is>
          <t>内部+外部</t>
        </is>
      </c>
      <c r="C8" s="522">
        <f>C6+C7</f>
        <v/>
      </c>
      <c r="D8" s="522">
        <f>D6+D7</f>
        <v/>
      </c>
      <c r="E8" s="598" t="inlineStr">
        <is>
          <t>Dev</t>
        </is>
      </c>
      <c r="F8" s="526">
        <f>IF(AND(C8=C6+C7,D8=D6+D7),"OK","CHECK")</f>
        <v/>
      </c>
    </row>
    <row r="9" ht="28" customHeight="1">
      <c r="A9" s="598" t="inlineStr">
        <is>
          <t>UAT分母</t>
        </is>
      </c>
      <c r="B9" s="598" t="inlineStr">
        <is>
          <t>显式 UAT 适用 Story</t>
        </is>
      </c>
      <c r="C9" s="522">
        <f>SUMIFS(SOWStoryTable[人天],SOWStoryTable[UAT分母],"是")</f>
        <v/>
      </c>
      <c r="D9" s="522">
        <f>C9</f>
        <v/>
      </c>
      <c r="E9" s="598" t="inlineStr">
        <is>
          <t>追踪</t>
        </is>
      </c>
      <c r="F9" s="526">
        <f>IF(AND(C9&gt;=0,D9&gt;=0),"OK","CHECK")</f>
        <v/>
      </c>
    </row>
    <row r="10" ht="28" customHeight="1">
      <c r="A10" s="598" t="inlineStr">
        <is>
          <t>UAT支持</t>
        </is>
      </c>
      <c r="B10" s="598" t="inlineStr">
        <is>
          <t>分母×K_UAT</t>
        </is>
      </c>
      <c r="C10" s="522">
        <f>C9*INDEX(ProjectParameterTable[值],MATCH("K_UAT",ProjectParameterTable[参数代码],0))</f>
        <v/>
      </c>
      <c r="D10" s="522">
        <f>CEILING(C10,INDEX(ProjectParameterTable[值],MATCH("ROUND_PROJECT",ProjectParameterTable[参数代码],0)))</f>
        <v/>
      </c>
      <c r="E10" s="598" t="inlineStr">
        <is>
          <t>Dev</t>
        </is>
      </c>
      <c r="F10" s="526">
        <f>IF(AND(C10&gt;=0,D10&gt;=0),"OK","CHECK")</f>
        <v/>
      </c>
    </row>
    <row r="11" ht="28" customHeight="1">
      <c r="A11" s="598" t="inlineStr">
        <is>
          <t>待确认风险人天</t>
        </is>
      </c>
      <c r="B11" s="598" t="inlineStr">
        <is>
          <t>Σ 唯一待确认Story直接人天</t>
        </is>
      </c>
      <c r="C11" s="522">
        <f>SUMIFS(SOWStoryTable[人天],SOWStoryTable[假设状态],"待确认")</f>
        <v/>
      </c>
      <c r="D11" s="522">
        <f>C11</f>
        <v/>
      </c>
      <c r="E11" s="598" t="inlineStr">
        <is>
          <t>Dev</t>
        </is>
      </c>
      <c r="F11" s="526">
        <f>IF(AND(C11&gt;=0,D11&gt;=0),"OK","CHECK")</f>
        <v/>
      </c>
    </row>
    <row r="12" ht="36" customHeight="1">
      <c r="A12" s="601" t="inlineStr">
        <is>
          <t>开发交付估算人天</t>
        </is>
      </c>
      <c r="B12" s="601" t="inlineStr">
        <is>
          <t>直接Dev+SIT+UAT+待确认风险</t>
        </is>
      </c>
      <c r="C12" s="533">
        <f>C5+C8+C10+C11</f>
        <v/>
      </c>
      <c r="D12" s="533">
        <f>D5+D8+D10+D11</f>
        <v/>
      </c>
      <c r="E12" s="601" t="inlineStr">
        <is>
          <t>当前范围</t>
        </is>
      </c>
      <c r="F12" s="606">
        <f>IF(AND(COUNTIF(F5:F11,"CHECK")=0,D12=D5+D8+D10+D11),"OK","CHECK")</f>
        <v/>
      </c>
    </row>
    <row r="13" ht="15" customHeight="1">
      <c r="A13" s="600" t="n"/>
      <c r="B13" s="600" t="n"/>
      <c r="C13" s="604" t="n"/>
      <c r="D13" s="604" t="n"/>
      <c r="E13" s="600" t="n"/>
      <c r="F13" s="608" t="n"/>
    </row>
    <row r="14" ht="34" customHeight="1">
      <c r="A14" s="542" t="inlineStr">
        <is>
          <t>明确排除</t>
        </is>
      </c>
      <c r="B14" s="540" t="inlineStr">
        <is>
          <t>人员与迭代计划、敏捷活动、K_AGILE，以及BA/QA/TL/PM等非Dev角色人天；计费规则确认后由后续版本增加。</t>
        </is>
      </c>
      <c r="C14" s="605" t="n"/>
      <c r="D14" s="605" t="n"/>
      <c r="E14" s="540" t="inlineStr">
        <is>
          <t>范围声明</t>
        </is>
      </c>
      <c r="F14" s="526" t="inlineStr">
        <is>
          <t>OK</t>
        </is>
      </c>
    </row>
    <row r="15" ht="15" customHeight="1"/>
    <row r="16" ht="15" customHeight="1"/>
    <row r="17" ht="15" customHeight="1"/>
    <row r="18" ht="15" customHeight="1"/>
    <row r="19" ht="15" customHeight="1"/>
    <row r="20" ht="15" customHeight="1"/>
    <row r="21" ht="15" customHeight="1"/>
    <row r="22" ht="15" customHeight="1"/>
  </sheetData>
  <mergeCells count="2">
    <mergeCell ref="A2:F2"/>
    <mergeCell ref="A1:F1"/>
  </mergeCells>
  <conditionalFormatting sqref="F5:F22">
    <cfRule type="containsText" priority="1" operator="between" dxfId="0" text="OK">
      <formula>NOT(ISERROR(SEARCH("OK",F5)))</formula>
    </cfRule>
    <cfRule type="containsText" priority="2" operator="between" dxfId="1" text="需复核">
      <formula>NOT(ISERROR(SEARCH("需复核",F5)))</formula>
    </cfRule>
    <cfRule type="containsText" priority="3" operator="between" dxfId="1" text="缺Task">
      <formula>NOT(ISERROR(SEARCH("缺Task",F5)))</formula>
    </cfRule>
    <cfRule type="containsText" priority="4" operator="between" dxfId="1" text="CHECK">
      <formula>NOT(ISERROR(SEARCH("CHECK",F5)))</formula>
    </cfRule>
  </conditionalFormatting>
  <conditionalFormatting sqref="F5:F12">
    <cfRule type="containsText" priority="5" operator="containsText" dxfId="19" text="OK"/>
    <cfRule type="containsText" priority="6" operator="containsText" dxfId="20" text="CHECK"/>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I66"/>
  <sheetViews>
    <sheetView showGridLines="0" workbookViewId="0">
      <pane ySplit="3" topLeftCell="A4" activePane="bottomLeft" state="frozen"/>
      <selection pane="bottomLeft" activeCell="A1" sqref="A1"/>
    </sheetView>
  </sheetViews>
  <sheetFormatPr baseColWidth="8" defaultColWidth="9" defaultRowHeight="16.79999923706055"/>
  <cols>
    <col width="19" customWidth="1" min="1" max="1"/>
    <col width="16" customWidth="1" min="2" max="2"/>
    <col width="19" customWidth="1" min="3" max="3"/>
    <col width="18" customWidth="1" min="4" max="4"/>
    <col width="27" customWidth="1" min="5" max="5"/>
    <col width="42" customWidth="1" min="6" max="6"/>
    <col width="20" customWidth="1" min="7" max="7"/>
    <col width="26" customWidth="1" min="8" max="8"/>
    <col width="36" customWidth="1" min="9" max="9"/>
    <col width="35" customWidth="1" min="10" max="10"/>
  </cols>
  <sheetData>
    <row r="1" ht="31" customHeight="1">
      <c r="A1" s="390" t="inlineStr">
        <is>
          <t>系统现状 / As-Is</t>
        </is>
      </c>
      <c r="B1" s="635" t="n"/>
      <c r="C1" s="635" t="n"/>
      <c r="D1" s="635" t="n"/>
      <c r="E1" s="635" t="n"/>
      <c r="F1" s="635" t="n"/>
      <c r="G1" s="635" t="n"/>
      <c r="H1" s="635" t="n"/>
      <c r="I1" s="635" t="n"/>
    </row>
    <row r="2" ht="36" customHeight="1">
      <c r="A2" s="400" t="inlineStr">
        <is>
          <t>模式：BROWNFIELD | As-of：2026-08-19 | Repo：customer-portal@0123456789ab | 排除范围：上线后驻场支持、旧系统退役、ERP 库存核算改造、总账系统改造</t>
        </is>
      </c>
      <c r="B2" s="636" t="n"/>
      <c r="C2" s="636" t="n"/>
      <c r="D2" s="636" t="n"/>
      <c r="E2" s="636" t="n"/>
      <c r="F2" s="636" t="n"/>
      <c r="G2" s="636" t="n"/>
      <c r="H2" s="636" t="n"/>
      <c r="I2" s="636" t="n"/>
    </row>
    <row r="3" ht="9" customHeight="1"/>
    <row r="4" ht="38" customHeight="1">
      <c r="A4" s="453" t="inlineStr">
        <is>
          <t>主题</t>
        </is>
      </c>
      <c r="B4" s="453" t="inlineStr">
        <is>
          <t>评估状态</t>
        </is>
      </c>
      <c r="C4" s="453" t="inlineStr">
        <is>
          <t>结论</t>
        </is>
      </c>
      <c r="D4" s="453" t="inlineStr">
        <is>
          <t>当前事实数</t>
        </is>
      </c>
      <c r="E4" s="453" t="inlineStr">
        <is>
          <t>承诺数</t>
        </is>
      </c>
      <c r="F4" s="453" t="inlineStr">
        <is>
          <t>有效起点数</t>
        </is>
      </c>
      <c r="G4" s="453" t="inlineStr">
        <is>
          <t>未决数</t>
        </is>
      </c>
    </row>
    <row r="5" ht="75" customHeight="1">
      <c r="A5" s="620" t="inlineStr">
        <is>
          <t>系统边界与参与方</t>
        </is>
      </c>
      <c r="B5" s="620" t="inlineStr">
        <is>
          <t>ASSESSED</t>
        </is>
      </c>
      <c r="C5" s="619" t="inlineStr">
        <is>
          <t>会员门户、门店工作台和订单服务承载渠道交易，ERP、支付与发票平台保持系统责任边界。</t>
        </is>
      </c>
      <c r="D5" s="651" t="n">
        <v>0</v>
      </c>
      <c r="E5" s="651" t="n">
        <v>0</v>
      </c>
      <c r="F5" s="651" t="n">
        <v>0</v>
      </c>
      <c r="G5" s="651" t="n">
        <v>0</v>
      </c>
    </row>
    <row r="6" ht="75" customHeight="1">
      <c r="A6" s="620" t="inlineStr">
        <is>
          <t>能力与流程</t>
        </is>
      </c>
      <c r="B6" s="620" t="inlineStr">
        <is>
          <t>ASSESSED</t>
        </is>
      </c>
      <c r="C6" s="619" t="inlineStr">
        <is>
          <t>客户档案、订单服务和通知具备基础能力，会员等级、退货退款、对账与开票需要补齐。</t>
        </is>
      </c>
      <c r="D6" s="651" t="n">
        <v>1</v>
      </c>
      <c r="E6" s="651" t="n">
        <v>2</v>
      </c>
      <c r="F6" s="651" t="n">
        <v>1</v>
      </c>
      <c r="G6" s="651" t="n">
        <v>0</v>
      </c>
    </row>
    <row r="7" ht="60" customHeight="1">
      <c r="A7" s="620" t="inlineStr">
        <is>
          <t>应用与组件</t>
        </is>
      </c>
      <c r="B7" s="620" t="inlineStr">
        <is>
          <t>ASSESSED</t>
        </is>
      </c>
      <c r="C7" s="619" t="inlineStr">
        <is>
          <t>现有客户档案组件、订单服务和门店菜单入口可作为调整与续建起点。</t>
        </is>
      </c>
      <c r="D7" s="651" t="n">
        <v>2</v>
      </c>
      <c r="E7" s="651" t="n">
        <v>1</v>
      </c>
      <c r="F7" s="651" t="n">
        <v>2</v>
      </c>
      <c r="G7" s="651" t="n">
        <v>0</v>
      </c>
    </row>
    <row r="8" ht="75" customHeight="1">
      <c r="A8" s="620" t="inlineStr">
        <is>
          <t>集成与外部依赖</t>
        </is>
      </c>
      <c r="B8" s="620" t="inlineStr">
        <is>
          <t>ASSESSED</t>
        </is>
      </c>
      <c r="C8" s="619" t="inlineStr">
        <is>
          <t>ERP、支付网关和电子发票通道均已企业级接入，本项目承担租户内映射、适配和专项验证。</t>
        </is>
      </c>
      <c r="D8" s="651" t="n">
        <v>3</v>
      </c>
      <c r="E8" s="651" t="n">
        <v>0</v>
      </c>
      <c r="F8" s="651" t="n">
        <v>3</v>
      </c>
      <c r="G8" s="651" t="n">
        <v>3</v>
      </c>
    </row>
    <row r="9" ht="60" customHeight="1">
      <c r="A9" s="620" t="inlineStr">
        <is>
          <t>数据与存储</t>
        </is>
      </c>
      <c r="B9" s="620" t="inlineStr">
        <is>
          <t>ASSESSED</t>
        </is>
      </c>
      <c r="C9" s="619" t="inlineStr">
        <is>
          <t>会员主数据和订单库已有稳定结构，历史订单映射与对账指标需要新增。</t>
        </is>
      </c>
      <c r="D9" s="651" t="n">
        <v>1</v>
      </c>
      <c r="E9" s="651" t="n">
        <v>0</v>
      </c>
      <c r="F9" s="651" t="n">
        <v>1</v>
      </c>
      <c r="G9" s="651" t="n">
        <v>0</v>
      </c>
    </row>
    <row r="10" ht="60" customHeight="1">
      <c r="A10" s="620" t="inlineStr">
        <is>
          <t>平台、环境与部署</t>
        </is>
      </c>
      <c r="B10" s="620" t="inlineStr">
        <is>
          <t>ASSESSED</t>
        </is>
      </c>
      <c r="C10" s="619" t="inlineStr">
        <is>
          <t>保留 Kubernetes 生产环境与 CI/CD 流水线，新增应用配置和切换清单。</t>
        </is>
      </c>
      <c r="D10" s="651" t="n">
        <v>1</v>
      </c>
      <c r="E10" s="651" t="n">
        <v>0</v>
      </c>
      <c r="F10" s="651" t="n">
        <v>1</v>
      </c>
      <c r="G10" s="651" t="n">
        <v>0</v>
      </c>
    </row>
    <row r="11" ht="60" customHeight="1">
      <c r="A11" s="620" t="inlineStr">
        <is>
          <t>安全与合规</t>
        </is>
      </c>
      <c r="B11" s="620" t="inlineStr">
        <is>
          <t>ASSESSED</t>
        </is>
      </c>
      <c r="C11" s="619" t="inlineStr">
        <is>
          <t>统一身份控制与授权中心可复用，新增功能遵循最小权限和审计留痕要求。</t>
        </is>
      </c>
      <c r="D11" s="651" t="n">
        <v>1</v>
      </c>
      <c r="E11" s="651" t="n">
        <v>1</v>
      </c>
      <c r="F11" s="651" t="n">
        <v>1</v>
      </c>
      <c r="G11" s="651" t="n">
        <v>0</v>
      </c>
    </row>
    <row r="12" ht="60" customHeight="1">
      <c r="A12" s="620" t="inlineStr">
        <is>
          <t>运维与质量</t>
        </is>
      </c>
      <c r="B12" s="620" t="inlineStr">
        <is>
          <t>INSUFFICIENT_EVIDENCE</t>
        </is>
      </c>
      <c r="C12" s="619" t="inlineStr">
        <is>
          <t>统一监控和回归资产可复用，但生产告警最终通知渠道尚待上线前确认。</t>
        </is>
      </c>
      <c r="D12" s="651" t="n">
        <v>2</v>
      </c>
      <c r="E12" s="651" t="n">
        <v>0</v>
      </c>
      <c r="F12" s="651" t="n">
        <v>2</v>
      </c>
      <c r="G12" s="651" t="n">
        <v>1</v>
      </c>
    </row>
    <row r="13" ht="60" customHeight="1">
      <c r="A13" s="620" t="inlineStr">
        <is>
          <t>交付与约束</t>
        </is>
      </c>
      <c r="B13" s="620" t="inlineStr">
        <is>
          <t>ASSESSED</t>
        </is>
      </c>
      <c r="C13" s="619" t="inlineStr">
        <is>
          <t>数据迁移、生产切换、验证、交接和培训纳入本期；驻场支持与旧系统退役明确排除。</t>
        </is>
      </c>
      <c r="D13" s="651" t="n">
        <v>0</v>
      </c>
      <c r="E13" s="651" t="n">
        <v>0</v>
      </c>
      <c r="F13" s="651" t="n">
        <v>0</v>
      </c>
      <c r="G13" s="651" t="n">
        <v>0</v>
      </c>
    </row>
    <row r="14" ht="44" customHeight="1"/>
    <row r="15"/>
    <row r="16"/>
    <row r="17" ht="38" customHeight="1">
      <c r="A17" s="549" t="inlineStr">
        <is>
          <t>主题</t>
        </is>
      </c>
      <c r="B17" s="549" t="inlineStr">
        <is>
          <t>记录类型</t>
        </is>
      </c>
      <c r="C17" s="549" t="inlineStr">
        <is>
          <t>记录 ID</t>
        </is>
      </c>
      <c r="D17" s="549" t="inlineStr">
        <is>
          <t>分类/状态</t>
        </is>
      </c>
      <c r="E17" s="549" t="inlineStr">
        <is>
          <t>名称</t>
        </is>
      </c>
      <c r="F17" s="549" t="inlineStr">
        <is>
          <t>摘要/理由</t>
        </is>
      </c>
      <c r="G17" s="549" t="inlineStr">
        <is>
          <t>关系/流向</t>
        </is>
      </c>
      <c r="H17" s="549" t="inlineStr">
        <is>
          <t>关联 ID</t>
        </is>
      </c>
      <c r="I17" s="549" t="inlineStr">
        <is>
          <t>证据引用</t>
        </is>
      </c>
    </row>
    <row r="18" ht="36" customHeight="1">
      <c r="A18" s="618" t="inlineStr">
        <is>
          <t>应用与组件</t>
        </is>
      </c>
      <c r="B18" s="618" t="inlineStr">
        <is>
          <t>CURRENT_FACT</t>
        </is>
      </c>
      <c r="C18" s="618" t="inlineStr">
        <is>
          <t>asis-customer-profile</t>
        </is>
      </c>
      <c r="D18" s="618" t="inlineStr">
        <is>
          <t>COMPONENT</t>
        </is>
      </c>
      <c r="E18" s="618" t="inlineStr">
        <is>
          <t>客户档案组件</t>
        </is>
      </c>
      <c r="F18" s="618" t="inlineStr">
        <is>
          <t>会员门户已有客户档案页面、字段校验和服务框架。</t>
        </is>
      </c>
      <c r="G18" s="618" t="inlineStr"/>
      <c r="H18" s="618" t="inlineStr">
        <is>
          <t>customer-portal</t>
        </is>
      </c>
      <c r="I18" s="618" t="inlineStr">
        <is>
          <t>customer-portal/src/profile.ts#L12</t>
        </is>
      </c>
    </row>
    <row r="19" ht="36" customHeight="1">
      <c r="A19" s="618" t="inlineStr">
        <is>
          <t>数据与存储</t>
        </is>
      </c>
      <c r="B19" s="618" t="inlineStr">
        <is>
          <t>CURRENT_FACT</t>
        </is>
      </c>
      <c r="C19" s="618" t="inlineStr">
        <is>
          <t>asis-member-master</t>
        </is>
      </c>
      <c r="D19" s="618" t="inlineStr">
        <is>
          <t>DATA_ASSET</t>
        </is>
      </c>
      <c r="E19" s="618" t="inlineStr">
        <is>
          <t>会员主数据模型</t>
        </is>
      </c>
      <c r="F19" s="618" t="inlineStr">
        <is>
          <t>会员主数据保存统一会员号、基础属性和当前等级，但没有等级历史表。</t>
        </is>
      </c>
      <c r="G19" s="618" t="inlineStr"/>
      <c r="H19" s="618" t="inlineStr">
        <is>
          <t>customer-portal</t>
        </is>
      </c>
      <c r="I19" s="618" t="inlineStr">
        <is>
          <t>customer-portal/src/profile.ts#L12</t>
        </is>
      </c>
    </row>
    <row r="20" ht="36" customHeight="1">
      <c r="A20" s="618" t="inlineStr">
        <is>
          <t>应用与组件</t>
        </is>
      </c>
      <c r="B20" s="618" t="inlineStr">
        <is>
          <t>CURRENT_FACT</t>
        </is>
      </c>
      <c r="C20" s="618" t="inlineStr">
        <is>
          <t>asis-order-service</t>
        </is>
      </c>
      <c r="D20" s="618" t="inlineStr">
        <is>
          <t>COMPONENT</t>
        </is>
      </c>
      <c r="E20" s="618" t="inlineStr">
        <is>
          <t>订单服务与状态机</t>
        </is>
      </c>
      <c r="F20" s="618" t="inlineStr">
        <is>
          <t>订单服务支持线上订单基础状态流转，尚未覆盖门店订单和完整退货退款。</t>
        </is>
      </c>
      <c r="G20" s="618" t="inlineStr"/>
      <c r="H20" s="618" t="inlineStr">
        <is>
          <t>customer-portal</t>
        </is>
      </c>
      <c r="I20" s="618" t="inlineStr">
        <is>
          <t>customer-portal/src/order/state-machine.ts#L20</t>
        </is>
      </c>
    </row>
    <row r="21" ht="75" customHeight="1">
      <c r="A21" s="618" t="inlineStr">
        <is>
          <t>集成与外部依赖</t>
        </is>
      </c>
      <c r="B21" s="618" t="inlineStr">
        <is>
          <t>CURRENT_FACT</t>
        </is>
      </c>
      <c r="C21" s="618" t="inlineStr">
        <is>
          <t>asis-erp-interface</t>
        </is>
      </c>
      <c r="D21" s="618" t="inlineStr">
        <is>
          <t>INTEGRATION</t>
        </is>
      </c>
      <c r="E21" s="618" t="inlineStr">
        <is>
          <t>ERP 库存接口</t>
        </is>
      </c>
      <c r="F21" s="618" t="inlineStr">
        <is>
          <t>企业服务总线已注册 ERP 库存查询和预占接口。</t>
        </is>
      </c>
      <c r="G21" s="618" t="inlineStr">
        <is>
          <t>订单服务 → ERP | 触发：订单确认或取消 | 方向：OUTBOUND | 目的：库存预占与释放 | 责任：企业应用团队</t>
        </is>
      </c>
      <c r="H21" s="618" t="inlineStr">
        <is>
          <t>customer-portal</t>
        </is>
      </c>
      <c r="I21" s="618" t="inlineStr">
        <is>
          <t>customer-portal/contracts/erp-inventory-v2.yaml#reserve</t>
        </is>
      </c>
    </row>
    <row r="22" ht="75" customHeight="1">
      <c r="A22" s="618" t="inlineStr">
        <is>
          <t>集成与外部依赖</t>
        </is>
      </c>
      <c r="B22" s="618" t="inlineStr">
        <is>
          <t>CURRENT_FACT</t>
        </is>
      </c>
      <c r="C22" s="618" t="inlineStr">
        <is>
          <t>asis-payment-gateway</t>
        </is>
      </c>
      <c r="D22" s="618" t="inlineStr">
        <is>
          <t>INTEGRATION</t>
        </is>
      </c>
      <c r="E22" s="618" t="inlineStr">
        <is>
          <t>支付网关租户</t>
        </is>
      </c>
      <c r="F22" s="618" t="inlineStr">
        <is>
          <t>企业支付网关已完成签约和生产租户开通。</t>
        </is>
      </c>
      <c r="G22" s="618" t="inlineStr">
        <is>
          <t>订单服务 → 支付网关 | 触发：退款申请 | 方向：OUTBOUND | 目的：发起退款并查询结果 | 责任：资金管理部</t>
        </is>
      </c>
      <c r="H22" s="618" t="inlineStr">
        <is>
          <t>customer-portal</t>
        </is>
      </c>
      <c r="I22" s="618" t="inlineStr">
        <is>
          <t>customer-portal/contracts/payment-refund-v1.yaml#refund</t>
        </is>
      </c>
    </row>
    <row r="23" ht="105" customHeight="1">
      <c r="A23" s="618" t="inlineStr">
        <is>
          <t>集成与外部依赖</t>
        </is>
      </c>
      <c r="B23" s="618" t="inlineStr">
        <is>
          <t>CURRENT_FACT</t>
        </is>
      </c>
      <c r="C23" s="618" t="inlineStr">
        <is>
          <t>asis-invoice-gateway</t>
        </is>
      </c>
      <c r="D23" s="618" t="inlineStr">
        <is>
          <t>INTEGRATION</t>
        </is>
      </c>
      <c r="E23" s="618" t="inlineStr">
        <is>
          <t>电子发票通道</t>
        </is>
      </c>
      <c r="F23" s="618" t="inlineStr">
        <is>
          <t>电子发票平台已签约并提供标准开票 API。</t>
        </is>
      </c>
      <c r="G23" s="618" t="inlineStr">
        <is>
          <t>订单服务 → 电子发票平台 | 触发：订单完成后提交开票申请 | 方向：OUTBOUND | 目的：申请电子发票并查询开票状态 | 责任：财务共享中心</t>
        </is>
      </c>
      <c r="H23" s="618" t="inlineStr">
        <is>
          <t>customer-portal</t>
        </is>
      </c>
      <c r="I23" s="618" t="inlineStr">
        <is>
          <t>customer-portal/contracts/einvoice-v1.yaml#issue</t>
        </is>
      </c>
    </row>
    <row r="24" ht="36" customHeight="1">
      <c r="A24" s="618" t="inlineStr">
        <is>
          <t>平台、环境与部署</t>
        </is>
      </c>
      <c r="B24" s="618" t="inlineStr">
        <is>
          <t>CURRENT_FACT</t>
        </is>
      </c>
      <c r="C24" s="618" t="inlineStr">
        <is>
          <t>asis-deployment-platform</t>
        </is>
      </c>
      <c r="D24" s="618" t="inlineStr">
        <is>
          <t>INFRASTRUCTURE</t>
        </is>
      </c>
      <c r="E24" s="618" t="inlineStr">
        <is>
          <t>生产环境与发布流水线</t>
        </is>
      </c>
      <c r="F24" s="618" t="inlineStr">
        <is>
          <t>现有 Kubernetes 集群、制品库和 CI/CD 流水线承载会员门户与订单服务。</t>
        </is>
      </c>
      <c r="G24" s="618" t="inlineStr"/>
      <c r="H24" s="618" t="inlineStr">
        <is>
          <t>customer-portal</t>
        </is>
      </c>
      <c r="I24" s="618" t="inlineStr">
        <is>
          <t>customer-portal/deploy/production/values.yaml#application</t>
        </is>
      </c>
    </row>
    <row r="25" ht="36" customHeight="1">
      <c r="A25" s="618" t="inlineStr">
        <is>
          <t>安全与合规</t>
        </is>
      </c>
      <c r="B25" s="618" t="inlineStr">
        <is>
          <t>CURRENT_FACT</t>
        </is>
      </c>
      <c r="C25" s="618" t="inlineStr">
        <is>
          <t>asis-identity-control</t>
        </is>
      </c>
      <c r="D25" s="618" t="inlineStr">
        <is>
          <t>CONTROL</t>
        </is>
      </c>
      <c r="E25" s="618" t="inlineStr">
        <is>
          <t>身份权限与会员授权中心</t>
        </is>
      </c>
      <c r="F25" s="618" t="inlineStr">
        <is>
          <t>现有身份平台提供员工与门店角色控制，授权中心保存会员授权记录。</t>
        </is>
      </c>
      <c r="G25" s="618" t="inlineStr"/>
      <c r="H25" s="618" t="inlineStr">
        <is>
          <t>customer-portal</t>
        </is>
      </c>
      <c r="I25" s="618" t="inlineStr">
        <is>
          <t>customer-portal/deploy/production/values.yaml#application</t>
        </is>
      </c>
    </row>
    <row r="26" ht="36" customHeight="1">
      <c r="A26" s="618" t="inlineStr">
        <is>
          <t>能力与流程</t>
        </is>
      </c>
      <c r="B26" s="618" t="inlineStr">
        <is>
          <t>CURRENT_FACT</t>
        </is>
      </c>
      <c r="C26" s="618" t="inlineStr">
        <is>
          <t>asis-notification-service</t>
        </is>
      </c>
      <c r="D26" s="618" t="inlineStr">
        <is>
          <t>CAPABILITY</t>
        </is>
      </c>
      <c r="E26" s="618" t="inlineStr">
        <is>
          <t>订单消息通知服务</t>
        </is>
      </c>
      <c r="F26" s="618" t="inlineStr">
        <is>
          <t>消息中心已消费标准订单事件并通过短信、App Push 发送通知。</t>
        </is>
      </c>
      <c r="G26" s="618" t="inlineStr"/>
      <c r="H26" s="618" t="inlineStr">
        <is>
          <t>customer-portal</t>
        </is>
      </c>
      <c r="I26" s="618" t="inlineStr">
        <is>
          <t>customer-portal/deploy/production/values.yaml#application</t>
        </is>
      </c>
    </row>
    <row r="27" ht="36" customHeight="1">
      <c r="A27" s="618" t="inlineStr">
        <is>
          <t>运维与质量</t>
        </is>
      </c>
      <c r="B27" s="618" t="inlineStr">
        <is>
          <t>CURRENT_FACT</t>
        </is>
      </c>
      <c r="C27" s="618" t="inlineStr">
        <is>
          <t>asis-monitoring-platform</t>
        </is>
      </c>
      <c r="D27" s="618" t="inlineStr">
        <is>
          <t>INFRASTRUCTURE</t>
        </is>
      </c>
      <c r="E27" s="618" t="inlineStr">
        <is>
          <t>统一监控平台</t>
        </is>
      </c>
      <c r="F27" s="618" t="inlineStr">
        <is>
          <t>平台已采集应用日志、指标与链路，但缺少新订单指标和财务批处理告警。</t>
        </is>
      </c>
      <c r="G27" s="618" t="inlineStr"/>
      <c r="H27" s="618" t="inlineStr">
        <is>
          <t>customer-portal</t>
        </is>
      </c>
      <c r="I27" s="618" t="inlineStr">
        <is>
          <t>customer-portal/docs/operations-and-test-assets.md#baseline</t>
        </is>
      </c>
    </row>
    <row r="28" ht="36" customHeight="1">
      <c r="A28" s="618" t="inlineStr">
        <is>
          <t>运维与质量</t>
        </is>
      </c>
      <c r="B28" s="618" t="inlineStr">
        <is>
          <t>CURRENT_FACT</t>
        </is>
      </c>
      <c r="C28" s="618" t="inlineStr">
        <is>
          <t>asis-test-assets</t>
        </is>
      </c>
      <c r="D28" s="618" t="inlineStr">
        <is>
          <t>PROCESS</t>
        </is>
      </c>
      <c r="E28" s="618" t="inlineStr">
        <is>
          <t>回归测试资产</t>
        </is>
      </c>
      <c r="F28" s="618" t="inlineStr">
        <is>
          <t>一期已有 API 自动化框架、订单基础用例和兼容矩阵。</t>
        </is>
      </c>
      <c r="G28" s="618" t="inlineStr"/>
      <c r="H28" s="618" t="inlineStr">
        <is>
          <t>customer-portal</t>
        </is>
      </c>
      <c r="I28" s="618" t="inlineStr">
        <is>
          <t>customer-portal/docs/operations-and-test-assets.md#baseline</t>
        </is>
      </c>
    </row>
    <row r="29" ht="36" customHeight="1">
      <c r="A29" s="618" t="inlineStr">
        <is>
          <t>能力与流程</t>
        </is>
      </c>
      <c r="B29" s="618" t="inlineStr">
        <is>
          <t>COMMITMENT</t>
        </is>
      </c>
      <c r="C29" s="618" t="inlineStr">
        <is>
          <t>commitment-profile-fields</t>
        </is>
      </c>
      <c r="D29" s="618" t="inlineStr">
        <is>
          <t>NOT_IMPLEMENTED / CARRY_FORWARD</t>
        </is>
      </c>
      <c r="E29" s="618" t="inlineStr">
        <is>
          <t>客户档案扩展字段</t>
        </is>
      </c>
      <c r="F29" s="618" t="inlineStr">
        <is>
          <t>延续一期未实现的职业、地区和偏好字段。</t>
        </is>
      </c>
      <c r="G29" s="618" t="inlineStr">
        <is>
          <t>ADD</t>
        </is>
      </c>
      <c r="H29" s="618" t="inlineStr">
        <is>
          <t>sow-phase-one、feature-customer-profile</t>
        </is>
      </c>
      <c r="I29" s="618" t="inlineStr">
        <is>
          <t>sow-phase-one#Profile!A12、customer-portal/src/profile.ts#L12</t>
        </is>
      </c>
    </row>
    <row r="30" ht="45" customHeight="1">
      <c r="A30" s="618" t="inlineStr">
        <is>
          <t>能力与流程</t>
        </is>
      </c>
      <c r="B30" s="618" t="inlineStr">
        <is>
          <t>COMMITMENT</t>
        </is>
      </c>
      <c r="C30" s="618" t="inlineStr">
        <is>
          <t>commitment-store-order</t>
        </is>
      </c>
      <c r="D30" s="618" t="inlineStr">
        <is>
          <t>NOT_IMPLEMENTED / CARRY_FORWARD</t>
        </is>
      </c>
      <c r="E30" s="618" t="inlineStr">
        <is>
          <t>门店接单流程</t>
        </is>
      </c>
      <c r="F30" s="618" t="inlineStr">
        <is>
          <t>一期仅保留菜单入口和权限点，完整接单流程顺延本期。</t>
        </is>
      </c>
      <c r="G30" s="618" t="inlineStr">
        <is>
          <t>ADD</t>
        </is>
      </c>
      <c r="H30" s="618" t="inlineStr">
        <is>
          <t>sow-phase-one、feature-store-order</t>
        </is>
      </c>
      <c r="I30" s="618" t="inlineStr">
        <is>
          <t>sow-phase-one#StoreOrder!B9、customer-portal/src/order/state-machine.ts#L20</t>
        </is>
      </c>
    </row>
    <row r="31" ht="45" customHeight="1">
      <c r="A31" s="618" t="inlineStr">
        <is>
          <t>安全与合规</t>
        </is>
      </c>
      <c r="B31" s="618" t="inlineStr">
        <is>
          <t>COMMITMENT</t>
        </is>
      </c>
      <c r="C31" s="618" t="inlineStr">
        <is>
          <t>commitment-consent-policy</t>
        </is>
      </c>
      <c r="D31" s="618" t="inlineStr">
        <is>
          <t>IMPLEMENTED / CURRENT_BASELINE</t>
        </is>
      </c>
      <c r="E31" s="618" t="inlineStr">
        <is>
          <t>会员授权中心沿用</t>
        </is>
      </c>
      <c r="F31" s="618" t="inlineStr">
        <is>
          <t>授权主数据和撤回日志继续由现有授权中心负责。</t>
        </is>
      </c>
      <c r="G31" s="618" t="inlineStr">
        <is>
          <t>ADD</t>
        </is>
      </c>
      <c r="H31" s="618" t="inlineStr">
        <is>
          <t>sow-phase-one、asis-identity-control、feature-customer-consent</t>
        </is>
      </c>
      <c r="I31" s="618" t="inlineStr">
        <is>
          <t>sow-phase-one#Profile!A18、customer-portal/deploy/production/values.yaml#application</t>
        </is>
      </c>
    </row>
    <row r="32" ht="45" customHeight="1">
      <c r="A32" s="618" t="inlineStr">
        <is>
          <t>应用与组件</t>
        </is>
      </c>
      <c r="B32" s="618" t="inlineStr">
        <is>
          <t>COMMITMENT</t>
        </is>
      </c>
      <c r="C32" s="618" t="inlineStr">
        <is>
          <t>commitment-order-audit</t>
        </is>
      </c>
      <c r="D32" s="618" t="inlineStr">
        <is>
          <t>IMPLEMENTED / CURRENT_BASELINE</t>
        </is>
      </c>
      <c r="E32" s="618" t="inlineStr">
        <is>
          <t>订单状态审计字段</t>
        </is>
      </c>
      <c r="F32" s="618" t="inlineStr">
        <is>
          <t>一期已实现订单状态、更新时间和操作来源记录。</t>
        </is>
      </c>
      <c r="G32" s="618" t="inlineStr">
        <is>
          <t>ADD</t>
        </is>
      </c>
      <c r="H32" s="618" t="inlineStr">
        <is>
          <t>sow-phase-one、asis-order-service、feature-order-orchestration</t>
        </is>
      </c>
      <c r="I32" s="618" t="inlineStr">
        <is>
          <t>sow-phase-one#Delivery-baseline、customer-portal/src/order/state-machine.ts#L20</t>
        </is>
      </c>
    </row>
    <row r="33" ht="36" customHeight="1">
      <c r="A33" s="618" t="inlineStr">
        <is>
          <t>应用与组件</t>
        </is>
      </c>
      <c r="B33" s="618" t="inlineStr">
        <is>
          <t>EFFECTIVE_START</t>
        </is>
      </c>
      <c r="C33" s="618" t="inlineStr">
        <is>
          <t>effective-start-customer-profile</t>
        </is>
      </c>
      <c r="D33" s="618" t="inlineStr">
        <is>
          <t>COMPONENT</t>
        </is>
      </c>
      <c r="E33" s="618" t="inlineStr">
        <is>
          <t>可复用的客户档案框架</t>
        </is>
      </c>
      <c r="F33" s="618" t="inlineStr">
        <is>
          <t>从现有客户档案页面、字段校验和服务框架开始。</t>
        </is>
      </c>
      <c r="G33" s="618" t="inlineStr"/>
      <c r="H33" s="618" t="inlineStr">
        <is>
          <t>asis-customer-profile</t>
        </is>
      </c>
      <c r="I33" s="618" t="inlineStr">
        <is>
          <t>customer-portal/src/profile.ts#L12</t>
        </is>
      </c>
    </row>
    <row r="34" ht="36" customHeight="1">
      <c r="A34" s="618" t="inlineStr">
        <is>
          <t>数据与存储</t>
        </is>
      </c>
      <c r="B34" s="618" t="inlineStr">
        <is>
          <t>EFFECTIVE_START</t>
        </is>
      </c>
      <c r="C34" s="618" t="inlineStr">
        <is>
          <t>effective-start-member-master</t>
        </is>
      </c>
      <c r="D34" s="618" t="inlineStr">
        <is>
          <t>DATA_ASSET</t>
        </is>
      </c>
      <c r="E34" s="618" t="inlineStr">
        <is>
          <t>既有会员主数据模型</t>
        </is>
      </c>
      <c r="F34" s="618" t="inlineStr">
        <is>
          <t>复用统一会员号与基础属性表，新增等级历史和规则版本。</t>
        </is>
      </c>
      <c r="G34" s="618" t="inlineStr"/>
      <c r="H34" s="618" t="inlineStr">
        <is>
          <t>asis-member-master</t>
        </is>
      </c>
      <c r="I34" s="618" t="inlineStr">
        <is>
          <t>customer-portal/src/profile.ts#L12</t>
        </is>
      </c>
    </row>
    <row r="35" ht="36" customHeight="1">
      <c r="A35" s="618" t="inlineStr">
        <is>
          <t>应用与组件</t>
        </is>
      </c>
      <c r="B35" s="618" t="inlineStr">
        <is>
          <t>EFFECTIVE_START</t>
        </is>
      </c>
      <c r="C35" s="618" t="inlineStr">
        <is>
          <t>effective-start-order-service</t>
        </is>
      </c>
      <c r="D35" s="618" t="inlineStr">
        <is>
          <t>COMPONENT</t>
        </is>
      </c>
      <c r="E35" s="618" t="inlineStr">
        <is>
          <t>既有订单服务与状态机</t>
        </is>
      </c>
      <c r="F35" s="618" t="inlineStr">
        <is>
          <t>调整线上订单服务，扩展门店、退货退款和财务状态。</t>
        </is>
      </c>
      <c r="G35" s="618" t="inlineStr"/>
      <c r="H35" s="618" t="inlineStr">
        <is>
          <t>asis-order-service</t>
        </is>
      </c>
      <c r="I35" s="618" t="inlineStr">
        <is>
          <t>customer-portal/src/order/state-machine.ts#L20</t>
        </is>
      </c>
    </row>
    <row r="36" ht="36" customHeight="1">
      <c r="A36" s="618" t="inlineStr">
        <is>
          <t>集成与外部依赖</t>
        </is>
      </c>
      <c r="B36" s="618" t="inlineStr">
        <is>
          <t>EFFECTIVE_START</t>
        </is>
      </c>
      <c r="C36" s="618" t="inlineStr">
        <is>
          <t>effective-start-erp-interface</t>
        </is>
      </c>
      <c r="D36" s="618" t="inlineStr">
        <is>
          <t>INTEGRATION</t>
        </is>
      </c>
      <c r="E36" s="618" t="inlineStr">
        <is>
          <t>既有 ERP 库存接口</t>
        </is>
      </c>
      <c r="F36" s="618" t="inlineStr">
        <is>
          <t>接口契约保持不变，本项目完成认证、映射、适配和专项验证。</t>
        </is>
      </c>
      <c r="G36" s="618" t="inlineStr"/>
      <c r="H36" s="618" t="inlineStr">
        <is>
          <t>asis-erp-interface</t>
        </is>
      </c>
      <c r="I36" s="618" t="inlineStr">
        <is>
          <t>customer-portal/contracts/erp-inventory-v2.yaml#reserve</t>
        </is>
      </c>
    </row>
    <row r="37" ht="36" customHeight="1">
      <c r="A37" s="618" t="inlineStr">
        <is>
          <t>集成与外部依赖</t>
        </is>
      </c>
      <c r="B37" s="618" t="inlineStr">
        <is>
          <t>EFFECTIVE_START</t>
        </is>
      </c>
      <c r="C37" s="618" t="inlineStr">
        <is>
          <t>effective-start-payment-gateway</t>
        </is>
      </c>
      <c r="D37" s="618" t="inlineStr">
        <is>
          <t>INTEGRATION</t>
        </is>
      </c>
      <c r="E37" s="618" t="inlineStr">
        <is>
          <t>既有支付网关租户</t>
        </is>
      </c>
      <c r="F37" s="618" t="inlineStr">
        <is>
          <t>支付网关平台保持不变，本项目完成配置、认证、映射和专项验证。</t>
        </is>
      </c>
      <c r="G37" s="618" t="inlineStr"/>
      <c r="H37" s="618" t="inlineStr">
        <is>
          <t>asis-payment-gateway</t>
        </is>
      </c>
      <c r="I37" s="618" t="inlineStr">
        <is>
          <t>customer-portal/contracts/payment-refund-v1.yaml#refund</t>
        </is>
      </c>
    </row>
    <row r="38" ht="36" customHeight="1">
      <c r="A38" s="618" t="inlineStr">
        <is>
          <t>集成与外部依赖</t>
        </is>
      </c>
      <c r="B38" s="618" t="inlineStr">
        <is>
          <t>EFFECTIVE_START</t>
        </is>
      </c>
      <c r="C38" s="618" t="inlineStr">
        <is>
          <t>effective-start-invoice-gateway</t>
        </is>
      </c>
      <c r="D38" s="618" t="inlineStr">
        <is>
          <t>INTEGRATION</t>
        </is>
      </c>
      <c r="E38" s="618" t="inlineStr">
        <is>
          <t>既有电子发票通道</t>
        </is>
      </c>
      <c r="F38" s="618" t="inlineStr">
        <is>
          <t>电子发票平台保持不变，本项目完成租户设置、认证、映射和适配。</t>
        </is>
      </c>
      <c r="G38" s="618" t="inlineStr"/>
      <c r="H38" s="618" t="inlineStr">
        <is>
          <t>asis-invoice-gateway</t>
        </is>
      </c>
      <c r="I38" s="618" t="inlineStr">
        <is>
          <t>customer-portal/contracts/einvoice-v1.yaml#issue</t>
        </is>
      </c>
    </row>
    <row r="39" ht="36" customHeight="1">
      <c r="A39" s="618" t="inlineStr">
        <is>
          <t>平台、环境与部署</t>
        </is>
      </c>
      <c r="B39" s="618" t="inlineStr">
        <is>
          <t>EFFECTIVE_START</t>
        </is>
      </c>
      <c r="C39" s="618" t="inlineStr">
        <is>
          <t>effective-start-deployment-platform</t>
        </is>
      </c>
      <c r="D39" s="618" t="inlineStr">
        <is>
          <t>INFRASTRUCTURE</t>
        </is>
      </c>
      <c r="E39" s="618" t="inlineStr">
        <is>
          <t>既有生产环境与发布流水线</t>
        </is>
      </c>
      <c r="F39" s="618" t="inlineStr">
        <is>
          <t>在现有集群与流水线中增加应用配置、发布步骤、切换和回滚清单。</t>
        </is>
      </c>
      <c r="G39" s="618" t="inlineStr"/>
      <c r="H39" s="618" t="inlineStr">
        <is>
          <t>asis-deployment-platform</t>
        </is>
      </c>
      <c r="I39" s="618" t="inlineStr">
        <is>
          <t>customer-portal/deploy/production/values.yaml#application</t>
        </is>
      </c>
    </row>
    <row r="40" ht="36" customHeight="1">
      <c r="A40" s="618" t="inlineStr">
        <is>
          <t>安全与合规</t>
        </is>
      </c>
      <c r="B40" s="618" t="inlineStr">
        <is>
          <t>EFFECTIVE_START</t>
        </is>
      </c>
      <c r="C40" s="618" t="inlineStr">
        <is>
          <t>effective-start-consent-center</t>
        </is>
      </c>
      <c r="D40" s="618" t="inlineStr">
        <is>
          <t>CONTROL</t>
        </is>
      </c>
      <c r="E40" s="618" t="inlineStr">
        <is>
          <t>既有会员授权中心</t>
        </is>
      </c>
      <c r="F40" s="618" t="inlineStr">
        <is>
          <t>现有授权、撤回、查询与审计能力已完整覆盖本期目标。</t>
        </is>
      </c>
      <c r="G40" s="618" t="inlineStr"/>
      <c r="H40" s="618" t="inlineStr">
        <is>
          <t>asis-identity-control</t>
        </is>
      </c>
      <c r="I40" s="618" t="inlineStr">
        <is>
          <t>customer-portal/deploy/production/values.yaml#application</t>
        </is>
      </c>
    </row>
    <row r="41" ht="36" customHeight="1">
      <c r="A41" s="618" t="inlineStr">
        <is>
          <t>能力与流程</t>
        </is>
      </c>
      <c r="B41" s="618" t="inlineStr">
        <is>
          <t>EFFECTIVE_START</t>
        </is>
      </c>
      <c r="C41" s="618" t="inlineStr">
        <is>
          <t>effective-start-notification-service</t>
        </is>
      </c>
      <c r="D41" s="618" t="inlineStr">
        <is>
          <t>CAPABILITY</t>
        </is>
      </c>
      <c r="E41" s="618" t="inlineStr">
        <is>
          <t>既有订单消息通知服务</t>
        </is>
      </c>
      <c r="F41" s="618" t="inlineStr">
        <is>
          <t>标准订单事件和现有通知通道已完整覆盖本期通知目标。</t>
        </is>
      </c>
      <c r="G41" s="618" t="inlineStr"/>
      <c r="H41" s="618" t="inlineStr">
        <is>
          <t>asis-notification-service</t>
        </is>
      </c>
      <c r="I41" s="618" t="inlineStr">
        <is>
          <t>customer-portal/deploy/production/values.yaml#application</t>
        </is>
      </c>
    </row>
    <row r="42" ht="36" customHeight="1">
      <c r="A42" s="618" t="inlineStr">
        <is>
          <t>运维与质量</t>
        </is>
      </c>
      <c r="B42" s="618" t="inlineStr">
        <is>
          <t>EFFECTIVE_START</t>
        </is>
      </c>
      <c r="C42" s="618" t="inlineStr">
        <is>
          <t>effective-start-monitoring-platform</t>
        </is>
      </c>
      <c r="D42" s="618" t="inlineStr">
        <is>
          <t>INFRASTRUCTURE</t>
        </is>
      </c>
      <c r="E42" s="618" t="inlineStr">
        <is>
          <t>既有统一监控平台</t>
        </is>
      </c>
      <c r="F42" s="618" t="inlineStr">
        <is>
          <t>复用日志、指标和链路平台，新增订单与财务作业监控。</t>
        </is>
      </c>
      <c r="G42" s="618" t="inlineStr"/>
      <c r="H42" s="618" t="inlineStr">
        <is>
          <t>asis-monitoring-platform</t>
        </is>
      </c>
      <c r="I42" s="618" t="inlineStr">
        <is>
          <t>customer-portal/docs/operations-and-test-assets.md#baseline</t>
        </is>
      </c>
    </row>
    <row r="43" ht="36" customHeight="1">
      <c r="A43" s="618" t="inlineStr">
        <is>
          <t>运维与质量</t>
        </is>
      </c>
      <c r="B43" s="618" t="inlineStr">
        <is>
          <t>EFFECTIVE_START</t>
        </is>
      </c>
      <c r="C43" s="618" t="inlineStr">
        <is>
          <t>effective-start-test-assets</t>
        </is>
      </c>
      <c r="D43" s="618" t="inlineStr">
        <is>
          <t>PROCESS</t>
        </is>
      </c>
      <c r="E43" s="618" t="inlineStr">
        <is>
          <t>既有回归测试资产</t>
        </is>
      </c>
      <c r="F43" s="618" t="inlineStr">
        <is>
          <t>调整既有测试框架、测试用例、测试脚本、兼容矩阵与负载模型。</t>
        </is>
      </c>
      <c r="G43" s="618" t="inlineStr"/>
      <c r="H43" s="618" t="inlineStr">
        <is>
          <t>asis-test-assets</t>
        </is>
      </c>
      <c r="I43" s="618" t="inlineStr">
        <is>
          <t>customer-portal/docs/operations-and-test-assets.md#baseline</t>
        </is>
      </c>
    </row>
    <row r="44" ht="60" customHeight="1">
      <c r="A44" s="618" t="inlineStr"/>
      <c r="B44" s="618" t="inlineStr">
        <is>
          <t>COVERAGE</t>
        </is>
      </c>
      <c r="C44" s="618" t="inlineStr">
        <is>
          <t>feature-customer-profile</t>
        </is>
      </c>
      <c r="D44" s="618" t="inlineStr">
        <is>
          <t>PARTIAL</t>
        </is>
      </c>
      <c r="E44" s="618" t="inlineStr"/>
      <c r="F44" s="618" t="inlineStr">
        <is>
          <t>复用档案框架并补齐一期顺延字段、授权展示和审计要求。</t>
        </is>
      </c>
      <c r="G44" s="618" t="inlineStr"/>
      <c r="H44" s="618" t="inlineStr">
        <is>
          <t>effective-start-customer-profile、commitment-profile-fields、uncertainty-profile-alert-channel</t>
        </is>
      </c>
      <c r="I44" s="618" t="inlineStr">
        <is>
          <t>customer-portal/src/profile.ts#L12</t>
        </is>
      </c>
    </row>
    <row r="45" ht="36" customHeight="1">
      <c r="A45" s="618" t="inlineStr"/>
      <c r="B45" s="618" t="inlineStr">
        <is>
          <t>COVERAGE</t>
        </is>
      </c>
      <c r="C45" s="618" t="inlineStr">
        <is>
          <t>feature-member-tier</t>
        </is>
      </c>
      <c r="D45" s="618" t="inlineStr">
        <is>
          <t>PARTIAL</t>
        </is>
      </c>
      <c r="E45" s="618" t="inlineStr"/>
      <c r="F45" s="618" t="inlineStr">
        <is>
          <t>会员主数据可复用，但等级规则版本和历史记录缺失。</t>
        </is>
      </c>
      <c r="G45" s="618" t="inlineStr"/>
      <c r="H45" s="618" t="inlineStr">
        <is>
          <t>effective-start-member-master</t>
        </is>
      </c>
      <c r="I45" s="618" t="inlineStr">
        <is>
          <t>customer-portal/src/profile.ts#L12</t>
        </is>
      </c>
    </row>
    <row r="46" ht="45" customHeight="1">
      <c r="A46" s="618" t="inlineStr"/>
      <c r="B46" s="618" t="inlineStr">
        <is>
          <t>COVERAGE</t>
        </is>
      </c>
      <c r="C46" s="618" t="inlineStr">
        <is>
          <t>feature-customer-consent</t>
        </is>
      </c>
      <c r="D46" s="618" t="inlineStr">
        <is>
          <t>COMPLETE</t>
        </is>
      </c>
      <c r="E46" s="618" t="inlineStr"/>
      <c r="F46" s="618" t="inlineStr">
        <is>
          <t>现有授权中心已完整提供授权、撤回、查询和审计能力。</t>
        </is>
      </c>
      <c r="G46" s="618" t="inlineStr"/>
      <c r="H46" s="618" t="inlineStr">
        <is>
          <t>effective-start-consent-center、commitment-consent-policy</t>
        </is>
      </c>
      <c r="I46" s="618" t="inlineStr">
        <is>
          <t>customer-portal/deploy/production/values.yaml#application</t>
        </is>
      </c>
    </row>
    <row r="47" ht="45" customHeight="1">
      <c r="A47" s="618" t="inlineStr"/>
      <c r="B47" s="618" t="inlineStr">
        <is>
          <t>COVERAGE</t>
        </is>
      </c>
      <c r="C47" s="618" t="inlineStr">
        <is>
          <t>feature-order-orchestration</t>
        </is>
      </c>
      <c r="D47" s="618" t="inlineStr">
        <is>
          <t>PARTIAL</t>
        </is>
      </c>
      <c r="E47" s="618" t="inlineStr"/>
      <c r="F47" s="618" t="inlineStr">
        <is>
          <t>沿用订单状态审计字段，扩展门店渠道和新状态流转。</t>
        </is>
      </c>
      <c r="G47" s="618" t="inlineStr"/>
      <c r="H47" s="618" t="inlineStr">
        <is>
          <t>effective-start-order-service、commitment-order-audit</t>
        </is>
      </c>
      <c r="I47" s="618" t="inlineStr">
        <is>
          <t>customer-portal/src/order/state-machine.ts#L20</t>
        </is>
      </c>
    </row>
    <row r="48" ht="45" customHeight="1">
      <c r="A48" s="618" t="inlineStr"/>
      <c r="B48" s="618" t="inlineStr">
        <is>
          <t>COVERAGE</t>
        </is>
      </c>
      <c r="C48" s="618" t="inlineStr">
        <is>
          <t>feature-inventory-reservation</t>
        </is>
      </c>
      <c r="D48" s="618" t="inlineStr">
        <is>
          <t>PARTIAL</t>
        </is>
      </c>
      <c r="E48" s="618" t="inlineStr"/>
      <c r="F48" s="618" t="inlineStr">
        <is>
          <t>接口已注册，仍需完成项目侧认证、映射、幂等和联调。</t>
        </is>
      </c>
      <c r="G48" s="618" t="inlineStr"/>
      <c r="H48" s="618" t="inlineStr">
        <is>
          <t>effective-start-erp-interface、uncertainty-erp-window</t>
        </is>
      </c>
      <c r="I48" s="618" t="inlineStr">
        <is>
          <t>customer-portal/contracts/erp-inventory-v2.yaml#reserve</t>
        </is>
      </c>
    </row>
    <row r="49" ht="60" customHeight="1">
      <c r="A49" s="618" t="inlineStr"/>
      <c r="B49" s="618" t="inlineStr">
        <is>
          <t>COVERAGE</t>
        </is>
      </c>
      <c r="C49" s="618" t="inlineStr">
        <is>
          <t>feature-return-refund</t>
        </is>
      </c>
      <c r="D49" s="618" t="inlineStr">
        <is>
          <t>PARTIAL</t>
        </is>
      </c>
      <c r="E49" s="618" t="inlineStr"/>
      <c r="F49" s="618" t="inlineStr">
        <is>
          <t>复用订单服务和支付网关，新增退货审核、退款映射和结果回写。</t>
        </is>
      </c>
      <c r="G49" s="618" t="inlineStr"/>
      <c r="H49" s="618" t="inlineStr">
        <is>
          <t>effective-start-order-service、effective-start-payment-gateway、uncertainty-payment-certification</t>
        </is>
      </c>
      <c r="I49" s="618" t="inlineStr">
        <is>
          <t>customer-portal/contracts/payment-refund-v1.yaml#refund</t>
        </is>
      </c>
    </row>
    <row r="50" ht="45" customHeight="1">
      <c r="A50" s="618" t="inlineStr"/>
      <c r="B50" s="618" t="inlineStr">
        <is>
          <t>COVERAGE</t>
        </is>
      </c>
      <c r="C50" s="618" t="inlineStr">
        <is>
          <t>feature-store-order</t>
        </is>
      </c>
      <c r="D50" s="618" t="inlineStr">
        <is>
          <t>PARTIAL</t>
        </is>
      </c>
      <c r="E50" s="618" t="inlineStr"/>
      <c r="F50" s="618" t="inlineStr">
        <is>
          <t>已有菜单入口和订单服务，完整门店接单流程按一期承诺续建。</t>
        </is>
      </c>
      <c r="G50" s="618" t="inlineStr"/>
      <c r="H50" s="618" t="inlineStr">
        <is>
          <t>effective-start-order-service、commitment-store-order</t>
        </is>
      </c>
      <c r="I50" s="618" t="inlineStr">
        <is>
          <t>customer-portal/src/order/state-machine.ts#L20</t>
        </is>
      </c>
    </row>
    <row r="51" ht="36" customHeight="1">
      <c r="A51" s="618" t="inlineStr"/>
      <c r="B51" s="618" t="inlineStr">
        <is>
          <t>COVERAGE</t>
        </is>
      </c>
      <c r="C51" s="618" t="inlineStr">
        <is>
          <t>feature-order-visibility</t>
        </is>
      </c>
      <c r="D51" s="618" t="inlineStr">
        <is>
          <t>PARTIAL</t>
        </is>
      </c>
      <c r="E51" s="618" t="inlineStr"/>
      <c r="F51" s="618" t="inlineStr">
        <is>
          <t>订单状态可复用，仍需补齐履约轨迹与异常原因展示。</t>
        </is>
      </c>
      <c r="G51" s="618" t="inlineStr"/>
      <c r="H51" s="618" t="inlineStr">
        <is>
          <t>effective-start-order-service</t>
        </is>
      </c>
      <c r="I51" s="618" t="inlineStr">
        <is>
          <t>customer-portal/src/order/state-machine.ts#L20</t>
        </is>
      </c>
    </row>
    <row r="52" ht="36" customHeight="1">
      <c r="A52" s="618" t="inlineStr"/>
      <c r="B52" s="618" t="inlineStr">
        <is>
          <t>COVERAGE</t>
        </is>
      </c>
      <c r="C52" s="618" t="inlineStr">
        <is>
          <t>feature-customer-notification</t>
        </is>
      </c>
      <c r="D52" s="618" t="inlineStr">
        <is>
          <t>COMPLETE</t>
        </is>
      </c>
      <c r="E52" s="618" t="inlineStr"/>
      <c r="F52" s="618" t="inlineStr">
        <is>
          <t>标准订单事件和现有消息通道已完整满足本期节点通知需求。</t>
        </is>
      </c>
      <c r="G52" s="618" t="inlineStr"/>
      <c r="H52" s="618" t="inlineStr">
        <is>
          <t>effective-start-notification-service</t>
        </is>
      </c>
      <c r="I52" s="618" t="inlineStr">
        <is>
          <t>customer-portal/deploy/production/values.yaml#application</t>
        </is>
      </c>
    </row>
    <row r="53" ht="45" customHeight="1">
      <c r="A53" s="618" t="inlineStr"/>
      <c r="B53" s="618" t="inlineStr">
        <is>
          <t>COVERAGE</t>
        </is>
      </c>
      <c r="C53" s="618" t="inlineStr">
        <is>
          <t>feature-payment-reconciliation</t>
        </is>
      </c>
      <c r="D53" s="618" t="inlineStr">
        <is>
          <t>PARTIAL</t>
        </is>
      </c>
      <c r="E53" s="618" t="inlineStr"/>
      <c r="F53" s="618" t="inlineStr">
        <is>
          <t>支付交易可查询，仍需新增日结作业、差异规则和财务视图。</t>
        </is>
      </c>
      <c r="G53" s="618" t="inlineStr"/>
      <c r="H53" s="618" t="inlineStr">
        <is>
          <t>effective-start-payment-gateway、uncertainty-payment-certification</t>
        </is>
      </c>
      <c r="I53" s="618" t="inlineStr">
        <is>
          <t>customer-portal/contracts/payment-refund-v1.yaml#refund</t>
        </is>
      </c>
    </row>
    <row r="54" ht="45" customHeight="1">
      <c r="A54" s="618" t="inlineStr"/>
      <c r="B54" s="618" t="inlineStr">
        <is>
          <t>COVERAGE</t>
        </is>
      </c>
      <c r="C54" s="618" t="inlineStr">
        <is>
          <t>feature-einvoice</t>
        </is>
      </c>
      <c r="D54" s="618" t="inlineStr">
        <is>
          <t>PARTIAL</t>
        </is>
      </c>
      <c r="E54" s="618" t="inlineStr"/>
      <c r="F54" s="618" t="inlineStr">
        <is>
          <t>发票通道已开通，仍需完成租户配置、字段映射、幂等与状态回写。</t>
        </is>
      </c>
      <c r="G54" s="618" t="inlineStr"/>
      <c r="H54" s="618" t="inlineStr">
        <is>
          <t>effective-start-invoice-gateway、uncertainty-invoice-quota</t>
        </is>
      </c>
      <c r="I54" s="618" t="inlineStr">
        <is>
          <t>customer-portal/contracts/einvoice-v1.yaml#issue</t>
        </is>
      </c>
    </row>
    <row r="55" ht="36" customHeight="1">
      <c r="A55" s="618" t="inlineStr"/>
      <c r="B55" s="618" t="inlineStr">
        <is>
          <t>COVERAGE</t>
        </is>
      </c>
      <c r="C55" s="618" t="inlineStr">
        <is>
          <t>feature-finance-report</t>
        </is>
      </c>
      <c r="D55" s="618" t="inlineStr">
        <is>
          <t>PARTIAL</t>
        </is>
      </c>
      <c r="E55" s="618" t="inlineStr"/>
      <c r="F55" s="618" t="inlineStr">
        <is>
          <t>订单交易明细可复用，但缺少统一财务指标模型和经营报表。</t>
        </is>
      </c>
      <c r="G55" s="618" t="inlineStr"/>
      <c r="H55" s="618" t="inlineStr">
        <is>
          <t>effective-start-order-service</t>
        </is>
      </c>
      <c r="I55" s="618" t="inlineStr">
        <is>
          <t>customer-portal/src/order/state-machine.ts#L20</t>
        </is>
      </c>
    </row>
    <row r="56" ht="36" customHeight="1">
      <c r="A56" s="618" t="inlineStr">
        <is>
          <t>运维与质量</t>
        </is>
      </c>
      <c r="B56" s="618" t="inlineStr">
        <is>
          <t>UNCERTAINTY</t>
        </is>
      </c>
      <c r="C56" s="618" t="inlineStr">
        <is>
          <t>uncertainty-profile-alert-channel</t>
        </is>
      </c>
      <c r="D56" s="618" t="inlineStr">
        <is>
          <t>生产准备评审前登记最终渠道和接收人</t>
        </is>
      </c>
      <c r="E56" s="618" t="inlineStr">
        <is>
          <t>生产告警最终由邮件、工单还是值班群接收？</t>
        </is>
      </c>
      <c r="F56" s="618" t="inlineStr">
        <is>
          <t>不改变工作量，但影响运维手册中的通知路径和接收人。</t>
        </is>
      </c>
      <c r="G56" s="618" t="inlineStr">
        <is>
          <t>运维经理</t>
        </is>
      </c>
      <c r="H56" s="618" t="inlineStr">
        <is>
          <t>feature-customer-profile</t>
        </is>
      </c>
      <c r="I56" s="618" t="inlineStr">
        <is>
          <t>customer-portal/docs/operations-and-test-assets.md#baseline</t>
        </is>
      </c>
    </row>
    <row r="57" ht="36" customHeight="1">
      <c r="A57" s="618" t="inlineStr">
        <is>
          <t>集成与外部依赖</t>
        </is>
      </c>
      <c r="B57" s="618" t="inlineStr">
        <is>
          <t>UNCERTAINTY</t>
        </is>
      </c>
      <c r="C57" s="618" t="inlineStr">
        <is>
          <t>uncertainty-erp-window</t>
        </is>
      </c>
      <c r="D57" s="618" t="inlineStr">
        <is>
          <t>SIT 排期基线确认时锁定窗口</t>
        </is>
      </c>
      <c r="E57" s="618" t="inlineStr">
        <is>
          <t>ERP SIT 环境每日可用时间窗是否保持 09:00 至 18:00？</t>
        </is>
      </c>
      <c r="F57" s="618" t="inlineStr">
        <is>
          <t>工作量按已提供的一个联调环境估算，时间窗变化只影响排期。</t>
        </is>
      </c>
      <c r="G57" s="618" t="inlineStr">
        <is>
          <t>ERP 产品负责人</t>
        </is>
      </c>
      <c r="H57" s="618" t="inlineStr">
        <is>
          <t>feature-inventory-reservation</t>
        </is>
      </c>
      <c r="I57" s="618" t="inlineStr">
        <is>
          <t>customer-portal/contracts/erp-inventory-v2.yaml#reserve</t>
        </is>
      </c>
    </row>
    <row r="58" ht="45" customHeight="1">
      <c r="A58" s="618" t="inlineStr">
        <is>
          <t>集成与外部依赖</t>
        </is>
      </c>
      <c r="B58" s="618" t="inlineStr">
        <is>
          <t>UNCERTAINTY</t>
        </is>
      </c>
      <c r="C58" s="618" t="inlineStr">
        <is>
          <t>uncertainty-payment-certification</t>
        </is>
      </c>
      <c r="D58" s="618" t="inlineStr">
        <is>
          <t>项目启动后五个工作日内提交认证材料</t>
        </is>
      </c>
      <c r="E58" s="618" t="inlineStr">
        <is>
          <t>支付网关退款认证能否在 SIT 第 2 周前完成？</t>
        </is>
      </c>
      <c r="F58" s="618" t="inlineStr">
        <is>
          <t>范围与工作量不变，延迟会影响退款联调和生产验证顺序。</t>
        </is>
      </c>
      <c r="G58" s="618" t="inlineStr">
        <is>
          <t>资金管理部</t>
        </is>
      </c>
      <c r="H58" s="618" t="inlineStr">
        <is>
          <t>feature-return-refund、feature-payment-reconciliation</t>
        </is>
      </c>
      <c r="I58" s="618" t="inlineStr">
        <is>
          <t>customer-portal/contracts/payment-refund-v1.yaml#refund</t>
        </is>
      </c>
    </row>
    <row r="59" ht="36" customHeight="1">
      <c r="A59" s="618" t="inlineStr">
        <is>
          <t>集成与外部依赖</t>
        </is>
      </c>
      <c r="B59" s="618" t="inlineStr">
        <is>
          <t>UNCERTAINTY</t>
        </is>
      </c>
      <c r="C59" s="618" t="inlineStr">
        <is>
          <t>uncertainty-invoice-quota</t>
        </is>
      </c>
      <c r="D59" s="618" t="inlineStr">
        <is>
          <t>联调开始前确认配额并准备扩容申请</t>
        </is>
      </c>
      <c r="E59" s="618" t="inlineStr">
        <is>
          <t>电子发票测试租户的每日开票配额是否为 500 张？</t>
        </is>
      </c>
      <c r="F59" s="618" t="inlineStr">
        <is>
          <t>不改变接口实现估算，但配额不足会延长批量验证周期。</t>
        </is>
      </c>
      <c r="G59" s="618" t="inlineStr">
        <is>
          <t>财务共享中心</t>
        </is>
      </c>
      <c r="H59" s="618" t="inlineStr">
        <is>
          <t>feature-einvoice</t>
        </is>
      </c>
      <c r="I59" s="618" t="inlineStr">
        <is>
          <t>customer-portal/contracts/einvoice-v1.yaml#issue</t>
        </is>
      </c>
    </row>
    <row r="60" ht="105" customHeight="1">
      <c r="A60" s="618" t="inlineStr">
        <is>
          <t>应用与组件</t>
        </is>
      </c>
      <c r="B60" s="618" t="inlineStr">
        <is>
          <t>EVIDENCE</t>
        </is>
      </c>
      <c r="C60" s="618" t="inlineStr">
        <is>
          <t>evidence-profile-component</t>
        </is>
      </c>
      <c r="D60" s="618" t="inlineStr">
        <is>
          <t>CODE</t>
        </is>
      </c>
      <c r="E60" s="618" t="inlineStr">
        <is>
          <t>customer-portal/src/profile.ts#L12</t>
        </is>
      </c>
      <c r="F60" s="618" t="inlineStr">
        <is>
          <t>代码仓库存在客户档案页面、会员主数据映射与字段校验框架。</t>
        </is>
      </c>
      <c r="G60" s="618" t="inlineStr"/>
      <c r="H60" s="618" t="inlineStr">
        <is>
          <t>asis-customer-profile、asis-member-master、effective-start-customer-profile、effective-start-member-master、commitment-profile-fields、feature-customer-profile、feature-member-tier</t>
        </is>
      </c>
      <c r="I60" s="618" t="inlineStr">
        <is>
          <t>customer-portal/src/profile.ts#L12</t>
        </is>
      </c>
    </row>
    <row r="61" ht="120" customHeight="1">
      <c r="A61" s="618" t="inlineStr">
        <is>
          <t>应用与组件</t>
        </is>
      </c>
      <c r="B61" s="618" t="inlineStr">
        <is>
          <t>EVIDENCE</t>
        </is>
      </c>
      <c r="C61" s="618" t="inlineStr">
        <is>
          <t>evidence-order-service</t>
        </is>
      </c>
      <c r="D61" s="618" t="inlineStr">
        <is>
          <t>CODE</t>
        </is>
      </c>
      <c r="E61" s="618" t="inlineStr">
        <is>
          <t>customer-portal/src/order/state-machine.ts#L20</t>
        </is>
      </c>
      <c r="F61" s="618" t="inlineStr">
        <is>
          <t>订单服务已有状态机、审计字段和基础查询能力。</t>
        </is>
      </c>
      <c r="G61" s="618" t="inlineStr"/>
      <c r="H61" s="618" t="inlineStr">
        <is>
          <t>asis-order-service、effective-start-order-service、commitment-order-audit、commitment-store-order、feature-order-orchestration、feature-store-order、feature-order-visibility、feature-finance-report</t>
        </is>
      </c>
      <c r="I61" s="618" t="inlineStr">
        <is>
          <t>customer-portal/src/order/state-machine.ts#L20</t>
        </is>
      </c>
    </row>
    <row r="62" ht="60" customHeight="1">
      <c r="A62" s="618" t="inlineStr">
        <is>
          <t>集成与外部依赖</t>
        </is>
      </c>
      <c r="B62" s="618" t="inlineStr">
        <is>
          <t>EVIDENCE</t>
        </is>
      </c>
      <c r="C62" s="618" t="inlineStr">
        <is>
          <t>evidence-erp-contract</t>
        </is>
      </c>
      <c r="D62" s="618" t="inlineStr">
        <is>
          <t>CONTRACT</t>
        </is>
      </c>
      <c r="E62" s="618" t="inlineStr">
        <is>
          <t>customer-portal/contracts/erp-inventory-v2.yaml#reserve</t>
        </is>
      </c>
      <c r="F62" s="618" t="inlineStr">
        <is>
          <t>ERP v2 契约包含库存查询、预占、释放和幂等键。</t>
        </is>
      </c>
      <c r="G62" s="618" t="inlineStr"/>
      <c r="H62" s="618" t="inlineStr">
        <is>
          <t>asis-erp-interface、effective-start-erp-interface、feature-inventory-reservation、uncertainty-erp-window</t>
        </is>
      </c>
      <c r="I62" s="618" t="inlineStr">
        <is>
          <t>customer-portal/contracts/erp-inventory-v2.yaml#reserve</t>
        </is>
      </c>
    </row>
    <row r="63" ht="90" customHeight="1">
      <c r="A63" s="618" t="inlineStr">
        <is>
          <t>集成与外部依赖</t>
        </is>
      </c>
      <c r="B63" s="618" t="inlineStr">
        <is>
          <t>EVIDENCE</t>
        </is>
      </c>
      <c r="C63" s="618" t="inlineStr">
        <is>
          <t>evidence-payment-contract</t>
        </is>
      </c>
      <c r="D63" s="618" t="inlineStr">
        <is>
          <t>CONTRACT</t>
        </is>
      </c>
      <c r="E63" s="618" t="inlineStr">
        <is>
          <t>customer-portal/contracts/payment-refund-v1.yaml#refund</t>
        </is>
      </c>
      <c r="F63" s="618" t="inlineStr">
        <is>
          <t>支付网关契约定义退款申请、查询和异步结果通知。</t>
        </is>
      </c>
      <c r="G63" s="618" t="inlineStr"/>
      <c r="H63" s="618" t="inlineStr">
        <is>
          <t>asis-payment-gateway、effective-start-payment-gateway、feature-return-refund、feature-payment-reconciliation、uncertainty-payment-certification</t>
        </is>
      </c>
      <c r="I63" s="618" t="inlineStr">
        <is>
          <t>customer-portal/contracts/payment-refund-v1.yaml#refund</t>
        </is>
      </c>
    </row>
    <row r="64" ht="60" customHeight="1">
      <c r="A64" s="618" t="inlineStr">
        <is>
          <t>集成与外部依赖</t>
        </is>
      </c>
      <c r="B64" s="618" t="inlineStr">
        <is>
          <t>EVIDENCE</t>
        </is>
      </c>
      <c r="C64" s="618" t="inlineStr">
        <is>
          <t>evidence-invoice-contract</t>
        </is>
      </c>
      <c r="D64" s="618" t="inlineStr">
        <is>
          <t>CONTRACT</t>
        </is>
      </c>
      <c r="E64" s="618" t="inlineStr">
        <is>
          <t>customer-portal/contracts/einvoice-v1.yaml#issue</t>
        </is>
      </c>
      <c r="F64" s="618" t="inlineStr">
        <is>
          <t>电子发票平台契约定义开票、状态查询和失败码。</t>
        </is>
      </c>
      <c r="G64" s="618" t="inlineStr"/>
      <c r="H64" s="618" t="inlineStr">
        <is>
          <t>asis-invoice-gateway、effective-start-invoice-gateway、feature-einvoice、uncertainty-invoice-quota</t>
        </is>
      </c>
      <c r="I64" s="618" t="inlineStr">
        <is>
          <t>customer-portal/contracts/einvoice-v1.yaml#issue</t>
        </is>
      </c>
    </row>
    <row r="65" ht="165" customHeight="1">
      <c r="A65" s="618" t="inlineStr">
        <is>
          <t>平台、环境与部署</t>
        </is>
      </c>
      <c r="B65" s="618" t="inlineStr">
        <is>
          <t>EVIDENCE</t>
        </is>
      </c>
      <c r="C65" s="618" t="inlineStr">
        <is>
          <t>evidence-platform-config</t>
        </is>
      </c>
      <c r="D65" s="618" t="inlineStr">
        <is>
          <t>CONFIGURATION</t>
        </is>
      </c>
      <c r="E65" s="618" t="inlineStr">
        <is>
          <t>customer-portal/deploy/production/values.yaml#application</t>
        </is>
      </c>
      <c r="F65" s="618" t="inlineStr">
        <is>
          <t>生产环境、流水线、身份控制和消息事件订阅均已有配置基线。</t>
        </is>
      </c>
      <c r="G65" s="618" t="inlineStr"/>
      <c r="H65" s="618" t="inlineStr">
        <is>
          <t>asis-deployment-platform、asis-identity-control、asis-notification-service、effective-start-deployment-platform、effective-start-consent-center、effective-start-notification-service、commitment-consent-policy、feature-customer-consent、feature-customer-notification</t>
        </is>
      </c>
      <c r="I65" s="618" t="inlineStr">
        <is>
          <t>customer-portal/deploy/production/values.yaml#application</t>
        </is>
      </c>
    </row>
    <row r="66" ht="90" customHeight="1">
      <c r="A66" s="618" t="inlineStr">
        <is>
          <t>运维与质量</t>
        </is>
      </c>
      <c r="B66" s="618" t="inlineStr">
        <is>
          <t>EVIDENCE</t>
        </is>
      </c>
      <c r="C66" s="618" t="inlineStr">
        <is>
          <t>evidence-operations-assets</t>
        </is>
      </c>
      <c r="D66" s="618" t="inlineStr">
        <is>
          <t>DOCUMENT</t>
        </is>
      </c>
      <c r="E66" s="618" t="inlineStr">
        <is>
          <t>customer-portal/docs/operations-and-test-assets.md#baseline</t>
        </is>
      </c>
      <c r="F66" s="618" t="inlineStr">
        <is>
          <t>运维文档列出统一监控接入方式、一期回归资产和现行告警渠道。</t>
        </is>
      </c>
      <c r="G66" s="618" t="inlineStr"/>
      <c r="H66" s="618" t="inlineStr">
        <is>
          <t>asis-monitoring-platform、asis-test-assets、effective-start-monitoring-platform、effective-start-test-assets、uncertainty-profile-alert-channel</t>
        </is>
      </c>
      <c r="I66" s="618" t="inlineStr">
        <is>
          <t>customer-portal/docs/operations-and-test-assets.md#baseline</t>
        </is>
      </c>
    </row>
  </sheetData>
  <mergeCells count="2">
    <mergeCell ref="A1:I1"/>
    <mergeCell ref="A2:I2"/>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11.xml><?xml version="1.0" encoding="utf-8"?>
<worksheet xmlns="http://schemas.openxmlformats.org/spreadsheetml/2006/main">
  <sheetPr>
    <outlinePr summaryBelow="1" summaryRight="1"/>
    <pageSetUpPr/>
  </sheetPr>
  <dimension ref="A1:F12"/>
  <sheetViews>
    <sheetView showGridLines="0" workbookViewId="0">
      <pane ySplit="3" topLeftCell="A4" activePane="bottomLeft" state="frozen"/>
      <selection pane="bottomLeft" activeCell="A1" sqref="A1"/>
    </sheetView>
  </sheetViews>
  <sheetFormatPr baseColWidth="8" defaultColWidth="9" defaultRowHeight="16.79999923706055"/>
  <cols>
    <col width="24" customWidth="1" min="1" max="1"/>
    <col width="25" customWidth="1" min="2" max="2"/>
    <col width="13" customWidth="1" min="3" max="3"/>
    <col width="13" customWidth="1" min="4" max="4"/>
    <col width="37" customWidth="1" min="5" max="5"/>
    <col width="23" customWidth="1" min="6" max="6"/>
  </cols>
  <sheetData>
    <row r="1" ht="31" customHeight="1">
      <c r="A1" s="390" t="inlineStr">
        <is>
          <t>项目参数</t>
        </is>
      </c>
      <c r="B1" s="635" t="n"/>
      <c r="C1" s="635" t="n"/>
      <c r="D1" s="635" t="n"/>
      <c r="E1" s="635" t="n"/>
      <c r="F1" s="635" t="n"/>
    </row>
    <row r="2" ht="36" customHeight="1">
      <c r="A2" s="400" t="inlineStr">
        <is>
          <t>全部项目级公式引用本表；包含 Task 复杂度系数、UAT/SIT 支持参数和取整规则，不包含敏捷或非 Dev 角色人天。</t>
        </is>
      </c>
      <c r="B2" s="636" t="n"/>
      <c r="C2" s="636" t="n"/>
      <c r="D2" s="636" t="n"/>
      <c r="E2" s="636" t="n"/>
      <c r="F2" s="636" t="n"/>
    </row>
    <row r="3" ht="9" customHeight="1"/>
    <row r="4" ht="38" customHeight="1">
      <c r="A4" s="453" t="inlineStr">
        <is>
          <t>参数代码</t>
        </is>
      </c>
      <c r="B4" s="453" t="inlineStr">
        <is>
          <t>名称</t>
        </is>
      </c>
      <c r="C4" s="453" t="inlineStr">
        <is>
          <t>值</t>
        </is>
      </c>
      <c r="D4" s="453" t="inlineStr">
        <is>
          <t>单位</t>
        </is>
      </c>
      <c r="E4" s="453" t="inlineStr">
        <is>
          <t>适用范围</t>
        </is>
      </c>
      <c r="F4" s="453" t="inlineStr">
        <is>
          <t>验证状态/说明</t>
        </is>
      </c>
    </row>
    <row r="5" ht="30" customHeight="1">
      <c r="A5" s="490" t="inlineStr">
        <is>
          <t>K_COMPLEXITY_S</t>
        </is>
      </c>
      <c r="B5" s="490" t="inlineStr">
        <is>
          <t>S档复杂度系数</t>
        </is>
      </c>
      <c r="C5" s="652" t="n">
        <v>0.6</v>
      </c>
      <c r="D5" s="598" t="inlineStr">
        <is>
          <t>倍</t>
        </is>
      </c>
      <c r="E5" s="598" t="inlineStr">
        <is>
          <t>Task 人天</t>
        </is>
      </c>
      <c r="F5" s="449" t="inlineStr">
        <is>
          <t>固定规则</t>
        </is>
      </c>
    </row>
    <row r="6" ht="30" customHeight="1">
      <c r="A6" s="490" t="inlineStr">
        <is>
          <t>K_COMPLEXITY_M</t>
        </is>
      </c>
      <c r="B6" s="490" t="inlineStr">
        <is>
          <t>M档复杂度系数</t>
        </is>
      </c>
      <c r="C6" s="652" t="n">
        <v>1</v>
      </c>
      <c r="D6" s="598" t="inlineStr">
        <is>
          <t>倍</t>
        </is>
      </c>
      <c r="E6" s="598" t="inlineStr">
        <is>
          <t>Task 人天</t>
        </is>
      </c>
      <c r="F6" s="449" t="inlineStr">
        <is>
          <t>固定规则</t>
        </is>
      </c>
    </row>
    <row r="7" ht="30" customHeight="1">
      <c r="A7" s="490" t="inlineStr">
        <is>
          <t>K_COMPLEXITY_L</t>
        </is>
      </c>
      <c r="B7" s="490" t="inlineStr">
        <is>
          <t>L档复杂度系数</t>
        </is>
      </c>
      <c r="C7" s="652" t="n">
        <v>1.5</v>
      </c>
      <c r="D7" s="598" t="inlineStr">
        <is>
          <t>倍</t>
        </is>
      </c>
      <c r="E7" s="598" t="inlineStr">
        <is>
          <t>Task 人天</t>
        </is>
      </c>
      <c r="F7" s="449" t="inlineStr">
        <is>
          <t>固定规则</t>
        </is>
      </c>
    </row>
    <row r="8" ht="30" customHeight="1">
      <c r="A8" s="490" t="inlineStr">
        <is>
          <t>K_UAT</t>
        </is>
      </c>
      <c r="B8" s="490" t="inlineStr">
        <is>
          <t>UAT支持系数</t>
        </is>
      </c>
      <c r="C8" s="652" t="n">
        <v>0.05</v>
      </c>
      <c r="D8" s="598" t="inlineStr">
        <is>
          <t>%</t>
        </is>
      </c>
      <c r="E8" s="598" t="inlineStr">
        <is>
          <t>显式标记UAT适用的Story直接人天</t>
        </is>
      </c>
      <c r="F8" s="449" t="inlineStr">
        <is>
          <t>待样本校准</t>
        </is>
      </c>
    </row>
    <row r="9" ht="30" customHeight="1">
      <c r="A9" s="490" t="inlineStr">
        <is>
          <t>SIT_INT_SUPPORT</t>
        </is>
      </c>
      <c r="B9" s="490" t="inlineStr">
        <is>
          <t>内部集成点SIT支持</t>
        </is>
      </c>
      <c r="C9" s="652" t="n">
        <v>0.5</v>
      </c>
      <c r="D9" s="598" t="inlineStr">
        <is>
          <t>人天/点</t>
        </is>
      </c>
      <c r="E9" s="598" t="inlineStr">
        <is>
          <t>开发交付估算</t>
        </is>
      </c>
      <c r="F9" s="449" t="inlineStr">
        <is>
          <t>待样本校准</t>
        </is>
      </c>
    </row>
    <row r="10" ht="30" customHeight="1">
      <c r="A10" s="490" t="inlineStr">
        <is>
          <t>SIT_EXT_SUPPORT</t>
        </is>
      </c>
      <c r="B10" s="490" t="inlineStr">
        <is>
          <t>外部集成点SIT支持</t>
        </is>
      </c>
      <c r="C10" s="652" t="n">
        <v>1</v>
      </c>
      <c r="D10" s="598" t="inlineStr">
        <is>
          <t>人天/点</t>
        </is>
      </c>
      <c r="E10" s="598" t="inlineStr">
        <is>
          <t>开发交付估算</t>
        </is>
      </c>
      <c r="F10" s="449" t="inlineStr">
        <is>
          <t>待样本校准</t>
        </is>
      </c>
    </row>
    <row r="11" ht="30" customHeight="1">
      <c r="A11" s="490" t="inlineStr">
        <is>
          <t>ROUND_STORY</t>
        </is>
      </c>
      <c r="B11" s="490" t="inlineStr">
        <is>
          <t>Story取整粒度</t>
        </is>
      </c>
      <c r="C11" s="652" t="n">
        <v>0.5</v>
      </c>
      <c r="D11" s="598" t="inlineStr">
        <is>
          <t>人天</t>
        </is>
      </c>
      <c r="E11" s="598" t="inlineStr">
        <is>
          <t>Task合计后向上取整</t>
        </is>
      </c>
      <c r="F11" s="449" t="inlineStr">
        <is>
          <t>固定规则</t>
        </is>
      </c>
    </row>
    <row r="12" ht="30" customHeight="1">
      <c r="A12" s="490" t="inlineStr">
        <is>
          <t>ROUND_PROJECT</t>
        </is>
      </c>
      <c r="B12" s="490" t="inlineStr">
        <is>
          <t>项目级取整粒度</t>
        </is>
      </c>
      <c r="C12" s="652" t="n">
        <v>0.5</v>
      </c>
      <c r="D12" s="598" t="inlineStr">
        <is>
          <t>人天</t>
        </is>
      </c>
      <c r="E12" s="598" t="inlineStr">
        <is>
          <t>SIT、UAT分别向上取整；总计不再次取整</t>
        </is>
      </c>
      <c r="F12" s="449" t="inlineStr">
        <is>
          <t>固定规则</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V224"/>
  <sheetViews>
    <sheetView showGridLines="0" workbookViewId="0">
      <pane ySplit="3" topLeftCell="A4" activePane="bottomLeft" state="frozen"/>
      <selection pane="bottomLeft" activeCell="A1" sqref="A1"/>
    </sheetView>
  </sheetViews>
  <sheetFormatPr baseColWidth="8" defaultColWidth="9" defaultRowHeight="16.79999923706055"/>
  <cols>
    <col width="18" customWidth="1" min="1" max="1"/>
    <col width="16" customWidth="1" min="2" max="2"/>
    <col width="28" customWidth="1" min="3" max="3"/>
    <col width="23" customWidth="1" min="4" max="4"/>
    <col width="32" customWidth="1" min="5" max="5"/>
    <col width="43" customWidth="1" min="6" max="6"/>
    <col width="37" customWidth="1" min="7" max="7"/>
    <col width="14" customWidth="1" min="8" max="8"/>
    <col width="14" customWidth="1" min="9" max="9"/>
    <col width="17" customWidth="1" min="10" max="10"/>
    <col width="39" customWidth="1" min="11" max="11"/>
    <col width="39" customWidth="1" min="12" max="12"/>
    <col width="41" customWidth="1" min="13" max="13"/>
    <col width="44" customWidth="1" min="14" max="14"/>
    <col width="34" customWidth="1" min="15" max="15"/>
    <col width="3" customWidth="1" min="16" max="16"/>
    <col width="14" customWidth="1" min="17" max="17"/>
    <col width="34" customWidth="1" min="18" max="18"/>
    <col width="3" customWidth="1" min="19" max="19"/>
    <col width="34" customWidth="1" min="20" max="20"/>
    <col width="17" customWidth="1" min="21" max="21"/>
    <col width="40" customWidth="1" min="22" max="22"/>
  </cols>
  <sheetData>
    <row r="1" ht="31" customHeight="1">
      <c r="A1" s="390" t="inlineStr">
        <is>
          <t>基础单元与估算标准</t>
        </is>
      </c>
      <c r="B1" s="635" t="n"/>
      <c r="C1" s="635" t="n"/>
      <c r="D1" s="635" t="n"/>
      <c r="E1" s="635" t="n"/>
      <c r="F1" s="635" t="n"/>
      <c r="G1" s="635" t="n"/>
      <c r="H1" s="635" t="n"/>
      <c r="I1" s="635" t="n"/>
      <c r="J1" s="635" t="n"/>
      <c r="K1" s="635" t="n"/>
      <c r="L1" s="635" t="n"/>
      <c r="M1" s="635" t="n"/>
      <c r="N1" s="635" t="n"/>
    </row>
    <row r="2" ht="42" customHeight="1">
      <c r="A2" s="400" t="inlineStr">
        <is>
          <t>一行一个基础单元；新建、调整、接入复用三列直接给出 M 档基础人天；❌ 表示该组合不适用。S/M/L/X 标准用于判断和拆分，不另设重复配置表。</t>
        </is>
      </c>
      <c r="B2" s="636" t="n"/>
      <c r="C2" s="636" t="n"/>
      <c r="D2" s="636" t="n"/>
      <c r="E2" s="636" t="n"/>
      <c r="F2" s="636" t="n"/>
      <c r="G2" s="636" t="n"/>
      <c r="H2" s="636" t="n"/>
      <c r="I2" s="636" t="n"/>
      <c r="J2" s="636" t="n"/>
      <c r="K2" s="636" t="n"/>
      <c r="L2" s="636" t="n"/>
      <c r="M2" s="636" t="n"/>
      <c r="N2" s="636" t="n"/>
    </row>
    <row r="3" ht="25" customHeight="1">
      <c r="A3" s="570" t="inlineStr">
        <is>
          <t>分类与标识</t>
        </is>
      </c>
      <c r="B3" s="653" t="n"/>
      <c r="C3" s="653" t="n"/>
      <c r="D3" s="654" t="n"/>
      <c r="E3" s="573" t="inlineStr">
        <is>
          <t>计数与工作边界</t>
        </is>
      </c>
      <c r="F3" s="653" t="n"/>
      <c r="G3" s="654" t="n"/>
      <c r="H3" s="576" t="inlineStr">
        <is>
          <t>M档基础人天（按工作模式）</t>
        </is>
      </c>
      <c r="I3" s="653" t="n"/>
      <c r="J3" s="654" t="n"/>
      <c r="K3" s="579" t="inlineStr">
        <is>
          <t>复杂度判定标准</t>
        </is>
      </c>
      <c r="L3" s="653" t="n"/>
      <c r="M3" s="653" t="n"/>
      <c r="N3" s="654" t="n"/>
    </row>
    <row r="4" ht="42" customHeight="1">
      <c r="A4" s="453" t="inlineStr">
        <is>
          <t>任务族ID</t>
        </is>
      </c>
      <c r="B4" s="453" t="inlineStr">
        <is>
          <t>任务族名称</t>
        </is>
      </c>
      <c r="C4" s="453" t="inlineStr">
        <is>
          <t>基础单元ID</t>
        </is>
      </c>
      <c r="D4" s="453" t="inlineStr">
        <is>
          <t>基础单元名称</t>
        </is>
      </c>
      <c r="E4" s="453" t="inlineStr">
        <is>
          <t>计数口径</t>
        </is>
      </c>
      <c r="F4" s="453" t="inlineStr">
        <is>
          <t>包含内容</t>
        </is>
      </c>
      <c r="G4" s="453" t="inlineStr">
        <is>
          <t>不包含内容</t>
        </is>
      </c>
      <c r="H4" s="453" t="inlineStr">
        <is>
          <t>新建M档人天</t>
        </is>
      </c>
      <c r="I4" s="453" t="inlineStr">
        <is>
          <t>调整M档人天</t>
        </is>
      </c>
      <c r="J4" s="453" t="inlineStr">
        <is>
          <t>接入复用M档人天</t>
        </is>
      </c>
      <c r="K4" s="453" t="inlineStr">
        <is>
          <t>S标准</t>
        </is>
      </c>
      <c r="L4" s="453" t="inlineStr">
        <is>
          <t>M标准</t>
        </is>
      </c>
      <c r="M4" s="453" t="inlineStr">
        <is>
          <t>L标准</t>
        </is>
      </c>
      <c r="N4" s="453" t="inlineStr">
        <is>
          <t>X/拆分条件</t>
        </is>
      </c>
    </row>
    <row r="5" ht="65" customHeight="1">
      <c r="A5" s="591" t="inlineStr">
        <is>
          <t>TF-FRONTEND</t>
        </is>
      </c>
      <c r="B5" s="490" t="inlineStr">
        <is>
          <t>前端</t>
        </is>
      </c>
      <c r="C5" s="591" t="inlineStr">
        <is>
          <t>BU-UI-INTERACTION</t>
        </is>
      </c>
      <c r="D5" s="490" t="inlineStr">
        <is>
          <t>界面与交互</t>
        </is>
      </c>
      <c r="E5" s="598" t="inlineStr">
        <is>
          <t>一个可独立验收的界面，或一条紧密关联的交互流程</t>
        </is>
      </c>
      <c r="F5" s="598" t="inlineStr">
        <is>
          <t>界面结构与交互、状态管理、权限呈现、加载、空白和异常状态及开发自测</t>
        </is>
      </c>
      <c r="G5" s="598" t="inlineStr">
        <is>
          <t>后端服务和另行开展的测试</t>
        </is>
      </c>
      <c r="H5" s="612" t="n">
        <v>2.5</v>
      </c>
      <c r="I5" s="612" t="n">
        <v>1.5</v>
      </c>
      <c r="J5" s="612" t="inlineStr">
        <is>
          <t>❌</t>
        </is>
      </c>
      <c r="K5" s="449" t="inlineStr">
        <is>
          <t>1～2 种主要状态；标准组件；简单校验；单一角色</t>
        </is>
      </c>
      <c r="L5" s="449" t="inlineStr">
        <is>
          <t>3～5 种主要状态；条件联动；复杂表格、上传或多角色</t>
        </is>
      </c>
      <c r="M5" s="449" t="inlineStr">
        <is>
          <t>复杂状态机；实时或离线处理；跨界面状态恢复；严格无障碍或多终端适配</t>
        </is>
      </c>
      <c r="N5" s="449" t="inlineStr">
        <is>
          <t>包含多条可独立验收的交互流程，或跨多个应用</t>
        </is>
      </c>
    </row>
    <row r="6" ht="65" customHeight="1">
      <c r="A6" s="591" t="inlineStr">
        <is>
          <t>TF-FRONTEND</t>
        </is>
      </c>
      <c r="B6" s="490" t="inlineStr">
        <is>
          <t>前端</t>
        </is>
      </c>
      <c r="C6" s="591" t="inlineStr">
        <is>
          <t>BU-UI-COMPONENT</t>
        </is>
      </c>
      <c r="D6" s="490" t="inlineStr">
        <is>
          <t>通用界面组件</t>
        </is>
      </c>
      <c r="E6" s="598" t="inlineStr">
        <is>
          <t>一个可独立发布和复用的组件；同一组件的紧密相关变体合并计算</t>
        </is>
      </c>
      <c r="F6" s="598" t="inlineStr">
        <is>
          <t>新建或调整时包括组件的属性、事件、状态、样式、主题适配、无障碍、示例和组件测试；接入复用时只包括当前项目的注册、主题适配、封装或必要验证</t>
        </is>
      </c>
      <c r="G6" s="598" t="inlineStr">
        <is>
          <t>具体界面的业务逻辑和普通组件调用</t>
        </is>
      </c>
      <c r="H6" s="612" t="n">
        <v>2</v>
      </c>
      <c r="I6" s="612" t="n">
        <v>1</v>
      </c>
      <c r="J6" s="612" t="n">
        <v>0.5</v>
      </c>
      <c r="K6" s="449" t="inlineStr">
        <is>
          <t>单一基础组件；状态和样式少；沿用现有设计规范</t>
        </is>
      </c>
      <c r="L6" s="449" t="inlineStr">
        <is>
          <t>一个组件及其紧密相关的状态变体；需要响应式、主题或无障碍适配</t>
        </is>
      </c>
      <c r="M6" s="449" t="inlineStr">
        <is>
          <t>复杂组合组件；自定义交互和状态管理；跨应用使用；涉及版本兼容或扩展机制</t>
        </is>
      </c>
      <c r="N6" s="449" t="inlineStr">
        <is>
          <t>包含多个可独立发布的组件，或需要建设完整组件库、设计规范体系</t>
        </is>
      </c>
    </row>
    <row r="7" ht="65" customHeight="1">
      <c r="A7" s="591" t="inlineStr">
        <is>
          <t>TF-BACKEND</t>
        </is>
      </c>
      <c r="B7" s="490" t="inlineStr">
        <is>
          <t>后端</t>
        </is>
      </c>
      <c r="C7" s="591" t="inlineStr">
        <is>
          <t>BU-BUSINESS-SERVICE-API</t>
        </is>
      </c>
      <c r="D7" s="490" t="inlineStr">
        <is>
          <t>业务服务与接口</t>
        </is>
      </c>
      <c r="E7" s="598" t="inlineStr">
        <is>
          <t>一个业务操作及其直接相关的一组接口</t>
        </is>
      </c>
      <c r="F7" s="598" t="inlineStr">
        <is>
          <t>接口约定、业务校验、事务、权限、异常处理和单元验证</t>
        </is>
      </c>
      <c r="G7" s="598" t="inlineStr">
        <is>
          <t>前端界面和独立系统对接</t>
        </is>
      </c>
      <c r="H7" s="612" t="n">
        <v>2.5</v>
      </c>
      <c r="I7" s="612" t="n">
        <v>1.5</v>
      </c>
      <c r="J7" s="612" t="inlineStr">
        <is>
          <t>❌</t>
        </is>
      </c>
      <c r="K7" s="449" t="inlineStr">
        <is>
          <t>单个业务对象的增删改查；简单规则；单一事务；标准权限</t>
        </is>
      </c>
      <c r="L7" s="449" t="inlineStr">
        <is>
          <t>一个业务操作涉及多个业务对象；多条业务规则；异步处理或多角色权限</t>
        </is>
      </c>
      <c r="M7" s="449" t="inlineStr">
        <is>
          <t>单个业务操作需要跨服务编排、复杂状态机、幂等补偿、高并发或严格一致性</t>
        </is>
      </c>
      <c r="N7" s="449" t="inlineStr">
        <is>
          <t>包含多个可独立验收的业务操作，或需要跨多个服务分别交付</t>
        </is>
      </c>
    </row>
    <row r="8" ht="65" customHeight="1">
      <c r="A8" s="591" t="inlineStr">
        <is>
          <t>TF-BACKEND</t>
        </is>
      </c>
      <c r="B8" s="490" t="inlineStr">
        <is>
          <t>后端</t>
        </is>
      </c>
      <c r="C8" s="591" t="inlineStr">
        <is>
          <t>BU-BACKGROUND-JOB</t>
        </is>
      </c>
      <c r="D8" s="490" t="inlineStr">
        <is>
          <t>后台任务</t>
        </is>
      </c>
      <c r="E8" s="598" t="inlineStr">
        <is>
          <t>一个可独立调度、运行和恢复的后台任务</t>
        </is>
      </c>
      <c r="F8" s="598" t="inlineStr">
        <is>
          <t>调度入口、批次处理、幂等重试、失败恢复、运行记录和自测</t>
        </is>
      </c>
      <c r="G8" s="598" t="inlineStr">
        <is>
          <t>通用调度平台建设</t>
        </is>
      </c>
      <c r="H8" s="612" t="n">
        <v>2.5</v>
      </c>
      <c r="I8" s="612" t="n">
        <v>1.5</v>
      </c>
      <c r="J8" s="612" t="inlineStr">
        <is>
          <t>❌</t>
        </is>
      </c>
      <c r="K8" s="449" t="inlineStr">
        <is>
          <t>单源单目标；简单调度；小数据量</t>
        </is>
      </c>
      <c r="L8" s="449" t="inlineStr">
        <is>
          <t>多步骤依赖；重试续跑；中等数据量；需要监控</t>
        </is>
      </c>
      <c r="M8" s="449" t="inlineStr">
        <is>
          <t>分片并行；严格批次窗口；断点恢复；大数据量或复杂补偿</t>
        </is>
      </c>
      <c r="N8" s="449" t="inlineStr">
        <is>
          <t>包含多个可独立调度的任务，或需要建设调度平台本身</t>
        </is>
      </c>
    </row>
    <row r="9" ht="65" customHeight="1">
      <c r="A9" s="591" t="inlineStr">
        <is>
          <t>TF-BACKEND</t>
        </is>
      </c>
      <c r="B9" s="490" t="inlineStr">
        <is>
          <t>后端</t>
        </is>
      </c>
      <c r="C9" s="591" t="inlineStr">
        <is>
          <t>BU-EVENT-MESSAGE</t>
        </is>
      </c>
      <c r="D9" s="490" t="inlineStr">
        <is>
          <t>事件与消息处理</t>
        </is>
      </c>
      <c r="E9" s="598" t="inlineStr">
        <is>
          <t>一个事件方向下的一类消息及其处理流程</t>
        </is>
      </c>
      <c r="F9" s="598" t="inlineStr">
        <is>
          <t>消息格式和约定、发送与接收、路由、幂等、重试、死信处理、追踪和自测</t>
        </is>
      </c>
      <c r="G9" s="598" t="inlineStr">
        <is>
          <t>消息平台本身建设</t>
        </is>
      </c>
      <c r="H9" s="612" t="n">
        <v>3</v>
      </c>
      <c r="I9" s="612" t="n">
        <v>2</v>
      </c>
      <c r="J9" s="612" t="inlineStr">
        <is>
          <t>❌</t>
        </is>
      </c>
      <c r="K9" s="449" t="inlineStr">
        <is>
          <t>单生产者、单消费者；简单映射；允许重复</t>
        </is>
      </c>
      <c r="L9" s="449" t="inlineStr">
        <is>
          <t>单一事件方向下存在多个相关操作或消费者；需要顺序、重试、幂等或死信处理</t>
        </is>
      </c>
      <c r="M9" s="449" t="inlineStr">
        <is>
          <t>单一事件方向需要分布式事务、版本兼容、高吞吐或跨地域处理</t>
        </is>
      </c>
      <c r="N9" s="449" t="inlineStr">
        <is>
          <t>包含多个独立事件方向或消息类别，或需要建设消息平台本身</t>
        </is>
      </c>
    </row>
    <row r="10" ht="65" customHeight="1">
      <c r="A10" s="591" t="inlineStr">
        <is>
          <t>TF-DATA-REPORTING</t>
        </is>
      </c>
      <c r="B10" s="490" t="inlineStr">
        <is>
          <t>数据与报表</t>
        </is>
      </c>
      <c r="C10" s="591" t="inlineStr">
        <is>
          <t>BU-DATA-MODEL</t>
        </is>
      </c>
      <c r="D10" s="490" t="inlineStr">
        <is>
          <t>数据模型与存储结构</t>
        </is>
      </c>
      <c r="E10" s="598" t="inlineStr">
        <is>
          <t>一个业务对象，或一组必须同时演进的紧密相关对象</t>
        </is>
      </c>
      <c r="F10" s="598" t="inlineStr">
        <is>
          <t>存储结构、关系、约束、索引、访问层和结构演进验证</t>
        </is>
      </c>
      <c r="G10" s="598" t="inlineStr">
        <is>
          <t>批量业务数据迁移</t>
        </is>
      </c>
      <c r="H10" s="612" t="n">
        <v>2.5</v>
      </c>
      <c r="I10" s="612" t="n">
        <v>1.5</v>
      </c>
      <c r="J10" s="612" t="inlineStr">
        <is>
          <t>❌</t>
        </is>
      </c>
      <c r="K10" s="449" t="inlineStr">
        <is>
          <t>1～2 个对象；简单关系和索引</t>
        </is>
      </c>
      <c r="L10" s="449" t="inlineStr">
        <is>
          <t>一组必须同时演进的 3～6 个相关对象；多约束、索引和结构迁移</t>
        </is>
      </c>
      <c r="M10" s="449" t="inlineStr">
        <is>
          <t>单一对象组存在复杂层级或图关系、分区分片、历史版本或零停机结构演进</t>
        </is>
      </c>
      <c r="N10" s="449" t="inlineStr">
        <is>
          <t>包含多个可独立演进的业务对象组，或需要整体重构存储架构</t>
        </is>
      </c>
    </row>
    <row r="11" ht="65" customHeight="1">
      <c r="A11" s="591" t="inlineStr">
        <is>
          <t>TF-DATA-REPORTING</t>
        </is>
      </c>
      <c r="B11" s="490" t="inlineStr">
        <is>
          <t>数据与报表</t>
        </is>
      </c>
      <c r="C11" s="591" t="inlineStr">
        <is>
          <t>BU-REPORT-METRIC</t>
        </is>
      </c>
      <c r="D11" s="490" t="inlineStr">
        <is>
          <t>报表与指标</t>
        </is>
      </c>
      <c r="E11" s="598" t="inlineStr">
        <is>
          <t>一张可独立验收的报表，或一组使用同一数据口径的紧密相关指标</t>
        </is>
      </c>
      <c r="F11" s="598" t="inlineStr">
        <is>
          <t>指标口径、查询聚合、筛选钻取、权限、展示、导出和结果校验</t>
        </is>
      </c>
      <c r="G11" s="598" t="inlineStr">
        <is>
          <t>新增数据采集流程</t>
        </is>
      </c>
      <c r="H11" s="612" t="n">
        <v>2</v>
      </c>
      <c r="I11" s="612" t="n">
        <v>1.5</v>
      </c>
      <c r="J11" s="612" t="inlineStr">
        <is>
          <t>❌</t>
        </is>
      </c>
      <c r="K11" s="449" t="inlineStr">
        <is>
          <t>单一来源；简单汇总；固定筛选</t>
        </is>
      </c>
      <c r="L11" s="449" t="inlineStr">
        <is>
          <t>一张报表或一组同口径指标需要多表关联、计算、钻取或按角色过滤</t>
        </is>
      </c>
      <c r="M11" s="449" t="inlineStr">
        <is>
          <t>单一验收范围需要统一多个来源口径、复杂计算、近实时、大数据量或严格审计</t>
        </is>
      </c>
      <c r="N11" s="449" t="inlineStr">
        <is>
          <t>包含多张可独立验收的报表，或多组相互独立的指标口径</t>
        </is>
      </c>
    </row>
    <row r="12" ht="65" customHeight="1">
      <c r="A12" s="591" t="inlineStr">
        <is>
          <t>TF-DATA-REPORTING</t>
        </is>
      </c>
      <c r="B12" s="490" t="inlineStr">
        <is>
          <t>数据与报表</t>
        </is>
      </c>
      <c r="C12" s="591" t="inlineStr">
        <is>
          <t>BU-DATA-PIPELINE</t>
        </is>
      </c>
      <c r="D12" s="490" t="inlineStr">
        <is>
          <t>数据处理流程</t>
        </is>
      </c>
      <c r="E12" s="598" t="inlineStr">
        <is>
          <t>一条可独立运行和验证的源到目标处理流程</t>
        </is>
      </c>
      <c r="F12" s="598" t="inlineStr">
        <is>
          <t>抽取、映射、转换、质量校验、调度、重试恢复和监控</t>
        </is>
      </c>
      <c r="G12" s="598" t="inlineStr">
        <is>
          <t>一次性数据迁移和发布切换</t>
        </is>
      </c>
      <c r="H12" s="612" t="n">
        <v>2.5</v>
      </c>
      <c r="I12" s="612" t="n">
        <v>1.5</v>
      </c>
      <c r="J12" s="612" t="inlineStr">
        <is>
          <t>❌</t>
        </is>
      </c>
      <c r="K12" s="449" t="inlineStr">
        <is>
          <t>单源单目标；简单映射；全量处理</t>
        </is>
      </c>
      <c r="L12" s="449" t="inlineStr">
        <is>
          <t>一条流程包含多步转换、增量处理、质量规则和调度依赖</t>
        </is>
      </c>
      <c r="M12" s="449" t="inlineStr">
        <is>
          <t>单一流程涉及多源血缘、CDC、流批结合、回放补数或严格时效</t>
        </is>
      </c>
      <c r="N12" s="449" t="inlineStr">
        <is>
          <t>包含多条可独立调度的处理流程，或需要建设数据处理平台本身</t>
        </is>
      </c>
    </row>
    <row r="13" ht="65" customHeight="1">
      <c r="A13" s="591" t="inlineStr">
        <is>
          <t>TF-SYSTEM-INTEGRATION</t>
        </is>
      </c>
      <c r="B13" s="490" t="inlineStr">
        <is>
          <t>系统集成</t>
        </is>
      </c>
      <c r="C13" s="591" t="inlineStr">
        <is>
          <t>BU-INTERNAL-INTEGRATION</t>
        </is>
      </c>
      <c r="D13" s="490" t="inlineStr">
        <is>
          <t>内部系统对接</t>
        </is>
      </c>
      <c r="E13" s="598" t="inlineStr">
        <is>
          <t>一个 Integration 记录所定义的单一交互方向</t>
        </is>
      </c>
      <c r="F13" s="598" t="inlineStr">
        <is>
          <t>接口定义、认证、数据转换与适配、幂等重试、异常处理和基本联调</t>
        </is>
      </c>
      <c r="G13" s="598" t="inlineStr">
        <is>
          <t>对端系统改造和另行开展的系统集成测试</t>
        </is>
      </c>
      <c r="H13" s="612" t="n">
        <v>2</v>
      </c>
      <c r="I13" s="612" t="n">
        <v>1.5</v>
      </c>
      <c r="J13" s="612" t="n">
        <v>1</v>
      </c>
      <c r="K13" s="449" t="inlineStr">
        <is>
          <t>同组织；稳定接口；单向；简单映射</t>
        </is>
      </c>
      <c r="L13" s="449" t="inlineStr">
        <is>
          <t>一个交互方向包含多个相关操作；跨团队；需要认证、重试或版本管理</t>
        </is>
      </c>
      <c r="M13" s="449" t="inlineStr">
        <is>
          <t>单一交互方向跨业务域；复杂一致性；联合发布或严格 SLA</t>
        </is>
      </c>
      <c r="N13" s="449" t="inlineStr">
        <is>
          <t>包含多个 Integration、多个交互方向，或对端系统改造也在本项目范围内</t>
        </is>
      </c>
    </row>
    <row r="14" ht="65" customHeight="1">
      <c r="A14" s="591" t="inlineStr">
        <is>
          <t>TF-SYSTEM-INTEGRATION</t>
        </is>
      </c>
      <c r="B14" s="490" t="inlineStr">
        <is>
          <t>系统集成</t>
        </is>
      </c>
      <c r="C14" s="591" t="inlineStr">
        <is>
          <t>BU-EXTERNAL-INTEGRATION</t>
        </is>
      </c>
      <c r="D14" s="490" t="inlineStr">
        <is>
          <t>外部系统对接</t>
        </is>
      </c>
      <c r="E14" s="598" t="inlineStr">
        <is>
          <t>一个 Integration 记录所定义的单一交互方向</t>
        </is>
      </c>
      <c r="F14" s="598" t="inlineStr">
        <is>
          <t>外部接口定义、连接认证、数据转换与适配、幂等重试、异常处理、环境配置和基本联调</t>
        </is>
      </c>
      <c r="G14" s="598" t="inlineStr">
        <is>
          <t>外部方实现和另行开展的系统集成测试</t>
        </is>
      </c>
      <c r="H14" s="612" t="n">
        <v>3</v>
      </c>
      <c r="I14" s="612" t="n">
        <v>2</v>
      </c>
      <c r="J14" s="612" t="n">
        <v>2</v>
      </c>
      <c r="K14" s="449" t="inlineStr">
        <is>
          <t>文档完整；标准协议和认证；单向</t>
        </is>
      </c>
      <c r="L14" s="449" t="inlineStr">
        <is>
          <t>一个交互方向包含多个相关接口；复杂映射；幂等重试；依赖外部测试环境</t>
        </is>
      </c>
      <c r="M14" s="449" t="inlineStr">
        <is>
          <t>单一交互方向使用专有协议；复杂对账；多方协调；严格安全、性能或可用性</t>
        </is>
      </c>
      <c r="N14" s="449" t="inlineStr">
        <is>
          <t>包含多个 Integration、多个交互方向，或外部方实现也计入本项目范围</t>
        </is>
      </c>
    </row>
    <row r="15" ht="65" customHeight="1">
      <c r="A15" s="591" t="inlineStr">
        <is>
          <t>TF-QUALITY</t>
        </is>
      </c>
      <c r="B15" s="490" t="inlineStr">
        <is>
          <t>质量验证</t>
        </is>
      </c>
      <c r="C15" s="591" t="inlineStr">
        <is>
          <t>BU-MANUAL-TESTING</t>
        </is>
      </c>
      <c r="D15" s="490" t="inlineStr">
        <is>
          <t>人工测试</t>
        </is>
      </c>
      <c r="E15" s="598" t="inlineStr">
        <is>
          <t>约 10 条紧密相关的测试场景，或一个可独立出具结果的测试范围</t>
        </is>
      </c>
      <c r="F15" s="598" t="inlineStr">
        <is>
          <t>场景设计、测试数据、步骤与预期、执行、缺陷复测和结果记录</t>
        </is>
      </c>
      <c r="G15" s="598" t="inlineStr">
        <is>
          <t>自动化脚本实现</t>
        </is>
      </c>
      <c r="H15" s="612" t="n">
        <v>1.5</v>
      </c>
      <c r="I15" s="612" t="n">
        <v>1</v>
      </c>
      <c r="J15" s="612" t="inlineStr">
        <is>
          <t>❌</t>
        </is>
      </c>
      <c r="K15" s="449" t="inlineStr">
        <is>
          <t>约 10 条线性场景；单角色；环境和数据稳定</t>
        </is>
      </c>
      <c r="L15" s="449" t="inlineStr">
        <is>
          <t>约 10 条场景中存在多分支、多角色、跨模块或专门数据准备</t>
        </is>
      </c>
      <c r="M15" s="449" t="inlineStr">
        <is>
          <t>单一测试范围涉及跨系统异步、复杂权限或数据矩阵，并需要合规证据</t>
        </is>
      </c>
      <c r="N15" s="449" t="inlineStr">
        <is>
          <t>场景明显超过约 10 条，且可以分成多个独立测试范围</t>
        </is>
      </c>
    </row>
    <row r="16" ht="65" customHeight="1">
      <c r="A16" s="591" t="inlineStr">
        <is>
          <t>TF-QUALITY</t>
        </is>
      </c>
      <c r="B16" s="490" t="inlineStr">
        <is>
          <t>质量验证</t>
        </is>
      </c>
      <c r="C16" s="591" t="inlineStr">
        <is>
          <t>BU-AUTOMATION-FRAMEWORK</t>
        </is>
      </c>
      <c r="D16" s="490" t="inlineStr">
        <is>
          <t>自动化测试框架</t>
        </is>
      </c>
      <c r="E16" s="598" t="inlineStr">
        <is>
          <t>一个应用或一类测试层级的自动化测试框架</t>
        </is>
      </c>
      <c r="F16" s="598" t="inlineStr">
        <is>
          <t>框架初始化、环境、测试数据准备、模拟服务、报告、CI 接入和示例流程</t>
        </is>
      </c>
      <c r="G16" s="598" t="inlineStr">
        <is>
          <t>大批量业务测试用例</t>
        </is>
      </c>
      <c r="H16" s="612" t="n">
        <v>4</v>
      </c>
      <c r="I16" s="612" t="n">
        <v>2.5</v>
      </c>
      <c r="J16" s="612" t="n">
        <v>2</v>
      </c>
      <c r="K16" s="449" t="inlineStr">
        <is>
          <t>标准技术栈；单应用；基础 CI 执行</t>
        </is>
      </c>
      <c r="L16" s="449" t="inlineStr">
        <is>
          <t>单应用包含 UI 与 API 多层、测试数据准备、报告和并行执行</t>
        </is>
      </c>
      <c r="M16" s="449" t="inlineStr">
        <is>
          <t>单应用需要多平台、服务虚拟化、大规模并行或复杂环境隔离</t>
        </is>
      </c>
      <c r="N16" s="449" t="inlineStr">
        <is>
          <t>包含多个应用，或多类彼此独立的自动化测试框架</t>
        </is>
      </c>
    </row>
    <row r="17" ht="65" customHeight="1">
      <c r="A17" s="591" t="inlineStr">
        <is>
          <t>TF-QUALITY</t>
        </is>
      </c>
      <c r="B17" s="490" t="inlineStr">
        <is>
          <t>质量验证</t>
        </is>
      </c>
      <c r="C17" s="591" t="inlineStr">
        <is>
          <t>BU-AUTOMATION-CASES</t>
        </is>
      </c>
      <c r="D17" s="490" t="inlineStr">
        <is>
          <t>自动化测试用例</t>
        </is>
      </c>
      <c r="E17" s="598" t="inlineStr">
        <is>
          <t>约 10 条紧密相关且可重复执行的自动化场景</t>
        </is>
      </c>
      <c r="F17" s="598" t="inlineStr">
        <is>
          <t>相关自动化场景、测试数据准备、检查条件、执行和结果接入</t>
        </is>
      </c>
      <c r="G17" s="598" t="inlineStr">
        <is>
          <t>自动化测试框架建设</t>
        </is>
      </c>
      <c r="H17" s="612" t="n">
        <v>2</v>
      </c>
      <c r="I17" s="612" t="n">
        <v>1.5</v>
      </c>
      <c r="J17" s="612" t="inlineStr">
        <is>
          <t>❌</t>
        </is>
      </c>
      <c r="K17" s="449" t="inlineStr">
        <is>
          <t>约 10 条稳定 API 或简单 UI 场景；固定测试数据</t>
        </is>
      </c>
      <c r="L17" s="449" t="inlineStr">
        <is>
          <t>约 10 条场景存在分支流程、动态数据、异步等待或模拟外部依赖</t>
        </is>
      </c>
      <c r="M17" s="449" t="inlineStr">
        <is>
          <t>单一场景组贯穿多个系统，存在复杂流程协同、外部依赖或非功能检查</t>
        </is>
      </c>
      <c r="N17" s="449" t="inlineStr">
        <is>
          <t>场景明显超过约 10 条，或可以分成多个独立场景组</t>
        </is>
      </c>
    </row>
    <row r="18" ht="65" customHeight="1">
      <c r="A18" s="591" t="inlineStr">
        <is>
          <t>TF-QUALITY</t>
        </is>
      </c>
      <c r="B18" s="490" t="inlineStr">
        <is>
          <t>质量验证</t>
        </is>
      </c>
      <c r="C18" s="591" t="inlineStr">
        <is>
          <t>BU-PERFORMANCE-TESTING</t>
        </is>
      </c>
      <c r="D18" s="490" t="inlineStr">
        <is>
          <t>性能与容量测试</t>
        </is>
      </c>
      <c r="E18" s="598" t="inlineStr">
        <is>
          <t>一个可独立出具结论的负载模型或测试范围</t>
        </is>
      </c>
      <c r="F18" s="598" t="inlineStr">
        <is>
          <t>负载模型、脚本、数据、执行、指标分析和报告</t>
        </is>
      </c>
      <c r="G18" s="598" t="inlineStr">
        <is>
          <t>性能问题修复和生产扩容实施</t>
        </is>
      </c>
      <c r="H18" s="612" t="n">
        <v>2.5</v>
      </c>
      <c r="I18" s="612" t="n">
        <v>1.5</v>
      </c>
      <c r="J18" s="612" t="inlineStr">
        <is>
          <t>❌</t>
        </is>
      </c>
      <c r="K18" s="449" t="inlineStr">
        <is>
          <t>单接口或界面；单一负载模型；标准阈值</t>
        </is>
      </c>
      <c r="L18" s="449" t="inlineStr">
        <is>
          <t>一个负载模型包含多场景、多指标、代表性数据和调优复测</t>
        </is>
      </c>
      <c r="M18" s="449" t="inlineStr">
        <is>
          <t>单一测试范围涉及分布式链路、峰值和长稳模型、容量评估或生产级数据规模</t>
        </is>
      </c>
      <c r="N18" s="449" t="inlineStr">
        <is>
          <t>包含多个独立负载模型，或需要长期专项调优</t>
        </is>
      </c>
    </row>
    <row r="19" ht="65" customHeight="1">
      <c r="A19" s="591" t="inlineStr">
        <is>
          <t>TF-QUALITY</t>
        </is>
      </c>
      <c r="B19" s="490" t="inlineStr">
        <is>
          <t>质量验证</t>
        </is>
      </c>
      <c r="C19" s="591" t="inlineStr">
        <is>
          <t>BU-SECURITY-PRIVACY-TESTING</t>
        </is>
      </c>
      <c r="D19" s="490" t="inlineStr">
        <is>
          <t>安全与隐私测试</t>
        </is>
      </c>
      <c r="E19" s="598" t="inlineStr">
        <is>
          <t>一个应用或一条数据流的专项测试范围</t>
        </is>
      </c>
      <c r="F19" s="598" t="inlineStr">
        <is>
          <t>测试范围、测试用例或工具配置、执行、证据和报告</t>
        </is>
      </c>
      <c r="G19" s="598" t="inlineStr">
        <is>
          <t>安全问题整改</t>
        </is>
      </c>
      <c r="H19" s="612" t="n">
        <v>3</v>
      </c>
      <c r="I19" s="612" t="n">
        <v>2</v>
      </c>
      <c r="J19" s="612" t="inlineStr">
        <is>
          <t>❌</t>
        </is>
      </c>
      <c r="K19" s="449" t="inlineStr">
        <is>
          <t>标准扫描；单应用；常见配置检查</t>
        </is>
      </c>
      <c r="L19" s="449" t="inlineStr">
        <is>
          <t>认证授权、API 和数据流专项验证；部分人工检查</t>
        </is>
      </c>
      <c r="M19" s="449" t="inlineStr">
        <is>
          <t>高敏感数据；威胁建模；较深人工验证；需要较强合规证据</t>
        </is>
      </c>
      <c r="N19" s="449" t="inlineStr">
        <is>
          <t>需要由独立专业团队开展正式渗透测试或认证，或包含多个独立测试范围</t>
        </is>
      </c>
    </row>
    <row r="20" ht="65" customHeight="1">
      <c r="A20" s="591" t="inlineStr">
        <is>
          <t>TF-QUALITY</t>
        </is>
      </c>
      <c r="B20" s="490" t="inlineStr">
        <is>
          <t>质量验证</t>
        </is>
      </c>
      <c r="C20" s="591" t="inlineStr">
        <is>
          <t>BU-COMPATIBILITY-ACCESSIBILITY-TESTING</t>
        </is>
      </c>
      <c r="D20" s="490" t="inlineStr">
        <is>
          <t>兼容性与无障碍测试</t>
        </is>
      </c>
      <c r="E20" s="598" t="inlineStr">
        <is>
          <t>一个明确的兼容矩阵或无障碍检查范围</t>
        </is>
      </c>
      <c r="F20" s="598" t="inlineStr">
        <is>
          <t>兼容范围或无障碍标准、场景、执行、问题和证据</t>
        </is>
      </c>
      <c r="G20" s="598" t="inlineStr">
        <is>
          <t>产品问题修复</t>
        </is>
      </c>
      <c r="H20" s="612" t="n">
        <v>2</v>
      </c>
      <c r="I20" s="612" t="n">
        <v>1.5</v>
      </c>
      <c r="J20" s="612" t="inlineStr">
        <is>
          <t>❌</t>
        </is>
      </c>
      <c r="K20" s="449" t="inlineStr">
        <is>
          <t>单浏览器或设备；标准检查</t>
        </is>
      </c>
      <c r="L20" s="449" t="inlineStr">
        <is>
          <t>一个明确矩阵内的多浏览器或设备、响应式、键盘和读屏验证</t>
        </is>
      </c>
      <c r="M20" s="449" t="inlineStr">
        <is>
          <t>单一产品范围涉及较大兼容矩阵、遗留环境或较深入的无障碍检查</t>
        </is>
      </c>
      <c r="N20" s="449" t="inlineStr">
        <is>
          <t>包含多个独立产品或平台矩阵，或需要正式无障碍审计</t>
        </is>
      </c>
    </row>
    <row r="21" ht="65" customHeight="1">
      <c r="A21" s="591" t="inlineStr">
        <is>
          <t>TF-SHARED-TECH</t>
        </is>
      </c>
      <c r="B21" s="490" t="inlineStr">
        <is>
          <t>共性技术能力</t>
        </is>
      </c>
      <c r="C21" s="591" t="inlineStr">
        <is>
          <t>BU-I18N</t>
        </is>
      </c>
      <c r="D21" s="490" t="inlineStr">
        <is>
          <t>国际化支持</t>
        </is>
      </c>
      <c r="E21" s="598" t="inlineStr">
        <is>
          <t>一个应用或一个可独立发布的模块</t>
        </is>
      </c>
      <c r="F21" s="598" t="inlineStr">
        <is>
          <t>资源组织、语言切换、格式化、回退、伪本地化和基本验证</t>
        </is>
      </c>
      <c r="G21" s="598" t="inlineStr">
        <is>
          <t>业务内容翻译</t>
        </is>
      </c>
      <c r="H21" s="612" t="n">
        <v>3</v>
      </c>
      <c r="I21" s="612" t="n">
        <v>1.5</v>
      </c>
      <c r="J21" s="612" t="n">
        <v>1</v>
      </c>
      <c r="K21" s="449" t="inlineStr">
        <is>
          <t>资源提取；单一新增语言；标准格式</t>
        </is>
      </c>
      <c r="L21" s="449" t="inlineStr">
        <is>
          <t>一个应用或模块涉及复数、日期、货币和本地内容差异</t>
        </is>
      </c>
      <c r="M21" s="449" t="inlineStr">
        <is>
          <t>单一应用或模块涉及多语言工作流、从右向左书写、大量硬编码改造或动态内容</t>
        </is>
      </c>
      <c r="N21" s="449" t="inlineStr">
        <is>
          <t>包含多个可独立发布的应用或模块</t>
        </is>
      </c>
    </row>
    <row r="22" ht="65" customHeight="1">
      <c r="A22" s="591" t="inlineStr">
        <is>
          <t>TF-SHARED-TECH</t>
        </is>
      </c>
      <c r="B22" s="490" t="inlineStr">
        <is>
          <t>共性技术能力</t>
        </is>
      </c>
      <c r="C22" s="591" t="inlineStr">
        <is>
          <t>BU-IDENTITY-ACCESS</t>
        </is>
      </c>
      <c r="D22" s="490" t="inlineStr">
        <is>
          <t>身份与权限管理</t>
        </is>
      </c>
      <c r="E22" s="598" t="inlineStr">
        <is>
          <t>一个资源范围内的一组角色、权限和策略</t>
        </is>
      </c>
      <c r="F22" s="598" t="inlineStr">
        <is>
          <t>角色、策略、授权规则、配置、审计挂接和权限验证</t>
        </is>
      </c>
      <c r="G22" s="598" t="inlineStr">
        <is>
          <t>独立身份系统对接</t>
        </is>
      </c>
      <c r="H22" s="612" t="n">
        <v>3</v>
      </c>
      <c r="I22" s="612" t="n">
        <v>2</v>
      </c>
      <c r="J22" s="612" t="n">
        <v>1.5</v>
      </c>
      <c r="K22" s="449" t="inlineStr">
        <is>
          <t>少量角色；标准 RBAC；单应用</t>
        </is>
      </c>
      <c r="L22" s="449" t="inlineStr">
        <is>
          <t>单一资源范围存在多角色、多资源或租户，并接入统一身份平台</t>
        </is>
      </c>
      <c r="M22" s="449" t="inlineStr">
        <is>
          <t>单一资源范围涉及 ABAC、委托授权、职责分离或跨系统权限一致性</t>
        </is>
      </c>
      <c r="N22" s="449" t="inlineStr">
        <is>
          <t>包含多个独立资源域，或需要改造统一身份平台本身</t>
        </is>
      </c>
    </row>
    <row r="23" ht="65" customHeight="1">
      <c r="A23" s="591" t="inlineStr">
        <is>
          <t>TF-SHARED-TECH</t>
        </is>
      </c>
      <c r="B23" s="490" t="inlineStr">
        <is>
          <t>共性技术能力</t>
        </is>
      </c>
      <c r="C23" s="591" t="inlineStr">
        <is>
          <t>BU-SECURITY-PRIVACY</t>
        </is>
      </c>
      <c r="D23" s="490" t="inlineStr">
        <is>
          <t>安全与隐私保护</t>
        </is>
      </c>
      <c r="E23" s="598" t="inlineStr">
        <is>
          <t>一条数据流或一个明确的数据处理范围</t>
        </is>
      </c>
      <c r="F23" s="598" t="inlineStr">
        <is>
          <t>加密、脱敏、同意、留存或访问控制的实现、配置和基本验证</t>
        </is>
      </c>
      <c r="G23" s="598" t="inlineStr">
        <is>
          <t>另行开展的安全与隐私测试或认证</t>
        </is>
      </c>
      <c r="H23" s="612" t="n">
        <v>3</v>
      </c>
      <c r="I23" s="612" t="n">
        <v>2</v>
      </c>
      <c r="J23" s="612" t="n">
        <v>1.5</v>
      </c>
      <c r="K23" s="449" t="inlineStr">
        <is>
          <t>单一数据流；标准加密、脱敏或访问控制</t>
        </is>
      </c>
      <c r="L23" s="449" t="inlineStr">
        <is>
          <t>单一处理范围存在多跳数据流、数据分级、同意和审计要求</t>
        </is>
      </c>
      <c r="M23" s="449" t="inlineStr">
        <is>
          <t>单一处理范围涉及高敏感数据、跨境、复杂密钥管理或强监管要求</t>
        </is>
      </c>
      <c r="N23" s="449" t="inlineStr">
        <is>
          <t>包含多条独立数据流，或需要建设平台级安全能力</t>
        </is>
      </c>
    </row>
    <row r="24" ht="65" customHeight="1">
      <c r="A24" s="591" t="inlineStr">
        <is>
          <t>TF-SHARED-TECH</t>
        </is>
      </c>
      <c r="B24" s="490" t="inlineStr">
        <is>
          <t>共性技术能力</t>
        </is>
      </c>
      <c r="C24" s="591" t="inlineStr">
        <is>
          <t>BU-OBSERVABILITY-AUDIT</t>
        </is>
      </c>
      <c r="D24" s="490" t="inlineStr">
        <is>
          <t>监控、追踪与审计</t>
        </is>
      </c>
      <c r="E24" s="598" t="inlineStr">
        <is>
          <t>一个服务或一条可独立观测的调用链</t>
        </is>
      </c>
      <c r="F24" s="598" t="inlineStr">
        <is>
          <t>日志、指标、追踪、审计事件、关联标识、基础看板、告警和验证</t>
        </is>
      </c>
      <c r="G24" s="598" t="inlineStr">
        <is>
          <t>监控平台建设</t>
        </is>
      </c>
      <c r="H24" s="612" t="n">
        <v>2</v>
      </c>
      <c r="I24" s="612" t="n">
        <v>1.5</v>
      </c>
      <c r="J24" s="612" t="n">
        <v>1</v>
      </c>
      <c r="K24" s="449" t="inlineStr">
        <is>
          <t>标准日志、指标和健康检查</t>
        </is>
      </c>
      <c r="L24" s="449" t="inlineStr">
        <is>
          <t>单一服务或调用链需要分布式追踪、告警、SLO 和审计关联</t>
        </is>
      </c>
      <c r="M24" s="449" t="inlineStr">
        <is>
          <t>单一服务或调用链涉及跨系统关联、高基数、长期留存或合规级防篡改</t>
        </is>
      </c>
      <c r="N24" s="449" t="inlineStr">
        <is>
          <t>包含多个可独立观测的服务或调用链，或需要建设监控平台</t>
        </is>
      </c>
    </row>
    <row r="25" ht="65" customHeight="1">
      <c r="A25" s="591" t="inlineStr">
        <is>
          <t>TF-SHARED-TECH</t>
        </is>
      </c>
      <c r="B25" s="490" t="inlineStr">
        <is>
          <t>共性技术能力</t>
        </is>
      </c>
      <c r="C25" s="591" t="inlineStr">
        <is>
          <t>BU-PERFORMANCE-RELIABILITY</t>
        </is>
      </c>
      <c r="D25" s="490" t="inlineStr">
        <is>
          <t>性能与稳定性保障</t>
        </is>
      </c>
      <c r="E25" s="598" t="inlineStr">
        <is>
          <t>一个组件或一条调用链上的一组保障措施</t>
        </is>
      </c>
      <c r="F25" s="598" t="inlineStr">
        <is>
          <t>缓存、超时、重试、熔断、限流、降级和基本验证</t>
        </is>
      </c>
      <c r="G25" s="598" t="inlineStr">
        <is>
          <t>另行开展的性能与容量测试</t>
        </is>
      </c>
      <c r="H25" s="612" t="n">
        <v>2.5</v>
      </c>
      <c r="I25" s="612" t="n">
        <v>1.5</v>
      </c>
      <c r="J25" s="612" t="n">
        <v>1.5</v>
      </c>
      <c r="K25" s="449" t="inlineStr">
        <is>
          <t>单组件缓存、超时或重试</t>
        </is>
      </c>
      <c r="L25" s="449" t="inlineStr">
        <is>
          <t>单一调用链需要限流、熔断、降级和多个依赖协同</t>
        </is>
      </c>
      <c r="M25" s="449" t="inlineStr">
        <is>
          <t>单一调用链需要复杂限流降级、严格 SLA 或复杂故障恢复</t>
        </is>
      </c>
      <c r="N25" s="449" t="inlineStr">
        <is>
          <t>涉及多级容灾、跨地域，或包含多个可独立治理的调用链</t>
        </is>
      </c>
    </row>
    <row r="26" ht="65" customHeight="1">
      <c r="A26" s="591" t="inlineStr">
        <is>
          <t>TF-SHARED-TECH</t>
        </is>
      </c>
      <c r="B26" s="490" t="inlineStr">
        <is>
          <t>共性技术能力</t>
        </is>
      </c>
      <c r="C26" s="591" t="inlineStr">
        <is>
          <t>BU-SHARED-TECH-COMPONENT</t>
        </is>
      </c>
      <c r="D26" s="490" t="inlineStr">
        <is>
          <t>公共技术组件</t>
        </is>
      </c>
      <c r="E26" s="598" t="inlineStr">
        <is>
          <t>一个可独立发布、版本管理和复用的技术组件</t>
        </is>
      </c>
      <c r="F26" s="598" t="inlineStr">
        <is>
          <t>新建或调整时包括稳定接口、可复用实现或配置、版本、说明和单元验证；接入复用时包括当前项目的依赖引入、注册、配置、适配和验证</t>
        </is>
      </c>
      <c r="G26" s="598" t="inlineStr">
        <is>
          <t>具体业务功能和通用界面组件</t>
        </is>
      </c>
      <c r="H26" s="612" t="n">
        <v>2.5</v>
      </c>
      <c r="I26" s="612" t="n">
        <v>1.5</v>
      </c>
      <c r="J26" s="612" t="n">
        <v>1</v>
      </c>
      <c r="K26" s="449" t="inlineStr">
        <is>
          <t>单应用内复用；接口简单</t>
        </is>
      </c>
      <c r="L26" s="449" t="inlineStr">
        <is>
          <t>一个组件需要多模块复用、配置、说明和兼容处理</t>
        </is>
      </c>
      <c r="M26" s="449" t="inlineStr">
        <is>
          <t>单一组件涉及跨应用版本治理、扩展机制或严格向后兼容</t>
        </is>
      </c>
      <c r="N26" s="449" t="inlineStr">
        <is>
          <t>包含多个可独立发布的组件，或需要建设平台级组件体系</t>
        </is>
      </c>
    </row>
    <row r="27" ht="65" customHeight="1">
      <c r="A27" s="591" t="inlineStr">
        <is>
          <t>TF-SHARED-TECH</t>
        </is>
      </c>
      <c r="B27" s="490" t="inlineStr">
        <is>
          <t>共性技术能力</t>
        </is>
      </c>
      <c r="C27" s="591" t="inlineStr">
        <is>
          <t>BU-CONFIG-FEATURE-FLAG</t>
        </is>
      </c>
      <c r="D27" s="490" t="inlineStr">
        <is>
          <t>配置与功能开关</t>
        </is>
      </c>
      <c r="E27" s="598" t="inlineStr">
        <is>
          <t>一个应用中的一组紧密相关配置或开关</t>
        </is>
      </c>
      <c r="F27" s="598" t="inlineStr">
        <is>
          <t>配置结构、默认值、环境覆盖、开关生命周期、权限审计、回退和验证</t>
        </is>
      </c>
      <c r="G27" s="598" t="inlineStr">
        <is>
          <t>开关控制的业务功能</t>
        </is>
      </c>
      <c r="H27" s="612" t="n">
        <v>2</v>
      </c>
      <c r="I27" s="612" t="n">
        <v>1.5</v>
      </c>
      <c r="J27" s="612" t="n">
        <v>1</v>
      </c>
      <c r="K27" s="449" t="inlineStr">
        <is>
          <t>静态配置或单一开关</t>
        </is>
      </c>
      <c r="L27" s="449" t="inlineStr">
        <is>
          <t>一个应用内按环境、租户或角色控制，并需要审计</t>
        </is>
      </c>
      <c r="M27" s="449" t="inlineStr">
        <is>
          <t>单一配置范围涉及灰度发布、开关依赖、紧急止损或跨地域一致性</t>
        </is>
      </c>
      <c r="N27" s="449" t="inlineStr">
        <is>
          <t>包含多组独立配置或开关体系，或需要建设配置平台本身</t>
        </is>
      </c>
    </row>
    <row r="28" ht="65" customHeight="1">
      <c r="A28" s="591" t="inlineStr">
        <is>
          <t>TF-ENGINEERING-PLATFORM</t>
        </is>
      </c>
      <c r="B28" s="490" t="inlineStr">
        <is>
          <t>工程平台</t>
        </is>
      </c>
      <c r="C28" s="591" t="inlineStr">
        <is>
          <t>BU-APP-BOOTSTRAP</t>
        </is>
      </c>
      <c r="D28" s="490" t="inlineStr">
        <is>
          <t>应用工程初始化</t>
        </is>
      </c>
      <c r="E28" s="598" t="inlineStr">
        <is>
          <t>一个仓库、应用或可独立构建的模块</t>
        </is>
      </c>
      <c r="F28" s="598" t="inlineStr">
        <is>
          <t>新建或调整时包括仓库或模块结构、依赖管理、构建约定、基础配置和测试入口；接入复用时只包括采用现有工程模板或开发平台所需的项目配置和验证</t>
        </is>
      </c>
      <c r="G28" s="598" t="inlineStr">
        <is>
          <t>业务功能</t>
        </is>
      </c>
      <c r="H28" s="612" t="n">
        <v>2.5</v>
      </c>
      <c r="I28" s="612" t="n">
        <v>1.5</v>
      </c>
      <c r="J28" s="612" t="n">
        <v>1</v>
      </c>
      <c r="K28" s="449" t="inlineStr">
        <is>
          <t>标准工程模板；单模块；默认约定</t>
        </is>
      </c>
      <c r="L28" s="449" t="inlineStr">
        <is>
          <t>一个仓库或应用包含多模块、自定义工程规范和多环境配置</t>
        </is>
      </c>
      <c r="M28" s="449" t="inlineStr">
        <is>
          <t>单一应用需要统一接入安全、监控和治理机制，并有较多工程定制</t>
        </is>
      </c>
      <c r="N28" s="449" t="inlineStr">
        <is>
          <t>包含多个独立仓库或应用，或需要建设组织级工程模板平台</t>
        </is>
      </c>
    </row>
    <row r="29" ht="65" customHeight="1">
      <c r="A29" s="591" t="inlineStr">
        <is>
          <t>TF-ENGINEERING-PLATFORM</t>
        </is>
      </c>
      <c r="B29" s="490" t="inlineStr">
        <is>
          <t>工程平台</t>
        </is>
      </c>
      <c r="C29" s="591" t="inlineStr">
        <is>
          <t>BU-BUILD-DEPLOY-PIPELINE</t>
        </is>
      </c>
      <c r="D29" s="490" t="inlineStr">
        <is>
          <t>构建与部署流水线</t>
        </is>
      </c>
      <c r="E29" s="598" t="inlineStr">
        <is>
          <t>一条可独立构建、部署和回滚的流水线</t>
        </is>
      </c>
      <c r="F29" s="598" t="inlineStr">
        <is>
          <t>构建、测试、制品、部署、审批、密钥、回滚步骤和基本验证</t>
        </is>
      </c>
      <c r="G29" s="598" t="inlineStr">
        <is>
          <t>基础设施资源创建</t>
        </is>
      </c>
      <c r="H29" s="612" t="n">
        <v>2.5</v>
      </c>
      <c r="I29" s="612" t="n">
        <v>1.5</v>
      </c>
      <c r="J29" s="612" t="n">
        <v>1</v>
      </c>
      <c r="K29" s="449" t="inlineStr">
        <is>
          <t>单应用；标准构建、测试和部署</t>
        </is>
      </c>
      <c r="L29" s="449" t="inlineStr">
        <is>
          <t>单应用涉及多环境、审批、制品和密钥管理</t>
        </is>
      </c>
      <c r="M29" s="449" t="inlineStr">
        <is>
          <t>单应用需要蓝绿或金丝雀发布、自动回滚或合规检查</t>
        </is>
      </c>
      <c r="N29" s="449" t="inlineStr">
        <is>
          <t>包含多条独立流水线、多应用或多地域整体改造</t>
        </is>
      </c>
    </row>
    <row r="30" ht="65" customHeight="1">
      <c r="A30" s="591" t="inlineStr">
        <is>
          <t>TF-ENGINEERING-PLATFORM</t>
        </is>
      </c>
      <c r="B30" s="490" t="inlineStr">
        <is>
          <t>工程平台</t>
        </is>
      </c>
      <c r="C30" s="591" t="inlineStr">
        <is>
          <t>BU-RUNTIME-ENV</t>
        </is>
      </c>
      <c r="D30" s="490" t="inlineStr">
        <is>
          <t>运行环境</t>
        </is>
      </c>
      <c r="E30" s="598" t="inlineStr">
        <is>
          <t>一个项目环境，例如开发、测试或生产环境</t>
        </is>
      </c>
      <c r="F30" s="598" t="inlineStr">
        <is>
          <t>运行时、中间件依赖、访问、配置、数据初始化和健康检查</t>
        </is>
      </c>
      <c r="G30" s="598" t="inlineStr">
        <is>
          <t>应用功能和独立基础设施资源</t>
        </is>
      </c>
      <c r="H30" s="612" t="n">
        <v>2</v>
      </c>
      <c r="I30" s="612" t="n">
        <v>1.5</v>
      </c>
      <c r="J30" s="612" t="n">
        <v>1</v>
      </c>
      <c r="K30" s="449" t="inlineStr">
        <is>
          <t>一个开发或测试环境；标准运行时</t>
        </is>
      </c>
      <c r="L30" s="449" t="inlineStr">
        <is>
          <t>单一环境包含多服务、共享依赖、数据初始化和权限配置</t>
        </is>
      </c>
      <c r="M30" s="449" t="inlineStr">
        <is>
          <t>单一生产环境涉及复杂网络、安全和外部依赖</t>
        </is>
      </c>
      <c r="N30" s="449" t="inlineStr">
        <is>
          <t>包含多个独立环境，或生产级高可用需要拆为基础设施任务</t>
        </is>
      </c>
    </row>
    <row r="31" ht="65" customHeight="1">
      <c r="A31" s="591" t="inlineStr">
        <is>
          <t>TF-ENGINEERING-PLATFORM</t>
        </is>
      </c>
      <c r="B31" s="490" t="inlineStr">
        <is>
          <t>工程平台</t>
        </is>
      </c>
      <c r="C31" s="591" t="inlineStr">
        <is>
          <t>BU-INFRA-RESOURCE</t>
        </is>
      </c>
      <c r="D31" s="490" t="inlineStr">
        <is>
          <t>基础设施资源</t>
        </is>
      </c>
      <c r="E31" s="598" t="inlineStr">
        <is>
          <t>一个标准资源，或一组必须共同交付的关联资源</t>
        </is>
      </c>
      <c r="F31" s="598" t="inlineStr">
        <is>
          <t>IaC、计算、存储、网络、安全、备份、监控和基础验证</t>
        </is>
      </c>
      <c r="G31" s="598" t="inlineStr">
        <is>
          <t>应用部署和业务配置</t>
        </is>
      </c>
      <c r="H31" s="612" t="n">
        <v>3</v>
      </c>
      <c r="I31" s="612" t="n">
        <v>2</v>
      </c>
      <c r="J31" s="612" t="n">
        <v>1.5</v>
      </c>
      <c r="K31" s="449" t="inlineStr">
        <is>
          <t>一个标准托管资源；单环境</t>
        </is>
      </c>
      <c r="L31" s="449" t="inlineStr">
        <is>
          <t>一组必须共同交付的关联资源，包含 IaC、网络、备份和监控</t>
        </is>
      </c>
      <c r="M31" s="449" t="inlineStr">
        <is>
          <t>单地域高可用、私网互联，或有严格安全和合规要求</t>
        </is>
      </c>
      <c r="N31" s="449" t="inlineStr">
        <is>
          <t>包含多地域、容灾方案，或多个可独立交付的资源组</t>
        </is>
      </c>
    </row>
    <row r="32" ht="65" customHeight="1">
      <c r="A32" s="591" t="inlineStr">
        <is>
          <t>TF-ENGINEERING-PLATFORM</t>
        </is>
      </c>
      <c r="B32" s="490" t="inlineStr">
        <is>
          <t>工程平台</t>
        </is>
      </c>
      <c r="C32" s="591" t="inlineStr">
        <is>
          <t>BU-DEV-TOOLS-STANDARDS</t>
        </is>
      </c>
      <c r="D32" s="490" t="inlineStr">
        <is>
          <t>开发工具与工程规范</t>
        </is>
      </c>
      <c r="E32" s="598" t="inlineStr">
        <is>
          <t>一个代码库，或一个采用同一技术栈的工程范围</t>
        </is>
      </c>
      <c r="F32" s="598" t="inlineStr">
        <is>
          <t>格式、Lint、静态分析、提交检查、质量门禁、配置和使用说明</t>
        </is>
      </c>
      <c r="G32" s="598" t="inlineStr">
        <is>
          <t>业务测试用例</t>
        </is>
      </c>
      <c r="H32" s="612" t="n">
        <v>1.5</v>
      </c>
      <c r="I32" s="612" t="n">
        <v>1</v>
      </c>
      <c r="J32" s="612" t="n">
        <v>0.5</v>
      </c>
      <c r="K32" s="449" t="inlineStr">
        <is>
          <t>单技术栈的格式、Lint 和基础规则</t>
        </is>
      </c>
      <c r="L32" s="449" t="inlineStr">
        <is>
          <t>一个代码库需要提交检查、静态分析和质量门禁</t>
        </is>
      </c>
      <c r="M32" s="449" t="inlineStr">
        <is>
          <t>单一代码库涉及多语言、自定义工具或较强治理要求</t>
        </is>
      </c>
      <c r="N32" s="449" t="inlineStr">
        <is>
          <t>包含多个代码库、互不相关的技术栈，或需要建设企业级规则平台</t>
        </is>
      </c>
    </row>
    <row r="33" ht="65" customHeight="1">
      <c r="A33" s="591" t="inlineStr">
        <is>
          <t>TF-DATA-MIGRATION</t>
        </is>
      </c>
      <c r="B33" s="490" t="inlineStr">
        <is>
          <t>数据迁移</t>
        </is>
      </c>
      <c r="C33" s="591" t="inlineStr">
        <is>
          <t>BU-DATA-MIGRATION</t>
        </is>
      </c>
      <c r="D33" s="490" t="inlineStr">
        <is>
          <t>数据迁移</t>
        </is>
      </c>
      <c r="E33" s="598" t="inlineStr">
        <is>
          <t>一个源对象到一个目标对象的迁移</t>
        </is>
      </c>
      <c r="F33" s="598" t="inlineStr">
        <is>
          <t>源目标映射、转换、迁移执行、校验对账、异常处理和必要演练</t>
        </is>
      </c>
      <c r="G33" s="598" t="inlineStr">
        <is>
          <t>发布与切换、运行环境建设和持续同步平台建设</t>
        </is>
      </c>
      <c r="H33" s="612" t="n">
        <v>2</v>
      </c>
      <c r="I33" s="612" t="n">
        <v>1.5</v>
      </c>
      <c r="J33" s="612" t="inlineStr">
        <is>
          <t>❌</t>
        </is>
      </c>
      <c r="K33" s="449" t="inlineStr">
        <is>
          <t>单一源目标对象；一对一映射；数据干净；小规模；允许停机</t>
        </is>
      </c>
      <c r="L33" s="449" t="inlineStr">
        <is>
          <t>单一源目标对象需要转换清洗、中等规模、多次演练和核对</t>
        </is>
      </c>
      <c r="M33" s="449" t="inlineStr">
        <is>
          <t>单一源目标对象数据质量差、规模较大，并需要复杂回滚和对账</t>
        </is>
      </c>
      <c r="N33" s="449" t="inlineStr">
        <is>
          <t>包含多个源目标对象、持续同步，或大规模低停机迁移</t>
        </is>
      </c>
    </row>
    <row r="34" ht="65" customHeight="1">
      <c r="A34" s="591" t="inlineStr">
        <is>
          <t>TF-RELEASE-CUTOVER</t>
        </is>
      </c>
      <c r="B34" s="490" t="inlineStr">
        <is>
          <t>发布与切换</t>
        </is>
      </c>
      <c r="C34" s="591" t="inlineStr">
        <is>
          <t>BU-RELEASE-CUTOVER</t>
        </is>
      </c>
      <c r="D34" s="490" t="inlineStr">
        <is>
          <t>发布切换</t>
        </is>
      </c>
      <c r="E34" s="598" t="inlineStr">
        <is>
          <t>一次具有统一窗口、统一责任范围和回滚方案的生产发布切换</t>
        </is>
      </c>
      <c r="F34" s="598" t="inlineStr">
        <is>
          <t>版本范围、前置条件、上线计划、窗口、执行顺序、依赖协调、RACI、Go/No-Go、演练、实际部署与切换、流量及数据检查、回滚条件与执行、上线确认和切换记录</t>
        </is>
      </c>
      <c r="G34" s="598" t="inlineStr">
        <is>
          <t>替代功能实现、任何数据迁移执行或迁移核对、运行环境或流水线建设、上线后支持</t>
        </is>
      </c>
      <c r="H34" s="612" t="n">
        <v>2.5</v>
      </c>
      <c r="I34" s="612" t="n">
        <v>1.5</v>
      </c>
      <c r="J34" s="612" t="inlineStr">
        <is>
          <t>❌</t>
        </is>
      </c>
      <c r="K34" s="449" t="inlineStr">
        <is>
          <t>单组件；允许停机；使用标准检查表</t>
        </is>
      </c>
      <c r="L34" s="449" t="inlineStr">
        <is>
          <t>一次切换涉及多个紧密关联组件、演练和明确回滚方案</t>
        </is>
      </c>
      <c r="M34" s="449" t="inlineStr">
        <is>
          <t>单一切换范围涉及多组件协同、低停机或较强业务连续性要求</t>
        </is>
      </c>
      <c r="N34" s="449" t="inlineStr">
        <is>
          <t>包含多个可独立切换的系统，或需要持续同步和完整业务连续性方案</t>
        </is>
      </c>
    </row>
    <row r="35" ht="65" customHeight="1">
      <c r="A35" s="591" t="inlineStr">
        <is>
          <t>TF-RELEASE-CUTOVER</t>
        </is>
      </c>
      <c r="B35" s="490" t="inlineStr">
        <is>
          <t>发布与切换</t>
        </is>
      </c>
      <c r="C35" s="591" t="inlineStr">
        <is>
          <t>BU-SYSTEM-RETIREMENT</t>
        </is>
      </c>
      <c r="D35" s="490" t="inlineStr">
        <is>
          <t>系统功能下线</t>
        </is>
      </c>
      <c r="E35" s="598" t="inlineStr">
        <is>
          <t>一个系统、服务、模块或可独立关闭的功能</t>
        </is>
      </c>
      <c r="F35" s="598" t="inlineStr">
        <is>
          <t>依赖盘点、停流、停作业、数据归档留存、权限配置清理、资源处置和可恢复性验证</t>
        </is>
      </c>
      <c r="G35" s="598" t="inlineStr">
        <is>
          <t>替代功能实现</t>
        </is>
      </c>
      <c r="H35" s="612" t="n">
        <v>1.5</v>
      </c>
      <c r="I35" s="612" t="inlineStr">
        <is>
          <t>❌</t>
        </is>
      </c>
      <c r="J35" s="612" t="inlineStr">
        <is>
          <t>❌</t>
        </is>
      </c>
      <c r="K35" s="449" t="inlineStr">
        <is>
          <t>单一独立系统、服务、模块或功能；无重要数据和使用方</t>
        </is>
      </c>
      <c r="L35" s="449" t="inlineStr">
        <is>
          <t>单一下线对象有多个使用方，需要数据归档、权限和配置清理</t>
        </is>
      </c>
      <c r="M35" s="449" t="inlineStr">
        <is>
          <t>单一下线对象存在共享能力、监管留存或多系统依赖，并需要可恢复下线</t>
        </is>
      </c>
      <c r="N35" s="449" t="inlineStr">
        <is>
          <t>包含多个可独立下线对象，或监管留存、跨系统依赖需要另拆任务</t>
        </is>
      </c>
    </row>
    <row r="36" ht="65" customHeight="1">
      <c r="A36" s="591" t="inlineStr">
        <is>
          <t>TF-PROBLEM-HANDLING</t>
        </is>
      </c>
      <c r="B36" s="490" t="inlineStr">
        <is>
          <t>问题处理</t>
        </is>
      </c>
      <c r="C36" s="591" t="inlineStr">
        <is>
          <t>BU-ROOT-CAUSE-REMEDIATION</t>
        </is>
      </c>
      <c r="D36" s="490" t="inlineStr">
        <is>
          <t>同一根因问题整改</t>
        </is>
      </c>
      <c r="E36" s="598" t="inlineStr">
        <is>
          <t>一个已确认根因及其边界明确的受影响范围</t>
        </is>
      </c>
      <c r="F36" s="598" t="inlineStr">
        <is>
          <t>对已确认同一根因的代码、配置或数据进行统一修复和针对性回归</t>
        </is>
      </c>
      <c r="G36" s="598" t="inlineStr">
        <is>
          <t>根因调查</t>
        </is>
      </c>
      <c r="H36" s="612" t="n">
        <v>1.5</v>
      </c>
      <c r="I36" s="612" t="inlineStr">
        <is>
          <t>❌</t>
        </is>
      </c>
      <c r="J36" s="612" t="inlineStr">
        <is>
          <t>❌</t>
        </is>
      </c>
      <c r="K36" s="449" t="inlineStr">
        <is>
          <t>根因明确；单模块；局部修复和回归</t>
        </is>
      </c>
      <c r="L36" s="449" t="inlineStr">
        <is>
          <t>同一根因影响多个紧密相关模块，并涉及配置、数据修复或较大回归</t>
        </is>
      </c>
      <c r="M36" s="449" t="inlineStr">
        <is>
          <t>同一根因跨多个模块，需要较复杂数据修复，或有较大安全影响</t>
        </is>
      </c>
      <c r="N36" s="449" t="inlineStr">
        <is>
          <t>根因尚未明确，或涉及多个独立根因、架构改造、大规模数据修复或独立安全专项</t>
        </is>
      </c>
    </row>
    <row r="37" ht="65" customHeight="1">
      <c r="A37" s="591" t="inlineStr">
        <is>
          <t>TF-ARCHITECTURE</t>
        </is>
      </c>
      <c r="B37" s="490" t="inlineStr">
        <is>
          <t>架构设计</t>
        </is>
      </c>
      <c r="C37" s="591" t="inlineStr">
        <is>
          <t>BU-ARCHITECTURE-DESIGN</t>
        </is>
      </c>
      <c r="D37" s="490" t="inlineStr">
        <is>
          <t>架构方案设计</t>
        </is>
      </c>
      <c r="E37" s="598" t="inlineStr">
        <is>
          <t>一个需要独立决策和评审的架构问题</t>
        </is>
      </c>
      <c r="F37" s="598" t="inlineStr">
        <is>
          <t>背景、候选方案、权衡、决策、影响、约束和评审记录</t>
        </is>
      </c>
      <c r="G37" s="598" t="inlineStr">
        <is>
          <t>具体实现</t>
        </is>
      </c>
      <c r="H37" s="612" t="n">
        <v>2</v>
      </c>
      <c r="I37" s="612" t="n">
        <v>1.5</v>
      </c>
      <c r="J37" s="612" t="inlineStr">
        <is>
          <t>❌</t>
        </is>
      </c>
      <c r="K37" s="449" t="inlineStr">
        <is>
          <t>单组件局部决策；1～2 个明确选项</t>
        </is>
      </c>
      <c r="L37" s="449" t="inlineStr">
        <is>
          <t>一个跨组件问题存在多个方案，并涉及性能、安全等权衡</t>
        </is>
      </c>
      <c r="M37" s="449" t="inlineStr">
        <is>
          <t>一个系统级决策需要多个团队参与，并涉及迁移路径和强约束</t>
        </is>
      </c>
      <c r="N37" s="449" t="inlineStr">
        <is>
          <t>包含多个可独立决策的问题，或完整系统战略和迁移路线需要分开设计</t>
        </is>
      </c>
    </row>
    <row r="38" ht="65" customHeight="1">
      <c r="A38" s="591" t="inlineStr">
        <is>
          <t>TF-ANALYSIS-RESEARCH</t>
        </is>
      </c>
      <c r="B38" s="490" t="inlineStr">
        <is>
          <t>分析与调研</t>
        </is>
      </c>
      <c r="C38" s="591" t="inlineStr">
        <is>
          <t>BU-RESEARCH</t>
        </is>
      </c>
      <c r="D38" s="490" t="inlineStr">
        <is>
          <t>专题调研</t>
        </is>
      </c>
      <c r="E38" s="598" t="inlineStr">
        <is>
          <t>一个问题明确且可以独立形成结论的调研主题</t>
        </is>
      </c>
      <c r="F38" s="598" t="inlineStr">
        <is>
          <t>明确问题、证据调查、必要原型或试验、结论和建议</t>
        </is>
      </c>
      <c r="G38" s="598" t="inlineStr">
        <is>
          <t>生产实现</t>
        </is>
      </c>
      <c r="H38" s="612" t="n">
        <v>2</v>
      </c>
      <c r="I38" s="612" t="inlineStr">
        <is>
          <t>❌</t>
        </is>
      </c>
      <c r="J38" s="612" t="inlineStr">
        <is>
          <t>❌</t>
        </is>
      </c>
      <c r="K38" s="449" t="inlineStr">
        <is>
          <t>单一问题；单系统；主要依赖已有证据</t>
        </is>
      </c>
      <c r="L38" s="449" t="inlineStr">
        <is>
          <t>一个问题需要多组件或多方案比较，并做验证实验</t>
        </is>
      </c>
      <c r="M38" s="449" t="inlineStr">
        <is>
          <t>一个跨系统问题需要原型或数据验证，并由多方共同形成结论</t>
        </is>
      </c>
      <c r="N38" s="449" t="inlineStr">
        <is>
          <t>包含多个独立问题，或原型、数据验证和多方评审可以分别交付</t>
        </is>
      </c>
    </row>
    <row r="39" ht="65" customHeight="1">
      <c r="A39" s="591" t="inlineStr">
        <is>
          <t>TF-PROBLEM-HANDLING</t>
        </is>
      </c>
      <c r="B39" s="490" t="inlineStr">
        <is>
          <t>问题处理</t>
        </is>
      </c>
      <c r="C39" s="591" t="inlineStr">
        <is>
          <t>BU-TECH-SUPPORT</t>
        </is>
      </c>
      <c r="D39" s="490" t="inlineStr">
        <is>
          <t>问题诊断与恢复</t>
        </is>
      </c>
      <c r="E39" s="598" t="inlineStr">
        <is>
          <t>一个具有统一问题描述和处理结论的明确问题</t>
        </is>
      </c>
      <c r="F39" s="598" t="inlineStr">
        <is>
          <t>受理分诊、证据收集、诊断、恢复或建议及处理记录</t>
        </is>
      </c>
      <c r="G39" s="598" t="inlineStr">
        <is>
          <t>上线后值守、待命容量、持续监控、另行批准的产品改造，以及对已确认根因的代码、配置或数据整改</t>
        </is>
      </c>
      <c r="H39" s="612" t="n">
        <v>2</v>
      </c>
      <c r="I39" s="612" t="inlineStr">
        <is>
          <t>❌</t>
        </is>
      </c>
      <c r="J39" s="612" t="inlineStr">
        <is>
          <t>❌</t>
        </is>
      </c>
      <c r="K39" s="449" t="inlineStr">
        <is>
          <t>单一明确问题；标准诊断；单组件</t>
        </is>
      </c>
      <c r="L39" s="449" t="inlineStr">
        <is>
          <t>一个问题涉及多组件、多日志来源或跨团队协同</t>
        </is>
      </c>
      <c r="M39" s="449" t="inlineStr">
        <is>
          <t>一个关键问题需要跨系统排查、恢复方案和深入根因分析</t>
        </is>
      </c>
      <c r="N39" s="449" t="inlineStr">
        <is>
          <t>包含多个独立问题，或需要另行批准的产品改造和专项根因分析</t>
        </is>
      </c>
    </row>
    <row r="40" ht="65" customHeight="1">
      <c r="A40" s="591" t="inlineStr">
        <is>
          <t>TF-DELIVERY-HANDOVER</t>
        </is>
      </c>
      <c r="B40" s="490" t="inlineStr">
        <is>
          <t>交付与移交</t>
        </is>
      </c>
      <c r="C40" s="591" t="inlineStr">
        <is>
          <t>BU-OPS-HANDOVER</t>
        </is>
      </c>
      <c r="D40" s="490" t="inlineStr">
        <is>
          <t>运维交接与操作手册</t>
        </is>
      </c>
      <c r="E40" s="598" t="inlineStr">
        <is>
          <t>一个服务，或一组共同部署和运维的紧密相关组件</t>
        </is>
      </c>
      <c r="F40" s="598" t="inlineStr">
        <is>
          <t>拓扑、部署、启停、监控告警、故障处理、回滚、联系范围和交接演练</t>
        </is>
      </c>
      <c r="G40" s="598" t="inlineStr">
        <is>
          <t>功能实现</t>
        </is>
      </c>
      <c r="H40" s="612" t="n">
        <v>1.5</v>
      </c>
      <c r="I40" s="612" t="n">
        <v>1</v>
      </c>
      <c r="J40" s="612" t="inlineStr">
        <is>
          <t>❌</t>
        </is>
      </c>
      <c r="K40" s="449" t="inlineStr">
        <is>
          <t>单服务；标准部署、监控和回滚说明</t>
        </is>
      </c>
      <c r="L40" s="449" t="inlineStr">
        <is>
          <t>一组共同部署和运维的组件，需要告警、值班和知识转移</t>
        </is>
      </c>
      <c r="M40" s="449" t="inlineStr">
        <is>
          <t>一个分布式服务范围涉及容灾、合规和多团队交接</t>
        </is>
      </c>
      <c r="N40" s="449" t="inlineStr">
        <is>
          <t>包含多个独立运维对象，或需要向多个运维团队分别交接</t>
        </is>
      </c>
    </row>
    <row r="41" ht="65" customHeight="1">
      <c r="A41" s="621" t="inlineStr">
        <is>
          <t>TF-DELIVERY-HANDOVER</t>
        </is>
      </c>
      <c r="B41" s="618" t="inlineStr">
        <is>
          <t>交付与移交</t>
        </is>
      </c>
      <c r="C41" s="621" t="inlineStr">
        <is>
          <t>BU-USER-TRAINING</t>
        </is>
      </c>
      <c r="D41" s="618" t="inlineStr">
        <is>
          <t>用户培训与使用材料</t>
        </is>
      </c>
      <c r="E41" s="619" t="inlineStr">
        <is>
          <t>一个明确用户群体针对一项连贯能力的培训和材料交付</t>
        </is>
      </c>
      <c r="F41" s="619" t="inlineStr">
        <is>
          <t>培训需求确认、使用材料、演示或练习、培训实施、问答、出席记录及材料移交</t>
        </is>
      </c>
      <c r="G41" s="619" t="inlineStr">
        <is>
          <t>运维交接、技术架构培训、业务内容翻译和长期培训运营</t>
        </is>
      </c>
      <c r="H41" s="627" t="n">
        <v>1.5</v>
      </c>
      <c r="I41" s="627" t="n">
        <v>1</v>
      </c>
      <c r="J41" s="627" t="inlineStr">
        <is>
          <t>❌</t>
        </is>
      </c>
      <c r="K41" s="620" t="inlineStr">
        <is>
          <t>单一角色；标准流程；一次短时讲解；无专门练习环境</t>
        </is>
      </c>
      <c r="L41" s="620" t="inlineStr">
        <is>
          <t>一个用户群体包含多个相关角色；需要演示、练习和问答</t>
        </is>
      </c>
      <c r="M41" s="620" t="inlineStr">
        <is>
          <t>多语言、Train-the-Trainer、专门练习环境或正式能力考核</t>
        </is>
      </c>
      <c r="N41" s="620" t="inlineStr">
        <is>
          <t>多个独立用户群体或多个无关产品，必须拆分</t>
        </is>
      </c>
    </row>
    <row r="42"/>
    <row r="43"/>
    <row r="44" ht="30" customHeight="1"/>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sheetData>
  <mergeCells count="8">
    <mergeCell ref="K3:N3"/>
    <mergeCell ref="A2:N2"/>
    <mergeCell ref="A3:D3"/>
    <mergeCell ref="F42:G42"/>
    <mergeCell ref="E3:G3"/>
    <mergeCell ref="H3:J3"/>
    <mergeCell ref="A42:D42"/>
    <mergeCell ref="A1:N1"/>
  </mergeCells>
  <conditionalFormatting sqref="H5:H224">
    <cfRule type="containsText" priority="1" operator="containsText" dxfId="19" text="已配置"/>
    <cfRule type="containsText" priority="2" operator="containsText" dxfId="20" text="待校准"/>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2026-08-22T22:46:39Z</dcterms:created>
  <dcterms:modified xsi:type="dcterms:W3CDTF">2026-08-22T22:46:39Z</dcterms:modified>
</cp:coreProperties>
</file>