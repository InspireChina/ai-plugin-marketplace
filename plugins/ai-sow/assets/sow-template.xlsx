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需求故事" sheetId="1" state="visible" r:id="rId1"/>
    <sheet name="02-任务清单" sheetId="2" state="visible" r:id="rId2"/>
    <sheet name="03-工作量汇总" sheetId="3" state="visible" r:id="rId3"/>
    <sheet name="90-估算标准" sheetId="4" state="visible" r:id="rId4"/>
  </sheets>
  <definedNames>
    <definedName name="_xlnm.Print_Titles" localSheetId="0">'01-需求故事'!$1:$4</definedName>
    <definedName name="_xlnm.Print_Titles" localSheetId="1">'02-任务清单'!$1:$4</definedName>
    <definedName name="_xlnm.Print_Titles" localSheetId="3">'90-估算标准'!$1:$4</definedName>
  </definedNames>
  <calcPr calcId="124519" calcMode="auto" fullCalcOnLoad="1" calcOnSave="1" forceFullCalc="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Microsoft YaHei"/>
      <b val="1"/>
      <color rgb="00FFFFFF"/>
      <sz val="16"/>
    </font>
    <font>
      <name val="Microsoft YaHei"/>
      <b val="1"/>
      <color rgb="00FFFFFF"/>
      <sz val="10"/>
    </font>
    <font>
      <name val="Microsoft YaHei"/>
      <color rgb="001F2937"/>
      <sz val="10"/>
    </font>
    <font>
      <name val="Microsoft YaHei"/>
      <b val="1"/>
      <color rgb="0017365D"/>
      <sz val="12"/>
    </font>
    <font>
      <name val="Microsoft YaHei"/>
      <b val="1"/>
      <color rgb="0017365D"/>
      <sz val="11"/>
    </font>
  </fonts>
  <fills count="7">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FFFFF"/>
      </patternFill>
    </fill>
    <fill>
      <patternFill patternType="solid">
        <fgColor rgb="00F1F4F6"/>
      </patternFill>
    </fill>
  </fills>
  <borders count="2">
    <border>
      <left/>
      <right/>
      <top/>
      <bottom/>
      <diagonal/>
    </border>
    <border>
      <bottom style="thin">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center" wrapText="1"/>
    </xf>
    <xf numFmtId="0" fontId="2" fillId="4" borderId="1" applyAlignment="1" pivotButton="0" quotePrefix="0" xfId="0">
      <alignment horizontal="center" vertical="center" wrapText="1"/>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wrapText="1"/>
      <protection locked="1" hidden="1"/>
    </xf>
    <xf numFmtId="0" fontId="3" fillId="5" borderId="1" applyAlignment="1" pivotButton="0" quotePrefix="0" xfId="0">
      <alignment vertical="center" wrapText="1"/>
    </xf>
    <xf numFmtId="164" fontId="4" fillId="6" borderId="1" applyAlignment="1" pivotButton="0" quotePrefix="0" xfId="0">
      <alignment vertical="center" wrapText="1"/>
    </xf>
    <xf numFmtId="0" fontId="5" fillId="3" borderId="0" pivotButton="0" quotePrefix="0" xfId="0"/>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WStoryTable" displayName="SOWStoryTable" ref="A4:J5" headerRowCount="1">
  <autoFilter ref="A4:J5"/>
  <tableColumns count="10">
    <tableColumn id="1" name="需求"/>
    <tableColumn id="2" name="子需求"/>
    <tableColumn id="3" name="故事"/>
    <tableColumn id="4" name="UAT适用"/>
    <tableColumn id="5" name="验收条件"/>
    <tableColumn id="6" name="备注"/>
    <tableColumn id="7" name="任务列表">
      <calculatedColumnFormula array="1">IF($J5="","",IFERROR(_xlfn.TEXTJOIN(CHAR(10),TRUE,IF('02-任务清单'!$A$5:INDEX('02-任务清单'!$A:$A,MAX(5,COUNTA('02-任务清单'!$A:$A)+1))=$J5,"• "&amp;'02-任务清单'!$B$5:INDEX('02-任务清单'!$B:$B,MAX(5,COUNTA('02-任务清单'!$A:$A)+1)),"")),""))</calculatedColumnFormula>
    </tableColumn>
    <tableColumn id="8" name="故事人天">
      <calculatedColumnFormula>IF($J5="","",CEILING(SUMIFS('02-任务清单'!$I:$I,'02-任务清单'!$A:$A,$J5),INDEX('90-估算标准'!$R$5:$R$12,MATCH("ROUND_STORY",'90-估算标准'!$P$5:$P$12,0))))</calculatedColumnFormula>
    </tableColumn>
    <tableColumn id="9" name="校验结果">
      <calculatedColumnFormula>IF(COUNTA($A5:$F5)=0,"",IF(OR($A5="",$B5="",$C5="",$D5="",$E5=""),"必填项缺失",IF(COUNTIF($C:$C,$C5)&gt;1,"故事名称重复",IF(COUNTIF($J:$J,$J5)&gt;1,"故事路径重复",IF(AND($D5&lt;&gt;"是",$D5&lt;&gt;"否"),"UAT适用值非法",IF(COUNTIF('02-任务清单'!$A:$A,$J5)=0,"故事缺少任务","通过"))))))</calculatedColumnFormula>
    </tableColumn>
    <tableColumn id="10" name="故事路径">
      <calculatedColumnFormula>IF(OR($A5="",$B5="",$C5=""),"",$A5&amp;" &gt; "&amp;$B5&amp;" &gt; "&amp;$C5)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skTable" displayName="TaskTable" ref="A4:K5" headerRowCount="1">
  <autoFilter ref="A4:K5"/>
  <tableColumns count="11">
    <tableColumn id="1" name="所属故事"/>
    <tableColumn id="2" name="任务名称"/>
    <tableColumn id="3" name="任务类型"/>
    <tableColumn id="4" name="工作方式"/>
    <tableColumn id="5" name="复杂度"/>
    <tableColumn id="6" name="备注"/>
    <tableColumn id="7" name="M档标准人天">
      <calculatedColumnFormula>IFERROR(IF($D5="新建",INDEX('90-估算标准'!$H$5:$H$41,MATCH($C5,'90-估算标准'!$D$5:$D$41,0)),IF($D5="调整",INDEX('90-估算标准'!$I$5:$I$41,MATCH($C5,'90-估算标准'!$D$5:$D$41,0)),IF($D5="接入复用",INDEX('90-估算标准'!$J$5:$J$41,MATCH($C5,'90-估算标准'!$D$5:$D$41,0)),""))),"")</calculatedColumnFormula>
    </tableColumn>
    <tableColumn id="8" name="复杂度系数">
      <calculatedColumnFormula>IFERROR(INDEX('90-估算标准'!$R$5:$R$12,MATCH("K_COMPLEXITY_"&amp;$E5,'90-估算标准'!$P$5:$P$12,0)),"")</calculatedColumnFormula>
    </tableColumn>
    <tableColumn id="9" name="任务人天">
      <calculatedColumnFormula>IF(OR(NOT(ISNUMBER($G5)),NOT(ISNUMBER($H5))),"",ROUND($G5*$H5,1))</calculatedColumnFormula>
    </tableColumn>
    <tableColumn id="10" name="SIT支持人天">
      <calculatedColumnFormula>IF($C5="内部系统对接",ROUND(INDEX('90-估算标准'!$R$5:$R$12,MATCH("SIT_INT_SUPPORT",'90-估算标准'!$P$5:$P$12,0))*$H5,1),IF($C5="外部系统对接",ROUND(INDEX('90-估算标准'!$R$5:$R$12,MATCH("SIT_EXT_SUPPORT",'90-估算标准'!$P$5:$P$12,0))*$H5,1),0))</calculatedColumnFormula>
    </tableColumn>
    <tableColumn id="11" name="校验结果">
      <calculatedColumnFormula>IF(COUNTA($A5:$F5)=0,"",IF(OR($A5="",$B5="",$C5="",$D5="",$E5=""),"必填项缺失",IF(COUNTIF($B:$B,$B5)&gt;1,"任务名称重复",IF(COUNTIF('01-需求故事'!$J:$J,$A5)&lt;&gt;1,"所属故事未知",IF(OR($E5="S",$E5="M",$E5="L"),IF(ISNUMBER($G5),"通过","任务类型与工作方式不适用"),"复杂度非法")))))</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4.xml><?xml version="1.0" encoding="utf-8"?>
<table xmlns="http://schemas.openxmlformats.org/spreadsheetml/2006/main" id="4" name="BaseUnitCatalogTable" displayName="BaseUnitCatalogTable" ref="A4:N41" headerRowCount="1">
  <autoFilter ref="A4:N41"/>
  <tableColumns count="14">
    <tableColumn id="1" name="任务族ID"/>
    <tableColumn id="2" name="任务族名称"/>
    <tableColumn id="3" name="基础单元ID"/>
    <tableColumn id="4" name="基础单元名称"/>
    <tableColumn id="5" name="计数口径"/>
    <tableColumn id="6" name="包含内容"/>
    <tableColumn id="7" name="不包含内容"/>
    <tableColumn id="8" name="新建M档人天"/>
    <tableColumn id="9" name="调整M档人天"/>
    <tableColumn id="10" name="接入复用M档人天"/>
    <tableColumn id="11" name="S标准"/>
    <tableColumn id="12" name="M标准"/>
    <tableColumn id="13" name="L标准"/>
    <tableColumn id="14" name="X/拆分条件"/>
  </tableColumns>
  <tableStyleInfo name="TableStyleMedium2" showFirstColumn="0" showLastColumn="0" showRowStripes="1" showColumnStripes="0"/>
</table>
</file>

<file path=xl/tables/table5.xml><?xml version="1.0" encoding="utf-8"?>
<table xmlns="http://schemas.openxmlformats.org/spreadsheetml/2006/main" id="5" name="ProjectParameterTable" displayName="ProjectParameterTable" ref="P4:U12" headerRowCount="1">
  <autoFilter ref="P4:U12"/>
  <tableColumns count="6">
    <tableColumn id="16" name="参数代码"/>
    <tableColumn id="17" name="名称"/>
    <tableColumn id="18" name="值"/>
    <tableColumn id="19" name="单位"/>
    <tableColumn id="20" name="适用范围"/>
    <tableColumn id="21" name="验证状态/说明"/>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s>
</file>

<file path=xl/worksheets/sheet1.xml><?xml version="1.0" encoding="utf-8"?>
<worksheet xmlns="http://schemas.openxmlformats.org/spreadsheetml/2006/main">
  <sheetPr>
    <outlinePr summaryBelow="1" summaryRight="1"/>
    <pageSetUpPr fitToPage="1"/>
  </sheetPr>
  <dimension ref="A1:J5"/>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28" customWidth="1" min="3" max="3"/>
    <col width="12" customWidth="1" min="4" max="4"/>
    <col width="46" customWidth="1" min="5" max="5"/>
    <col width="30" customWidth="1" min="6" max="6"/>
    <col width="38" customWidth="1" min="7" max="7"/>
    <col width="12" customWidth="1" min="8" max="8"/>
    <col width="24" customWidth="1" min="9" max="9"/>
    <col hidden="1" width="44" customWidth="1" min="10" max="10"/>
  </cols>
  <sheetData>
    <row r="1" ht="30" customHeight="1">
      <c r="A1" s="1" t="inlineStr">
        <is>
          <t>需求故事</t>
        </is>
      </c>
    </row>
    <row r="2" ht="34" customHeight="1">
      <c r="A2" s="2" t="inlineStr">
        <is>
          <t>每个 Story 一行；需求和子需求重复填写。验收条件可在同一单元格内换行。灰色列由公式维护。</t>
        </is>
      </c>
    </row>
    <row r="4" ht="30" customHeight="1">
      <c r="A4" s="3" t="inlineStr">
        <is>
          <t>需求</t>
        </is>
      </c>
      <c r="B4" s="3" t="inlineStr">
        <is>
          <t>子需求</t>
        </is>
      </c>
      <c r="C4" s="3" t="inlineStr">
        <is>
          <t>故事</t>
        </is>
      </c>
      <c r="D4" s="3" t="inlineStr">
        <is>
          <t>UAT适用</t>
        </is>
      </c>
      <c r="E4" s="3" t="inlineStr">
        <is>
          <t>验收条件</t>
        </is>
      </c>
      <c r="F4" s="3" t="inlineStr">
        <is>
          <t>备注</t>
        </is>
      </c>
      <c r="G4" s="3" t="inlineStr">
        <is>
          <t>任务列表</t>
        </is>
      </c>
      <c r="H4" s="3" t="inlineStr">
        <is>
          <t>故事人天</t>
        </is>
      </c>
      <c r="I4" s="3" t="inlineStr">
        <is>
          <t>校验结果</t>
        </is>
      </c>
      <c r="J4" s="3" t="inlineStr">
        <is>
          <t>故事路径</t>
        </is>
      </c>
    </row>
    <row r="5" ht="42" customHeight="1">
      <c r="A5" s="4" t="n"/>
      <c r="B5" s="4" t="n"/>
      <c r="C5" s="4" t="n"/>
      <c r="D5" s="4" t="n"/>
      <c r="E5" s="4" t="n"/>
      <c r="F5" s="4" t="n"/>
      <c r="G5" s="5">
        <f t="array" ref="G5">IF($J5="","",IFERROR(_xlfn.TEXTJOIN(CHAR(10),TRUE,IF('02-任务清单'!$A$5:INDEX('02-任务清单'!$A:$A,MAX(5,COUNTA('02-任务清单'!$A:$A)+1))=$J5,"• "&amp;'02-任务清单'!$B$5:INDEX('02-任务清单'!$B:$B,MAX(5,COUNTA('02-任务清单'!$A:$A)+1)),"")),""))</f>
        <v/>
      </c>
      <c r="H5" s="5">
        <f>IF($J5="","",CEILING(SUMIFS('02-任务清单'!$I:$I,'02-任务清单'!$A:$A,$J5),INDEX('90-估算标准'!$R$5:$R$12,MATCH("ROUND_STORY",'90-估算标准'!$P$5:$P$12,0))))</f>
        <v/>
      </c>
      <c r="I5" s="5">
        <f>IF(COUNTA($A5:$F5)=0,"",IF(OR($A5="",$B5="",$C5="",$D5="",$E5=""),"必填项缺失",IF(COUNTIF($C:$C,$C5)&gt;1,"故事名称重复",IF(COUNTIF($J:$J,$J5)&gt;1,"故事路径重复",IF(AND($D5&lt;&gt;"是",$D5&lt;&gt;"否"),"UAT适用值非法",IF(COUNTIF('02-任务清单'!$A:$A,$J5)=0,"故事缺少任务","通过"))))))</f>
        <v/>
      </c>
      <c r="J5" s="5">
        <f>IF(OR($A5="",$B5="",$C5=""),"",$A5&amp;" &gt; "&amp;$B5&amp;" &gt; "&amp;$C5)</f>
        <v/>
      </c>
    </row>
  </sheetData>
  <sheetProtection selectLockedCells="0" selectUnlockedCells="0" sheet="1" objects="0" insertRows="0" insertHyperlinks="1" autoFilter="0" scenarios="0" formatColumns="0" deleteColumns="1" insertColumns="1" pivotTables="1" deleteRows="0" formatCells="1" formatRows="0" sort="0"/>
  <mergeCells count="2">
    <mergeCell ref="A1:J1"/>
    <mergeCell ref="A2:J2"/>
  </mergeCells>
  <conditionalFormatting sqref="I5:I1048576">
    <cfRule type="expression" priority="1" dxfId="0">
      <formula>AND($I5&lt;&gt;"",$I5&lt;&gt;"通过")</formula>
    </cfRule>
  </conditionalFormatting>
  <dataValidations count="1">
    <dataValidation sqref="D5:D1048576" showDropDown="0" showInputMessage="1" showErrorMessage="1" allowBlank="1" errorTitle="输入值不受支持" error="请选择受支持的值；粘贴数据后仍需运行补全 Skill 严格校验。" promptTitle="填写提示" prompt="请从下拉选项中选择。" type="list">
      <formula1>"是,否"</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K5"/>
  <sheetViews>
    <sheetView showGridLines="0" workbookViewId="0">
      <pane ySplit="4" topLeftCell="A5" activePane="bottomLeft" state="frozen"/>
      <selection pane="bottomLeft" activeCell="A1" sqref="A1"/>
    </sheetView>
  </sheetViews>
  <sheetFormatPr baseColWidth="8" defaultRowHeight="15"/>
  <cols>
    <col width="44" customWidth="1" min="1" max="1"/>
    <col width="30" customWidth="1" min="2" max="2"/>
    <col width="24" customWidth="1" min="3" max="3"/>
    <col width="12" customWidth="1" min="4" max="4"/>
    <col width="10" customWidth="1" min="5" max="5"/>
    <col width="36" customWidth="1" min="6" max="6"/>
    <col width="14" customWidth="1" min="7" max="7"/>
    <col width="14" customWidth="1" min="8" max="8"/>
    <col width="12" customWidth="1" min="9" max="9"/>
    <col width="14" customWidth="1" min="10" max="10"/>
    <col width="26" customWidth="1" min="11" max="11"/>
  </cols>
  <sheetData>
    <row r="1" ht="30" customHeight="1">
      <c r="A1" s="1" t="inlineStr">
        <is>
          <t>任务清单</t>
        </is>
      </c>
    </row>
    <row r="2" ht="34" customHeight="1">
      <c r="A2" s="2" t="inlineStr">
        <is>
          <t>每个基础单元实例一行；任务类型、工作方式和复杂度必须使用正式选项。灰色列由公式维护。</t>
        </is>
      </c>
    </row>
    <row r="4" ht="30" customHeight="1">
      <c r="A4" s="3" t="inlineStr">
        <is>
          <t>所属故事</t>
        </is>
      </c>
      <c r="B4" s="3" t="inlineStr">
        <is>
          <t>任务名称</t>
        </is>
      </c>
      <c r="C4" s="3" t="inlineStr">
        <is>
          <t>任务类型</t>
        </is>
      </c>
      <c r="D4" s="3" t="inlineStr">
        <is>
          <t>工作方式</t>
        </is>
      </c>
      <c r="E4" s="3" t="inlineStr">
        <is>
          <t>复杂度</t>
        </is>
      </c>
      <c r="F4" s="3" t="inlineStr">
        <is>
          <t>备注</t>
        </is>
      </c>
      <c r="G4" s="3" t="inlineStr">
        <is>
          <t>M档标准人天</t>
        </is>
      </c>
      <c r="H4" s="3" t="inlineStr">
        <is>
          <t>复杂度系数</t>
        </is>
      </c>
      <c r="I4" s="3" t="inlineStr">
        <is>
          <t>任务人天</t>
        </is>
      </c>
      <c r="J4" s="3" t="inlineStr">
        <is>
          <t>SIT支持人天</t>
        </is>
      </c>
      <c r="K4" s="3" t="inlineStr">
        <is>
          <t>校验结果</t>
        </is>
      </c>
    </row>
    <row r="5" ht="42" customHeight="1">
      <c r="A5" s="4" t="n"/>
      <c r="B5" s="4" t="n"/>
      <c r="C5" s="4" t="n"/>
      <c r="D5" s="4" t="n"/>
      <c r="E5" s="4" t="n"/>
      <c r="F5" s="4" t="n"/>
      <c r="G5" s="5">
        <f>IFERROR(IF($D5="新建",INDEX('90-估算标准'!$H$5:$H$41,MATCH($C5,'90-估算标准'!$D$5:$D$41,0)),IF($D5="调整",INDEX('90-估算标准'!$I$5:$I$41,MATCH($C5,'90-估算标准'!$D$5:$D$41,0)),IF($D5="接入复用",INDEX('90-估算标准'!$J$5:$J$41,MATCH($C5,'90-估算标准'!$D$5:$D$41,0)),""))),"")</f>
        <v/>
      </c>
      <c r="H5" s="5">
        <f>IFERROR(INDEX('90-估算标准'!$R$5:$R$12,MATCH("K_COMPLEXITY_"&amp;$E5,'90-估算标准'!$P$5:$P$12,0)),"")</f>
        <v/>
      </c>
      <c r="I5" s="5">
        <f>IF(OR(NOT(ISNUMBER($G5)),NOT(ISNUMBER($H5))),"",ROUND($G5*$H5,1))</f>
        <v/>
      </c>
      <c r="J5" s="5">
        <f>IF($C5="内部系统对接",ROUND(INDEX('90-估算标准'!$R$5:$R$12,MATCH("SIT_INT_SUPPORT",'90-估算标准'!$P$5:$P$12,0))*$H5,1),IF($C5="外部系统对接",ROUND(INDEX('90-估算标准'!$R$5:$R$12,MATCH("SIT_EXT_SUPPORT",'90-估算标准'!$P$5:$P$12,0))*$H5,1),0))</f>
        <v/>
      </c>
      <c r="K5" s="5">
        <f>IF(COUNTA($A5:$F5)=0,"",IF(OR($A5="",$B5="",$C5="",$D5="",$E5=""),"必填项缺失",IF(COUNTIF($B:$B,$B5)&gt;1,"任务名称重复",IF(COUNTIF('01-需求故事'!$J:$J,$A5)&lt;&gt;1,"所属故事未知",IF(OR($E5="S",$E5="M",$E5="L"),IF(ISNUMBER($G5),"通过","任务类型与工作方式不适用"),"复杂度非法")))))</f>
        <v/>
      </c>
    </row>
  </sheetData>
  <sheetProtection selectLockedCells="0" selectUnlockedCells="0" sheet="1" objects="0" insertRows="0" insertHyperlinks="1" autoFilter="0" scenarios="0" formatColumns="0" deleteColumns="1" insertColumns="1" pivotTables="1" deleteRows="0" formatCells="1" formatRows="0" sort="0"/>
  <mergeCells count="2">
    <mergeCell ref="A2:K2"/>
    <mergeCell ref="A1:K1"/>
  </mergeCells>
  <conditionalFormatting sqref="K5:K1048576">
    <cfRule type="expression" priority="1" dxfId="0">
      <formula>AND($K5&lt;&gt;"",$K5&lt;&gt;"通过")</formula>
    </cfRule>
  </conditionalFormatting>
  <dataValidations count="4">
    <dataValidation sqref="A5:A1048576" showDropDown="0" showInputMessage="1" showErrorMessage="1" allowBlank="1" errorTitle="输入值不受支持" error="请选择受支持的值；粘贴数据后仍需运行补全 Skill 严格校验。" promptTitle="填写提示" prompt="请从下拉选项中选择。" type="list">
      <formula1>=INDIRECT("SOWStoryTable[故事路径]")</formula1>
    </dataValidation>
    <dataValidation sqref="C5:C1048576" showDropDown="0" showInputMessage="1" showErrorMessage="1" allowBlank="1" errorTitle="输入值不受支持" error="请选择受支持的值；粘贴数据后仍需运行补全 Skill 严格校验。" promptTitle="填写提示" prompt="请从下拉选项中选择。" type="list">
      <formula1>=INDIRECT("BaseUnitCatalogTable[基础单元名称]")</formula1>
    </dataValidation>
    <dataValidation sqref="D5:D1048576" showDropDown="0" showInputMessage="1" showErrorMessage="1" allowBlank="1" errorTitle="输入值不受支持" error="请选择受支持的值；粘贴数据后仍需运行补全 Skill 严格校验。" promptTitle="填写提示" prompt="请从下拉选项中选择。" type="list">
      <formula1>"新建,调整,接入复用"</formula1>
    </dataValidation>
    <dataValidation sqref="E5:E1048576" showDropDown="0" showInputMessage="1" showErrorMessage="1" allowBlank="1" errorTitle="输入值不受支持" error="请选择受支持的值；粘贴数据后仍需运行补全 Skill 严格校验。" promptTitle="填写提示" prompt="请从下拉选项中选择。" type="list">
      <formula1>"S,M,L"</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8"/>
  <sheetViews>
    <sheetView showGridLines="0" workbookViewId="0">
      <pane ySplit="4" topLeftCell="A5" activePane="bottomLeft" state="frozen"/>
      <selection pane="bottomLeft" activeCell="A1" sqref="A1"/>
    </sheetView>
  </sheetViews>
  <sheetFormatPr baseColWidth="8" defaultRowHeight="15"/>
  <cols>
    <col width="28" customWidth="1" min="1" max="1"/>
    <col width="18" customWidth="1" min="2" max="2"/>
  </cols>
  <sheetData>
    <row r="1" ht="30" customHeight="1">
      <c r="A1" s="1" t="inlineStr">
        <is>
          <t>工作量汇总</t>
        </is>
      </c>
    </row>
    <row r="2" ht="34" customHeight="1">
      <c r="A2" s="2" t="inlineStr">
        <is>
          <t>汇总只显示直接开发、SIT 支持、UAT 支持和总开发人天；打开 Excel 后完整重算。</t>
        </is>
      </c>
    </row>
    <row r="4" ht="30" customHeight="1">
      <c r="A4" s="3" t="inlineStr">
        <is>
          <t>工作量项</t>
        </is>
      </c>
      <c r="B4" s="3" t="inlineStr">
        <is>
          <t>人天</t>
        </is>
      </c>
    </row>
    <row r="5" ht="42" customHeight="1">
      <c r="A5" s="6" t="inlineStr">
        <is>
          <t>直接开发人天</t>
        </is>
      </c>
      <c r="B5" s="7">
        <f>SUM('01-需求故事'!$H:$H)</f>
        <v/>
      </c>
    </row>
    <row r="6" ht="42" customHeight="1">
      <c r="A6" s="6" t="inlineStr">
        <is>
          <t>SIT支持人天</t>
        </is>
      </c>
      <c r="B6" s="7">
        <f>CEILING(SUMIFS('02-任务清单'!$J:$J,'02-任务清单'!$C:$C,"内部系统对接"),INDEX('90-估算标准'!$R$5:$R$12,MATCH("ROUND_PROJECT",'90-估算标准'!$P$5:$P$12,0)))+CEILING(SUMIFS('02-任务清单'!$J:$J,'02-任务清单'!$C:$C,"外部系统对接"),INDEX('90-估算标准'!$R$5:$R$12,MATCH("ROUND_PROJECT",'90-估算标准'!$P$5:$P$12,0)))</f>
        <v/>
      </c>
    </row>
    <row r="7" ht="42" customHeight="1">
      <c r="A7" s="6" t="inlineStr">
        <is>
          <t>UAT支持人天</t>
        </is>
      </c>
      <c r="B7" s="7">
        <f>CEILING(SUMIFS('01-需求故事'!$H:$H,'01-需求故事'!$D:$D,"是")*INDEX('90-估算标准'!$R$5:$R$12,MATCH("K_UAT",'90-估算标准'!$P$5:$P$12,0)),INDEX('90-估算标准'!$R$5:$R$12,MATCH("ROUND_PROJECT",'90-估算标准'!$P$5:$P$12,0)))</f>
        <v/>
      </c>
    </row>
    <row r="8" ht="42" customHeight="1">
      <c r="A8" s="6" t="inlineStr">
        <is>
          <t>总开发人天</t>
        </is>
      </c>
      <c r="B8" s="7">
        <f>B5+B6+B7</f>
        <v/>
      </c>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ageMargins left="0.75" right="0.75" top="1" bottom="1"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U41"/>
  <sheetViews>
    <sheetView showGridLines="0" workbookViewId="0">
      <pane ySplit="4" topLeftCell="A5" activePane="bottomLeft" state="frozen"/>
      <selection pane="bottomLeft" activeCell="A1" sqref="A1"/>
    </sheetView>
  </sheetViews>
  <sheetFormatPr baseColWidth="8" defaultRowHeight="15"/>
  <cols>
    <col hidden="1" width="13" customWidth="1" min="1" max="1"/>
    <col width="18" customWidth="1" min="2" max="2"/>
    <col hidden="1" width="13" customWidth="1" min="3" max="3"/>
    <col width="22" customWidth="1" min="4" max="4"/>
    <col outlineLevel="1" width="30" customWidth="1" min="5" max="7"/>
    <col width="38" customWidth="1" min="6" max="6"/>
    <col width="32" customWidth="1" min="7" max="7"/>
    <col width="14" customWidth="1" min="8" max="8"/>
    <col width="14" customWidth="1" min="9" max="9"/>
    <col width="16" customWidth="1" min="10" max="10"/>
    <col outlineLevel="1" width="32" customWidth="1" min="11" max="14"/>
    <col width="36" customWidth="1" min="12" max="12"/>
    <col width="38" customWidth="1" min="13" max="13"/>
    <col width="38" customWidth="1" min="14" max="14"/>
    <col hidden="1" width="13" customWidth="1" min="16" max="16"/>
    <col width="22" customWidth="1" min="17" max="17"/>
    <col width="12" customWidth="1" min="18" max="18"/>
    <col width="12" customWidth="1" min="19" max="19"/>
    <col width="30" customWidth="1" min="20" max="20"/>
    <col width="18" customWidth="1" min="21" max="21"/>
  </cols>
  <sheetData>
    <row r="1" ht="30" customHeight="1">
      <c r="A1" s="1" t="inlineStr">
        <is>
          <t>估算标准</t>
        </is>
      </c>
    </row>
    <row r="2">
      <c r="A2" s="8" t="inlineStr">
        <is>
          <t>基础单元目录（37 项）</t>
        </is>
      </c>
      <c r="P2" s="8" t="inlineStr">
        <is>
          <t>项目参数（8 项）</t>
        </is>
      </c>
    </row>
    <row r="4" ht="30" customHeight="1">
      <c r="A4" s="3" t="inlineStr">
        <is>
          <t>任务族ID</t>
        </is>
      </c>
      <c r="B4" s="3" t="inlineStr">
        <is>
          <t>任务族名称</t>
        </is>
      </c>
      <c r="C4" s="3" t="inlineStr">
        <is>
          <t>基础单元ID</t>
        </is>
      </c>
      <c r="D4" s="3" t="inlineStr">
        <is>
          <t>基础单元名称</t>
        </is>
      </c>
      <c r="E4" s="3" t="inlineStr">
        <is>
          <t>计数口径</t>
        </is>
      </c>
      <c r="F4" s="3" t="inlineStr">
        <is>
          <t>包含内容</t>
        </is>
      </c>
      <c r="G4" s="3" t="inlineStr">
        <is>
          <t>不包含内容</t>
        </is>
      </c>
      <c r="H4" s="3" t="inlineStr">
        <is>
          <t>新建M档人天</t>
        </is>
      </c>
      <c r="I4" s="3" t="inlineStr">
        <is>
          <t>调整M档人天</t>
        </is>
      </c>
      <c r="J4" s="3" t="inlineStr">
        <is>
          <t>接入复用M档人天</t>
        </is>
      </c>
      <c r="K4" s="3" t="inlineStr">
        <is>
          <t>S标准</t>
        </is>
      </c>
      <c r="L4" s="3" t="inlineStr">
        <is>
          <t>M标准</t>
        </is>
      </c>
      <c r="M4" s="3" t="inlineStr">
        <is>
          <t>L标准</t>
        </is>
      </c>
      <c r="N4" s="3" t="inlineStr">
        <is>
          <t>X/拆分条件</t>
        </is>
      </c>
      <c r="P4" s="3" t="inlineStr">
        <is>
          <t>参数代码</t>
        </is>
      </c>
      <c r="Q4" s="3" t="inlineStr">
        <is>
          <t>名称</t>
        </is>
      </c>
      <c r="R4" s="3" t="inlineStr">
        <is>
          <t>值</t>
        </is>
      </c>
      <c r="S4" s="3" t="inlineStr">
        <is>
          <t>单位</t>
        </is>
      </c>
      <c r="T4" s="3" t="inlineStr">
        <is>
          <t>适用范围</t>
        </is>
      </c>
      <c r="U4" s="3" t="inlineStr">
        <is>
          <t>验证状态/说明</t>
        </is>
      </c>
    </row>
    <row r="5" ht="48" customHeight="1">
      <c r="A5" s="6" t="inlineStr">
        <is>
          <t>TF-FRONTEND</t>
        </is>
      </c>
      <c r="B5" s="6" t="inlineStr">
        <is>
          <t>前端</t>
        </is>
      </c>
      <c r="C5" s="6" t="inlineStr">
        <is>
          <t>BU-UI-INTERACTION</t>
        </is>
      </c>
      <c r="D5" s="6" t="inlineStr">
        <is>
          <t>界面与交互</t>
        </is>
      </c>
      <c r="E5" s="6" t="inlineStr">
        <is>
          <t>一个可独立验收的界面，或一条紧密关联的交互流程</t>
        </is>
      </c>
      <c r="F5" s="6" t="inlineStr">
        <is>
          <t>界面结构与交互、状态管理、权限呈现、加载、空白和异常状态及开发自测</t>
        </is>
      </c>
      <c r="G5" s="6" t="inlineStr">
        <is>
          <t>后端服务和另行开展的测试</t>
        </is>
      </c>
      <c r="H5" s="6" t="n">
        <v>2.5</v>
      </c>
      <c r="I5" s="6" t="n">
        <v>1.5</v>
      </c>
      <c r="J5" s="6" t="inlineStr">
        <is>
          <t>❌</t>
        </is>
      </c>
      <c r="K5" s="6" t="inlineStr">
        <is>
          <t>1～2 种主要状态；标准组件；简单校验；单一角色</t>
        </is>
      </c>
      <c r="L5" s="6" t="inlineStr">
        <is>
          <t>3～5 种主要状态；条件联动；复杂表格、上传或多角色</t>
        </is>
      </c>
      <c r="M5" s="6" t="inlineStr">
        <is>
          <t>复杂状态机；实时或离线处理；跨界面状态恢复；严格无障碍或多终端适配</t>
        </is>
      </c>
      <c r="N5" s="6" t="inlineStr">
        <is>
          <t>包含多条可独立验收的交互流程，或跨多个应用</t>
        </is>
      </c>
      <c r="P5" s="6" t="inlineStr">
        <is>
          <t>K_COMPLEXITY_S</t>
        </is>
      </c>
      <c r="Q5" s="6" t="inlineStr">
        <is>
          <t>S档复杂度系数</t>
        </is>
      </c>
      <c r="R5" s="6" t="n">
        <v>0.6</v>
      </c>
      <c r="S5" s="6" t="inlineStr">
        <is>
          <t>倍</t>
        </is>
      </c>
      <c r="T5" s="6" t="inlineStr">
        <is>
          <t>任务人天</t>
        </is>
      </c>
      <c r="U5" s="6" t="inlineStr">
        <is>
          <t>固定规则</t>
        </is>
      </c>
    </row>
    <row r="6" ht="48" customHeight="1">
      <c r="A6" s="6" t="inlineStr">
        <is>
          <t>TF-FRONTEND</t>
        </is>
      </c>
      <c r="B6" s="6" t="inlineStr">
        <is>
          <t>前端</t>
        </is>
      </c>
      <c r="C6" s="6" t="inlineStr">
        <is>
          <t>BU-UI-COMPONENT</t>
        </is>
      </c>
      <c r="D6" s="6" t="inlineStr">
        <is>
          <t>通用界面组件</t>
        </is>
      </c>
      <c r="E6" s="6" t="inlineStr">
        <is>
          <t>一个可独立发布和复用的组件；同一组件的紧密相关变体合并计算</t>
        </is>
      </c>
      <c r="F6" s="6" t="inlineStr">
        <is>
          <t>新建或调整时包括组件的属性、事件、状态、样式、主题适配、无障碍、示例和组件测试；接入复用时只包括当前项目的注册、主题适配、封装或必要验证</t>
        </is>
      </c>
      <c r="G6" s="6" t="inlineStr">
        <is>
          <t>具体界面的业务逻辑和普通组件调用</t>
        </is>
      </c>
      <c r="H6" s="6" t="n">
        <v>2</v>
      </c>
      <c r="I6" s="6" t="n">
        <v>1</v>
      </c>
      <c r="J6" s="6" t="n">
        <v>0.5</v>
      </c>
      <c r="K6" s="6" t="inlineStr">
        <is>
          <t>单一基础组件；状态和样式少；沿用现有设计规范</t>
        </is>
      </c>
      <c r="L6" s="6" t="inlineStr">
        <is>
          <t>一个组件及其紧密相关的状态变体；需要响应式、主题或无障碍适配</t>
        </is>
      </c>
      <c r="M6" s="6" t="inlineStr">
        <is>
          <t>复杂组合组件；自定义交互和状态管理；跨应用使用；涉及版本兼容或扩展机制</t>
        </is>
      </c>
      <c r="N6" s="6" t="inlineStr">
        <is>
          <t>包含多个可独立发布的组件，或需要建设完整组件库、设计规范体系</t>
        </is>
      </c>
      <c r="P6" s="6" t="inlineStr">
        <is>
          <t>K_COMPLEXITY_M</t>
        </is>
      </c>
      <c r="Q6" s="6" t="inlineStr">
        <is>
          <t>M档复杂度系数</t>
        </is>
      </c>
      <c r="R6" s="6" t="n">
        <v>1</v>
      </c>
      <c r="S6" s="6" t="inlineStr">
        <is>
          <t>倍</t>
        </is>
      </c>
      <c r="T6" s="6" t="inlineStr">
        <is>
          <t>任务人天</t>
        </is>
      </c>
      <c r="U6" s="6" t="inlineStr">
        <is>
          <t>固定规则</t>
        </is>
      </c>
    </row>
    <row r="7" ht="48" customHeight="1">
      <c r="A7" s="6" t="inlineStr">
        <is>
          <t>TF-BACKEND</t>
        </is>
      </c>
      <c r="B7" s="6" t="inlineStr">
        <is>
          <t>后端</t>
        </is>
      </c>
      <c r="C7" s="6" t="inlineStr">
        <is>
          <t>BU-BUSINESS-SERVICE-API</t>
        </is>
      </c>
      <c r="D7" s="6" t="inlineStr">
        <is>
          <t>业务服务与接口</t>
        </is>
      </c>
      <c r="E7" s="6" t="inlineStr">
        <is>
          <t>一个业务操作及其直接相关的一组接口</t>
        </is>
      </c>
      <c r="F7" s="6" t="inlineStr">
        <is>
          <t>接口约定、业务校验、事务、权限、异常处理和单元验证</t>
        </is>
      </c>
      <c r="G7" s="6" t="inlineStr">
        <is>
          <t>前端界面和独立系统对接</t>
        </is>
      </c>
      <c r="H7" s="6" t="n">
        <v>2.5</v>
      </c>
      <c r="I7" s="6" t="n">
        <v>1.5</v>
      </c>
      <c r="J7" s="6" t="inlineStr">
        <is>
          <t>❌</t>
        </is>
      </c>
      <c r="K7" s="6" t="inlineStr">
        <is>
          <t>单个业务对象的增删改查；简单规则；单一事务；标准权限</t>
        </is>
      </c>
      <c r="L7" s="6" t="inlineStr">
        <is>
          <t>一个业务操作涉及多个业务对象；多条业务规则；异步处理或多角色权限</t>
        </is>
      </c>
      <c r="M7" s="6" t="inlineStr">
        <is>
          <t>单个业务操作需要跨服务编排、复杂状态机、幂等补偿、高并发或严格一致性</t>
        </is>
      </c>
      <c r="N7" s="6" t="inlineStr">
        <is>
          <t>包含多个可独立验收的业务操作，或需要跨多个服务分别交付</t>
        </is>
      </c>
      <c r="P7" s="6" t="inlineStr">
        <is>
          <t>K_COMPLEXITY_L</t>
        </is>
      </c>
      <c r="Q7" s="6" t="inlineStr">
        <is>
          <t>L档复杂度系数</t>
        </is>
      </c>
      <c r="R7" s="6" t="n">
        <v>1.5</v>
      </c>
      <c r="S7" s="6" t="inlineStr">
        <is>
          <t>倍</t>
        </is>
      </c>
      <c r="T7" s="6" t="inlineStr">
        <is>
          <t>任务人天</t>
        </is>
      </c>
      <c r="U7" s="6" t="inlineStr">
        <is>
          <t>固定规则</t>
        </is>
      </c>
    </row>
    <row r="8" ht="48" customHeight="1">
      <c r="A8" s="6" t="inlineStr">
        <is>
          <t>TF-BACKEND</t>
        </is>
      </c>
      <c r="B8" s="6" t="inlineStr">
        <is>
          <t>后端</t>
        </is>
      </c>
      <c r="C8" s="6" t="inlineStr">
        <is>
          <t>BU-BACKGROUND-JOB</t>
        </is>
      </c>
      <c r="D8" s="6" t="inlineStr">
        <is>
          <t>后台任务</t>
        </is>
      </c>
      <c r="E8" s="6" t="inlineStr">
        <is>
          <t>一个可独立调度、运行和恢复的后台任务</t>
        </is>
      </c>
      <c r="F8" s="6" t="inlineStr">
        <is>
          <t>调度入口、批次处理、幂等重试、失败恢复、运行记录和自测</t>
        </is>
      </c>
      <c r="G8" s="6" t="inlineStr">
        <is>
          <t>通用调度平台建设</t>
        </is>
      </c>
      <c r="H8" s="6" t="n">
        <v>2.5</v>
      </c>
      <c r="I8" s="6" t="n">
        <v>1.5</v>
      </c>
      <c r="J8" s="6" t="inlineStr">
        <is>
          <t>❌</t>
        </is>
      </c>
      <c r="K8" s="6" t="inlineStr">
        <is>
          <t>单源单目标；简单调度；小数据量</t>
        </is>
      </c>
      <c r="L8" s="6" t="inlineStr">
        <is>
          <t>多步骤依赖；重试续跑；中等数据量；需要监控</t>
        </is>
      </c>
      <c r="M8" s="6" t="inlineStr">
        <is>
          <t>分片并行；严格批次窗口；断点恢复；大数据量或复杂补偿</t>
        </is>
      </c>
      <c r="N8" s="6" t="inlineStr">
        <is>
          <t>包含多个可独立调度的任务，或需要建设调度平台本身</t>
        </is>
      </c>
      <c r="P8" s="6" t="inlineStr">
        <is>
          <t>K_UAT</t>
        </is>
      </c>
      <c r="Q8" s="6" t="inlineStr">
        <is>
          <t>UAT支持系数</t>
        </is>
      </c>
      <c r="R8" s="6" t="n">
        <v>0.05</v>
      </c>
      <c r="S8" s="6" t="inlineStr">
        <is>
          <t>%</t>
        </is>
      </c>
      <c r="T8" s="6" t="inlineStr">
        <is>
          <t>显式标记 UAT 适用的故事直接人天</t>
        </is>
      </c>
      <c r="U8" s="6" t="inlineStr">
        <is>
          <t>待样本校准</t>
        </is>
      </c>
    </row>
    <row r="9" ht="48" customHeight="1">
      <c r="A9" s="6" t="inlineStr">
        <is>
          <t>TF-BACKEND</t>
        </is>
      </c>
      <c r="B9" s="6" t="inlineStr">
        <is>
          <t>后端</t>
        </is>
      </c>
      <c r="C9" s="6" t="inlineStr">
        <is>
          <t>BU-EVENT-MESSAGE</t>
        </is>
      </c>
      <c r="D9" s="6" t="inlineStr">
        <is>
          <t>事件与消息处理</t>
        </is>
      </c>
      <c r="E9" s="6" t="inlineStr">
        <is>
          <t>一个事件方向下的一类消息及其处理流程</t>
        </is>
      </c>
      <c r="F9" s="6" t="inlineStr">
        <is>
          <t>消息格式和约定、发送与接收、路由、幂等、重试、死信处理、追踪和自测</t>
        </is>
      </c>
      <c r="G9" s="6" t="inlineStr">
        <is>
          <t>消息平台本身建设</t>
        </is>
      </c>
      <c r="H9" s="6" t="n">
        <v>3</v>
      </c>
      <c r="I9" s="6" t="n">
        <v>2</v>
      </c>
      <c r="J9" s="6" t="inlineStr">
        <is>
          <t>❌</t>
        </is>
      </c>
      <c r="K9" s="6" t="inlineStr">
        <is>
          <t>单生产者、单消费者；简单映射；允许重复</t>
        </is>
      </c>
      <c r="L9" s="6" t="inlineStr">
        <is>
          <t>单一事件方向下存在多个相关操作或消费者；需要顺序、重试、幂等或死信处理</t>
        </is>
      </c>
      <c r="M9" s="6" t="inlineStr">
        <is>
          <t>单一事件方向需要分布式事务、版本兼容、高吞吐或跨地域处理</t>
        </is>
      </c>
      <c r="N9" s="6" t="inlineStr">
        <is>
          <t>包含多个独立事件方向或消息类别，或需要建设消息平台本身</t>
        </is>
      </c>
      <c r="P9" s="6" t="inlineStr">
        <is>
          <t>SIT_INT_SUPPORT</t>
        </is>
      </c>
      <c r="Q9" s="6" t="inlineStr">
        <is>
          <t>内部集成点SIT支持</t>
        </is>
      </c>
      <c r="R9" s="6" t="n">
        <v>0.5</v>
      </c>
      <c r="S9" s="6" t="inlineStr">
        <is>
          <t>人天/点</t>
        </is>
      </c>
      <c r="T9" s="6" t="inlineStr">
        <is>
          <t>开发交付估算</t>
        </is>
      </c>
      <c r="U9" s="6" t="inlineStr">
        <is>
          <t>待样本校准</t>
        </is>
      </c>
    </row>
    <row r="10" ht="48" customHeight="1">
      <c r="A10" s="6" t="inlineStr">
        <is>
          <t>TF-DATA-REPORTING</t>
        </is>
      </c>
      <c r="B10" s="6" t="inlineStr">
        <is>
          <t>数据与报表</t>
        </is>
      </c>
      <c r="C10" s="6" t="inlineStr">
        <is>
          <t>BU-DATA-MODEL</t>
        </is>
      </c>
      <c r="D10" s="6" t="inlineStr">
        <is>
          <t>数据模型与存储结构</t>
        </is>
      </c>
      <c r="E10" s="6" t="inlineStr">
        <is>
          <t>一个业务对象，或一组必须同时演进的紧密相关对象</t>
        </is>
      </c>
      <c r="F10" s="6" t="inlineStr">
        <is>
          <t>存储结构、关系、约束、索引、访问层和结构演进验证</t>
        </is>
      </c>
      <c r="G10" s="6" t="inlineStr">
        <is>
          <t>批量业务数据迁移</t>
        </is>
      </c>
      <c r="H10" s="6" t="n">
        <v>2.5</v>
      </c>
      <c r="I10" s="6" t="n">
        <v>1.5</v>
      </c>
      <c r="J10" s="6" t="inlineStr">
        <is>
          <t>❌</t>
        </is>
      </c>
      <c r="K10" s="6" t="inlineStr">
        <is>
          <t>1～2 个对象；简单关系和索引</t>
        </is>
      </c>
      <c r="L10" s="6" t="inlineStr">
        <is>
          <t>一组必须同时演进的 3～6 个相关对象；多约束、索引和结构迁移</t>
        </is>
      </c>
      <c r="M10" s="6" t="inlineStr">
        <is>
          <t>单一对象组存在复杂层级或图关系、分区分片、历史版本或零停机结构演进</t>
        </is>
      </c>
      <c r="N10" s="6" t="inlineStr">
        <is>
          <t>包含多个可独立演进的业务对象组，或需要整体重构存储架构</t>
        </is>
      </c>
      <c r="P10" s="6" t="inlineStr">
        <is>
          <t>SIT_EXT_SUPPORT</t>
        </is>
      </c>
      <c r="Q10" s="6" t="inlineStr">
        <is>
          <t>外部集成点SIT支持</t>
        </is>
      </c>
      <c r="R10" s="6" t="n">
        <v>1</v>
      </c>
      <c r="S10" s="6" t="inlineStr">
        <is>
          <t>人天/点</t>
        </is>
      </c>
      <c r="T10" s="6" t="inlineStr">
        <is>
          <t>开发交付估算</t>
        </is>
      </c>
      <c r="U10" s="6" t="inlineStr">
        <is>
          <t>待样本校准</t>
        </is>
      </c>
    </row>
    <row r="11" ht="48" customHeight="1">
      <c r="A11" s="6" t="inlineStr">
        <is>
          <t>TF-DATA-REPORTING</t>
        </is>
      </c>
      <c r="B11" s="6" t="inlineStr">
        <is>
          <t>数据与报表</t>
        </is>
      </c>
      <c r="C11" s="6" t="inlineStr">
        <is>
          <t>BU-REPORT-METRIC</t>
        </is>
      </c>
      <c r="D11" s="6" t="inlineStr">
        <is>
          <t>报表与指标</t>
        </is>
      </c>
      <c r="E11" s="6" t="inlineStr">
        <is>
          <t>一张可独立验收的报表，或一组使用同一数据口径的紧密相关指标</t>
        </is>
      </c>
      <c r="F11" s="6" t="inlineStr">
        <is>
          <t>指标口径、查询聚合、筛选钻取、权限、展示、导出和结果校验</t>
        </is>
      </c>
      <c r="G11" s="6" t="inlineStr">
        <is>
          <t>新增数据采集流程</t>
        </is>
      </c>
      <c r="H11" s="6" t="n">
        <v>2</v>
      </c>
      <c r="I11" s="6" t="n">
        <v>1.5</v>
      </c>
      <c r="J11" s="6" t="inlineStr">
        <is>
          <t>❌</t>
        </is>
      </c>
      <c r="K11" s="6" t="inlineStr">
        <is>
          <t>单一来源；简单汇总；固定筛选</t>
        </is>
      </c>
      <c r="L11" s="6" t="inlineStr">
        <is>
          <t>一张报表或一组同口径指标需要多表关联、计算、钻取或按角色过滤</t>
        </is>
      </c>
      <c r="M11" s="6" t="inlineStr">
        <is>
          <t>单一验收范围需要统一多个来源口径、复杂计算、近实时、大数据量或严格审计</t>
        </is>
      </c>
      <c r="N11" s="6" t="inlineStr">
        <is>
          <t>包含多张可独立验收的报表，或多组相互独立的指标口径</t>
        </is>
      </c>
      <c r="P11" s="6" t="inlineStr">
        <is>
          <t>ROUND_STORY</t>
        </is>
      </c>
      <c r="Q11" s="6" t="inlineStr">
        <is>
          <t>故事取整粒度</t>
        </is>
      </c>
      <c r="R11" s="6" t="n">
        <v>0.5</v>
      </c>
      <c r="S11" s="6" t="inlineStr">
        <is>
          <t>人天</t>
        </is>
      </c>
      <c r="T11" s="6" t="inlineStr">
        <is>
          <t>任务合计后向上取整</t>
        </is>
      </c>
      <c r="U11" s="6" t="inlineStr">
        <is>
          <t>固定规则</t>
        </is>
      </c>
    </row>
    <row r="12" ht="48" customHeight="1">
      <c r="A12" s="6" t="inlineStr">
        <is>
          <t>TF-DATA-REPORTING</t>
        </is>
      </c>
      <c r="B12" s="6" t="inlineStr">
        <is>
          <t>数据与报表</t>
        </is>
      </c>
      <c r="C12" s="6" t="inlineStr">
        <is>
          <t>BU-DATA-PIPELINE</t>
        </is>
      </c>
      <c r="D12" s="6" t="inlineStr">
        <is>
          <t>数据处理流程</t>
        </is>
      </c>
      <c r="E12" s="6" t="inlineStr">
        <is>
          <t>一条可独立运行和验证的源到目标处理流程</t>
        </is>
      </c>
      <c r="F12" s="6" t="inlineStr">
        <is>
          <t>抽取、映射、转换、质量校验、调度、重试恢复和监控</t>
        </is>
      </c>
      <c r="G12" s="6" t="inlineStr">
        <is>
          <t>一次性数据迁移和发布切换</t>
        </is>
      </c>
      <c r="H12" s="6" t="n">
        <v>2.5</v>
      </c>
      <c r="I12" s="6" t="n">
        <v>1.5</v>
      </c>
      <c r="J12" s="6" t="inlineStr">
        <is>
          <t>❌</t>
        </is>
      </c>
      <c r="K12" s="6" t="inlineStr">
        <is>
          <t>单源单目标；简单映射；全量处理</t>
        </is>
      </c>
      <c r="L12" s="6" t="inlineStr">
        <is>
          <t>一条流程包含多步转换、增量处理、质量规则和调度依赖</t>
        </is>
      </c>
      <c r="M12" s="6" t="inlineStr">
        <is>
          <t>单一流程涉及多源血缘、CDC、流批结合、回放补数或严格时效</t>
        </is>
      </c>
      <c r="N12" s="6" t="inlineStr">
        <is>
          <t>包含多条可独立调度的处理流程，或需要建设数据处理平台本身</t>
        </is>
      </c>
      <c r="P12" s="6" t="inlineStr">
        <is>
          <t>ROUND_PROJECT</t>
        </is>
      </c>
      <c r="Q12" s="6" t="inlineStr">
        <is>
          <t>项目级取整粒度</t>
        </is>
      </c>
      <c r="R12" s="6" t="n">
        <v>0.5</v>
      </c>
      <c r="S12" s="6" t="inlineStr">
        <is>
          <t>人天</t>
        </is>
      </c>
      <c r="T12" s="6" t="inlineStr">
        <is>
          <t>SIT、UAT分别向上取整；总计不再次取整</t>
        </is>
      </c>
      <c r="U12" s="6" t="inlineStr">
        <is>
          <t>固定规则</t>
        </is>
      </c>
    </row>
    <row r="13" ht="48" customHeight="1">
      <c r="A13" s="6" t="inlineStr">
        <is>
          <t>TF-SYSTEM-INTEGRATION</t>
        </is>
      </c>
      <c r="B13" s="6" t="inlineStr">
        <is>
          <t>系统集成</t>
        </is>
      </c>
      <c r="C13" s="6" t="inlineStr">
        <is>
          <t>BU-INTERNAL-INTEGRATION</t>
        </is>
      </c>
      <c r="D13" s="6" t="inlineStr">
        <is>
          <t>内部系统对接</t>
        </is>
      </c>
      <c r="E13" s="6" t="inlineStr">
        <is>
          <t>一个集成记录所定义的单一交互方向</t>
        </is>
      </c>
      <c r="F13" s="6" t="inlineStr">
        <is>
          <t>接口定义、认证、数据转换与适配、幂等重试、异常处理和基本联调</t>
        </is>
      </c>
      <c r="G13" s="6" t="inlineStr">
        <is>
          <t>对端系统改造和另行开展的系统集成测试</t>
        </is>
      </c>
      <c r="H13" s="6" t="n">
        <v>2</v>
      </c>
      <c r="I13" s="6" t="n">
        <v>1.5</v>
      </c>
      <c r="J13" s="6" t="n">
        <v>1</v>
      </c>
      <c r="K13" s="6" t="inlineStr">
        <is>
          <t>同组织；稳定接口；单向；简单映射</t>
        </is>
      </c>
      <c r="L13" s="6" t="inlineStr">
        <is>
          <t>一个交互方向包含多个相关操作；跨团队；需要认证、重试或版本管理</t>
        </is>
      </c>
      <c r="M13" s="6" t="inlineStr">
        <is>
          <t>单一交互方向跨业务域；复杂一致性；联合发布或严格 SLA</t>
        </is>
      </c>
      <c r="N13" s="6" t="inlineStr">
        <is>
          <t>包含多个集成记录、多个交互方向，或对端系统改造也在本项目范围内</t>
        </is>
      </c>
    </row>
    <row r="14" ht="48" customHeight="1">
      <c r="A14" s="6" t="inlineStr">
        <is>
          <t>TF-SYSTEM-INTEGRATION</t>
        </is>
      </c>
      <c r="B14" s="6" t="inlineStr">
        <is>
          <t>系统集成</t>
        </is>
      </c>
      <c r="C14" s="6" t="inlineStr">
        <is>
          <t>BU-EXTERNAL-INTEGRATION</t>
        </is>
      </c>
      <c r="D14" s="6" t="inlineStr">
        <is>
          <t>外部系统对接</t>
        </is>
      </c>
      <c r="E14" s="6" t="inlineStr">
        <is>
          <t>一个集成记录所定义的单一交互方向</t>
        </is>
      </c>
      <c r="F14" s="6" t="inlineStr">
        <is>
          <t>外部接口定义、连接认证、数据转换与适配、幂等重试、异常处理、环境配置和基本联调</t>
        </is>
      </c>
      <c r="G14" s="6" t="inlineStr">
        <is>
          <t>外部方实现和另行开展的系统集成测试</t>
        </is>
      </c>
      <c r="H14" s="6" t="n">
        <v>3</v>
      </c>
      <c r="I14" s="6" t="n">
        <v>2</v>
      </c>
      <c r="J14" s="6" t="n">
        <v>2</v>
      </c>
      <c r="K14" s="6" t="inlineStr">
        <is>
          <t>文档完整；标准协议和认证；单向</t>
        </is>
      </c>
      <c r="L14" s="6" t="inlineStr">
        <is>
          <t>一个交互方向包含多个相关接口；复杂映射；幂等重试；依赖外部测试环境</t>
        </is>
      </c>
      <c r="M14" s="6" t="inlineStr">
        <is>
          <t>单一交互方向使用专有协议；复杂对账；多方协调；严格安全、性能或可用性</t>
        </is>
      </c>
      <c r="N14" s="6" t="inlineStr">
        <is>
          <t>包含多个集成记录、多个交互方向，或外部方实现也计入本项目范围</t>
        </is>
      </c>
    </row>
    <row r="15" ht="48" customHeight="1">
      <c r="A15" s="6" t="inlineStr">
        <is>
          <t>TF-QUALITY</t>
        </is>
      </c>
      <c r="B15" s="6" t="inlineStr">
        <is>
          <t>质量验证</t>
        </is>
      </c>
      <c r="C15" s="6" t="inlineStr">
        <is>
          <t>BU-MANUAL-TESTING</t>
        </is>
      </c>
      <c r="D15" s="6" t="inlineStr">
        <is>
          <t>人工测试</t>
        </is>
      </c>
      <c r="E15" s="6" t="inlineStr">
        <is>
          <t>约 10 条紧密相关的测试场景，或一个可独立出具结果的测试范围</t>
        </is>
      </c>
      <c r="F15" s="6" t="inlineStr">
        <is>
          <t>场景设计、测试数据、步骤与预期、执行、缺陷复测和结果记录</t>
        </is>
      </c>
      <c r="G15" s="6" t="inlineStr">
        <is>
          <t>自动化脚本实现</t>
        </is>
      </c>
      <c r="H15" s="6" t="n">
        <v>1.5</v>
      </c>
      <c r="I15" s="6" t="n">
        <v>1</v>
      </c>
      <c r="J15" s="6" t="inlineStr">
        <is>
          <t>❌</t>
        </is>
      </c>
      <c r="K15" s="6" t="inlineStr">
        <is>
          <t>约 10 条线性场景；单角色；环境和数据稳定</t>
        </is>
      </c>
      <c r="L15" s="6" t="inlineStr">
        <is>
          <t>约 10 条场景中存在多分支、多角色、跨模块或专门数据准备</t>
        </is>
      </c>
      <c r="M15" s="6" t="inlineStr">
        <is>
          <t>单一测试范围涉及跨系统异步、复杂权限或数据矩阵，并需要合规证据</t>
        </is>
      </c>
      <c r="N15" s="6" t="inlineStr">
        <is>
          <t>场景明显超过约 10 条，且可以分成多个独立测试范围</t>
        </is>
      </c>
    </row>
    <row r="16" ht="48" customHeight="1">
      <c r="A16" s="6" t="inlineStr">
        <is>
          <t>TF-QUALITY</t>
        </is>
      </c>
      <c r="B16" s="6" t="inlineStr">
        <is>
          <t>质量验证</t>
        </is>
      </c>
      <c r="C16" s="6" t="inlineStr">
        <is>
          <t>BU-AUTOMATION-FRAMEWORK</t>
        </is>
      </c>
      <c r="D16" s="6" t="inlineStr">
        <is>
          <t>自动化测试框架</t>
        </is>
      </c>
      <c r="E16" s="6" t="inlineStr">
        <is>
          <t>一个应用或一类测试层级的自动化测试框架</t>
        </is>
      </c>
      <c r="F16" s="6" t="inlineStr">
        <is>
          <t>框架初始化、环境、测试数据准备、模拟服务、报告、CI 接入和示例流程</t>
        </is>
      </c>
      <c r="G16" s="6" t="inlineStr">
        <is>
          <t>大批量业务测试用例</t>
        </is>
      </c>
      <c r="H16" s="6" t="n">
        <v>4</v>
      </c>
      <c r="I16" s="6" t="n">
        <v>2.5</v>
      </c>
      <c r="J16" s="6" t="n">
        <v>2</v>
      </c>
      <c r="K16" s="6" t="inlineStr">
        <is>
          <t>标准技术栈；单应用；基础 CI 执行</t>
        </is>
      </c>
      <c r="L16" s="6" t="inlineStr">
        <is>
          <t>单应用包含 UI 与 API 多层、测试数据准备、报告和并行执行</t>
        </is>
      </c>
      <c r="M16" s="6" t="inlineStr">
        <is>
          <t>单应用需要多平台、服务虚拟化、大规模并行或复杂环境隔离</t>
        </is>
      </c>
      <c r="N16" s="6" t="inlineStr">
        <is>
          <t>包含多个应用，或多类彼此独立的自动化测试框架</t>
        </is>
      </c>
    </row>
    <row r="17" ht="48" customHeight="1">
      <c r="A17" s="6" t="inlineStr">
        <is>
          <t>TF-QUALITY</t>
        </is>
      </c>
      <c r="B17" s="6" t="inlineStr">
        <is>
          <t>质量验证</t>
        </is>
      </c>
      <c r="C17" s="6" t="inlineStr">
        <is>
          <t>BU-AUTOMATION-CASES</t>
        </is>
      </c>
      <c r="D17" s="6" t="inlineStr">
        <is>
          <t>自动化测试用例</t>
        </is>
      </c>
      <c r="E17" s="6" t="inlineStr">
        <is>
          <t>约 10 条紧密相关且可重复执行的自动化场景</t>
        </is>
      </c>
      <c r="F17" s="6" t="inlineStr">
        <is>
          <t>相关自动化场景、测试数据准备、检查条件、执行和结果接入</t>
        </is>
      </c>
      <c r="G17" s="6" t="inlineStr">
        <is>
          <t>自动化测试框架建设</t>
        </is>
      </c>
      <c r="H17" s="6" t="n">
        <v>2</v>
      </c>
      <c r="I17" s="6" t="n">
        <v>1.5</v>
      </c>
      <c r="J17" s="6" t="inlineStr">
        <is>
          <t>❌</t>
        </is>
      </c>
      <c r="K17" s="6" t="inlineStr">
        <is>
          <t>约 10 条稳定 API 或简单 UI 场景；固定测试数据</t>
        </is>
      </c>
      <c r="L17" s="6" t="inlineStr">
        <is>
          <t>约 10 条场景存在分支流程、动态数据、异步等待或模拟外部依赖</t>
        </is>
      </c>
      <c r="M17" s="6" t="inlineStr">
        <is>
          <t>单一场景组贯穿多个系统，存在复杂流程协同、外部依赖或非功能检查</t>
        </is>
      </c>
      <c r="N17" s="6" t="inlineStr">
        <is>
          <t>场景明显超过约 10 条，或可以分成多个独立场景组</t>
        </is>
      </c>
    </row>
    <row r="18" ht="48" customHeight="1">
      <c r="A18" s="6" t="inlineStr">
        <is>
          <t>TF-QUALITY</t>
        </is>
      </c>
      <c r="B18" s="6" t="inlineStr">
        <is>
          <t>质量验证</t>
        </is>
      </c>
      <c r="C18" s="6" t="inlineStr">
        <is>
          <t>BU-PERFORMANCE-TESTING</t>
        </is>
      </c>
      <c r="D18" s="6" t="inlineStr">
        <is>
          <t>性能与容量测试</t>
        </is>
      </c>
      <c r="E18" s="6" t="inlineStr">
        <is>
          <t>一个可独立出具结论的负载模型或测试范围</t>
        </is>
      </c>
      <c r="F18" s="6" t="inlineStr">
        <is>
          <t>负载模型、脚本、数据、执行、指标分析和报告</t>
        </is>
      </c>
      <c r="G18" s="6" t="inlineStr">
        <is>
          <t>性能问题修复和生产扩容实施</t>
        </is>
      </c>
      <c r="H18" s="6" t="n">
        <v>2.5</v>
      </c>
      <c r="I18" s="6" t="n">
        <v>1.5</v>
      </c>
      <c r="J18" s="6" t="inlineStr">
        <is>
          <t>❌</t>
        </is>
      </c>
      <c r="K18" s="6" t="inlineStr">
        <is>
          <t>单接口或界面；单一负载模型；标准阈值</t>
        </is>
      </c>
      <c r="L18" s="6" t="inlineStr">
        <is>
          <t>一个负载模型包含多场景、多指标、代表性数据和调优复测</t>
        </is>
      </c>
      <c r="M18" s="6" t="inlineStr">
        <is>
          <t>单一测试范围涉及分布式链路、峰值和长稳模型、容量评估或生产级数据规模</t>
        </is>
      </c>
      <c r="N18" s="6" t="inlineStr">
        <is>
          <t>包含多个独立负载模型，或需要长期专项调优</t>
        </is>
      </c>
    </row>
    <row r="19" ht="48" customHeight="1">
      <c r="A19" s="6" t="inlineStr">
        <is>
          <t>TF-QUALITY</t>
        </is>
      </c>
      <c r="B19" s="6" t="inlineStr">
        <is>
          <t>质量验证</t>
        </is>
      </c>
      <c r="C19" s="6" t="inlineStr">
        <is>
          <t>BU-SECURITY-PRIVACY-TESTING</t>
        </is>
      </c>
      <c r="D19" s="6" t="inlineStr">
        <is>
          <t>安全与隐私测试</t>
        </is>
      </c>
      <c r="E19" s="6" t="inlineStr">
        <is>
          <t>一个应用或一条数据流的专项测试范围</t>
        </is>
      </c>
      <c r="F19" s="6" t="inlineStr">
        <is>
          <t>测试范围、测试用例或工具配置、执行、证据和报告</t>
        </is>
      </c>
      <c r="G19" s="6" t="inlineStr">
        <is>
          <t>安全问题整改</t>
        </is>
      </c>
      <c r="H19" s="6" t="n">
        <v>3</v>
      </c>
      <c r="I19" s="6" t="n">
        <v>2</v>
      </c>
      <c r="J19" s="6" t="inlineStr">
        <is>
          <t>❌</t>
        </is>
      </c>
      <c r="K19" s="6" t="inlineStr">
        <is>
          <t>标准扫描；单应用；常见配置检查</t>
        </is>
      </c>
      <c r="L19" s="6" t="inlineStr">
        <is>
          <t>认证授权、API 和数据流专项验证；部分人工检查</t>
        </is>
      </c>
      <c r="M19" s="6" t="inlineStr">
        <is>
          <t>高敏感数据；威胁建模；较深人工验证；需要较强合规证据</t>
        </is>
      </c>
      <c r="N19" s="6" t="inlineStr">
        <is>
          <t>需要由独立专业团队开展正式渗透测试或认证，或包含多个独立测试范围</t>
        </is>
      </c>
    </row>
    <row r="20" ht="48" customHeight="1">
      <c r="A20" s="6" t="inlineStr">
        <is>
          <t>TF-QUALITY</t>
        </is>
      </c>
      <c r="B20" s="6" t="inlineStr">
        <is>
          <t>质量验证</t>
        </is>
      </c>
      <c r="C20" s="6" t="inlineStr">
        <is>
          <t>BU-COMPATIBILITY-ACCESSIBILITY-TESTING</t>
        </is>
      </c>
      <c r="D20" s="6" t="inlineStr">
        <is>
          <t>兼容性与无障碍测试</t>
        </is>
      </c>
      <c r="E20" s="6" t="inlineStr">
        <is>
          <t>一个明确的兼容矩阵或无障碍检查范围</t>
        </is>
      </c>
      <c r="F20" s="6" t="inlineStr">
        <is>
          <t>兼容范围或无障碍标准、场景、执行、问题和证据</t>
        </is>
      </c>
      <c r="G20" s="6" t="inlineStr">
        <is>
          <t>产品问题修复</t>
        </is>
      </c>
      <c r="H20" s="6" t="n">
        <v>2</v>
      </c>
      <c r="I20" s="6" t="n">
        <v>1.5</v>
      </c>
      <c r="J20" s="6" t="inlineStr">
        <is>
          <t>❌</t>
        </is>
      </c>
      <c r="K20" s="6" t="inlineStr">
        <is>
          <t>单浏览器或设备；标准检查</t>
        </is>
      </c>
      <c r="L20" s="6" t="inlineStr">
        <is>
          <t>一个明确矩阵内的多浏览器或设备、响应式、键盘和读屏验证</t>
        </is>
      </c>
      <c r="M20" s="6" t="inlineStr">
        <is>
          <t>单一产品范围涉及较大兼容矩阵、遗留环境或较深入的无障碍检查</t>
        </is>
      </c>
      <c r="N20" s="6" t="inlineStr">
        <is>
          <t>包含多个独立产品或平台矩阵，或需要正式无障碍审计</t>
        </is>
      </c>
    </row>
    <row r="21" ht="48" customHeight="1">
      <c r="A21" s="6" t="inlineStr">
        <is>
          <t>TF-SHARED-TECH</t>
        </is>
      </c>
      <c r="B21" s="6" t="inlineStr">
        <is>
          <t>共性技术能力</t>
        </is>
      </c>
      <c r="C21" s="6" t="inlineStr">
        <is>
          <t>BU-I18N</t>
        </is>
      </c>
      <c r="D21" s="6" t="inlineStr">
        <is>
          <t>国际化支持</t>
        </is>
      </c>
      <c r="E21" s="6" t="inlineStr">
        <is>
          <t>一个应用或一个可独立发布的模块</t>
        </is>
      </c>
      <c r="F21" s="6" t="inlineStr">
        <is>
          <t>资源组织、语言切换、格式化、回退、伪本地化和基本验证</t>
        </is>
      </c>
      <c r="G21" s="6" t="inlineStr">
        <is>
          <t>业务内容翻译</t>
        </is>
      </c>
      <c r="H21" s="6" t="n">
        <v>3</v>
      </c>
      <c r="I21" s="6" t="n">
        <v>1.5</v>
      </c>
      <c r="J21" s="6" t="n">
        <v>1</v>
      </c>
      <c r="K21" s="6" t="inlineStr">
        <is>
          <t>资源提取；单一新增语言；标准格式</t>
        </is>
      </c>
      <c r="L21" s="6" t="inlineStr">
        <is>
          <t>一个应用或模块涉及复数、日期、货币和本地内容差异</t>
        </is>
      </c>
      <c r="M21" s="6" t="inlineStr">
        <is>
          <t>单一应用或模块涉及多语言工作流、从右向左书写、大量硬编码改造或动态内容</t>
        </is>
      </c>
      <c r="N21" s="6" t="inlineStr">
        <is>
          <t>包含多个可独立发布的应用或模块</t>
        </is>
      </c>
    </row>
    <row r="22" ht="48" customHeight="1">
      <c r="A22" s="6" t="inlineStr">
        <is>
          <t>TF-SHARED-TECH</t>
        </is>
      </c>
      <c r="B22" s="6" t="inlineStr">
        <is>
          <t>共性技术能力</t>
        </is>
      </c>
      <c r="C22" s="6" t="inlineStr">
        <is>
          <t>BU-IDENTITY-ACCESS</t>
        </is>
      </c>
      <c r="D22" s="6" t="inlineStr">
        <is>
          <t>身份与权限管理</t>
        </is>
      </c>
      <c r="E22" s="6" t="inlineStr">
        <is>
          <t>一个资源范围内的一组角色、权限和策略</t>
        </is>
      </c>
      <c r="F22" s="6" t="inlineStr">
        <is>
          <t>角色、策略、授权规则、配置、审计挂接和权限验证</t>
        </is>
      </c>
      <c r="G22" s="6" t="inlineStr">
        <is>
          <t>独立身份系统对接</t>
        </is>
      </c>
      <c r="H22" s="6" t="n">
        <v>3</v>
      </c>
      <c r="I22" s="6" t="n">
        <v>2</v>
      </c>
      <c r="J22" s="6" t="n">
        <v>1.5</v>
      </c>
      <c r="K22" s="6" t="inlineStr">
        <is>
          <t>少量角色；标准 RBAC；单应用</t>
        </is>
      </c>
      <c r="L22" s="6" t="inlineStr">
        <is>
          <t>单一资源范围存在多角色、多资源或租户，并接入统一身份平台</t>
        </is>
      </c>
      <c r="M22" s="6" t="inlineStr">
        <is>
          <t>单一资源范围涉及 ABAC、委托授权、职责分离或跨系统权限一致性</t>
        </is>
      </c>
      <c r="N22" s="6" t="inlineStr">
        <is>
          <t>包含多个独立资源域，或需要改造统一身份平台本身</t>
        </is>
      </c>
    </row>
    <row r="23" ht="48" customHeight="1">
      <c r="A23" s="6" t="inlineStr">
        <is>
          <t>TF-SHARED-TECH</t>
        </is>
      </c>
      <c r="B23" s="6" t="inlineStr">
        <is>
          <t>共性技术能力</t>
        </is>
      </c>
      <c r="C23" s="6" t="inlineStr">
        <is>
          <t>BU-SECURITY-PRIVACY</t>
        </is>
      </c>
      <c r="D23" s="6" t="inlineStr">
        <is>
          <t>安全与隐私保护</t>
        </is>
      </c>
      <c r="E23" s="6" t="inlineStr">
        <is>
          <t>一条数据流或一个明确的数据处理范围</t>
        </is>
      </c>
      <c r="F23" s="6" t="inlineStr">
        <is>
          <t>加密、脱敏、同意、留存或访问控制的实现、配置和基本验证</t>
        </is>
      </c>
      <c r="G23" s="6" t="inlineStr">
        <is>
          <t>另行开展的安全与隐私测试或认证</t>
        </is>
      </c>
      <c r="H23" s="6" t="n">
        <v>3</v>
      </c>
      <c r="I23" s="6" t="n">
        <v>2</v>
      </c>
      <c r="J23" s="6" t="n">
        <v>1.5</v>
      </c>
      <c r="K23" s="6" t="inlineStr">
        <is>
          <t>单一数据流；标准加密、脱敏或访问控制</t>
        </is>
      </c>
      <c r="L23" s="6" t="inlineStr">
        <is>
          <t>单一处理范围存在多跳数据流、数据分级、同意和审计要求</t>
        </is>
      </c>
      <c r="M23" s="6" t="inlineStr">
        <is>
          <t>单一处理范围涉及高敏感数据、跨境、复杂密钥管理或强监管要求</t>
        </is>
      </c>
      <c r="N23" s="6" t="inlineStr">
        <is>
          <t>包含多条独立数据流，或需要建设平台级安全能力</t>
        </is>
      </c>
    </row>
    <row r="24" ht="48" customHeight="1">
      <c r="A24" s="6" t="inlineStr">
        <is>
          <t>TF-SHARED-TECH</t>
        </is>
      </c>
      <c r="B24" s="6" t="inlineStr">
        <is>
          <t>共性技术能力</t>
        </is>
      </c>
      <c r="C24" s="6" t="inlineStr">
        <is>
          <t>BU-OBSERVABILITY-AUDIT</t>
        </is>
      </c>
      <c r="D24" s="6" t="inlineStr">
        <is>
          <t>监控、追踪与审计</t>
        </is>
      </c>
      <c r="E24" s="6" t="inlineStr">
        <is>
          <t>一个服务或一条可独立观测的调用链</t>
        </is>
      </c>
      <c r="F24" s="6" t="inlineStr">
        <is>
          <t>日志、指标、追踪、审计事件、关联标识、基础看板、告警和验证</t>
        </is>
      </c>
      <c r="G24" s="6" t="inlineStr">
        <is>
          <t>监控平台建设</t>
        </is>
      </c>
      <c r="H24" s="6" t="n">
        <v>2</v>
      </c>
      <c r="I24" s="6" t="n">
        <v>1.5</v>
      </c>
      <c r="J24" s="6" t="n">
        <v>1</v>
      </c>
      <c r="K24" s="6" t="inlineStr">
        <is>
          <t>标准日志、指标和健康检查</t>
        </is>
      </c>
      <c r="L24" s="6" t="inlineStr">
        <is>
          <t>单一服务或调用链需要分布式追踪、告警、SLO 和审计关联</t>
        </is>
      </c>
      <c r="M24" s="6" t="inlineStr">
        <is>
          <t>单一服务或调用链涉及跨系统关联、高基数、长期留存或合规级防篡改</t>
        </is>
      </c>
      <c r="N24" s="6" t="inlineStr">
        <is>
          <t>包含多个可独立观测的服务或调用链，或需要建设监控平台</t>
        </is>
      </c>
    </row>
    <row r="25" ht="48" customHeight="1">
      <c r="A25" s="6" t="inlineStr">
        <is>
          <t>TF-SHARED-TECH</t>
        </is>
      </c>
      <c r="B25" s="6" t="inlineStr">
        <is>
          <t>共性技术能力</t>
        </is>
      </c>
      <c r="C25" s="6" t="inlineStr">
        <is>
          <t>BU-PERFORMANCE-RELIABILITY</t>
        </is>
      </c>
      <c r="D25" s="6" t="inlineStr">
        <is>
          <t>性能与稳定性保障</t>
        </is>
      </c>
      <c r="E25" s="6" t="inlineStr">
        <is>
          <t>一个组件或一条调用链上的一组保障措施</t>
        </is>
      </c>
      <c r="F25" s="6" t="inlineStr">
        <is>
          <t>缓存、超时、重试、熔断、限流、降级和基本验证</t>
        </is>
      </c>
      <c r="G25" s="6" t="inlineStr">
        <is>
          <t>另行开展的性能与容量测试</t>
        </is>
      </c>
      <c r="H25" s="6" t="n">
        <v>2.5</v>
      </c>
      <c r="I25" s="6" t="n">
        <v>1.5</v>
      </c>
      <c r="J25" s="6" t="n">
        <v>1.5</v>
      </c>
      <c r="K25" s="6" t="inlineStr">
        <is>
          <t>单组件缓存、超时或重试</t>
        </is>
      </c>
      <c r="L25" s="6" t="inlineStr">
        <is>
          <t>单一调用链需要限流、熔断、降级和多个依赖协同</t>
        </is>
      </c>
      <c r="M25" s="6" t="inlineStr">
        <is>
          <t>单一调用链需要复杂限流降级、严格 SLA 或复杂故障恢复</t>
        </is>
      </c>
      <c r="N25" s="6" t="inlineStr">
        <is>
          <t>涉及多级容灾、跨地域，或包含多个可独立治理的调用链</t>
        </is>
      </c>
    </row>
    <row r="26" ht="48" customHeight="1">
      <c r="A26" s="6" t="inlineStr">
        <is>
          <t>TF-SHARED-TECH</t>
        </is>
      </c>
      <c r="B26" s="6" t="inlineStr">
        <is>
          <t>共性技术能力</t>
        </is>
      </c>
      <c r="C26" s="6" t="inlineStr">
        <is>
          <t>BU-SHARED-TECH-COMPONENT</t>
        </is>
      </c>
      <c r="D26" s="6" t="inlineStr">
        <is>
          <t>公共技术组件</t>
        </is>
      </c>
      <c r="E26" s="6" t="inlineStr">
        <is>
          <t>一个可独立发布、版本管理和复用的技术组件</t>
        </is>
      </c>
      <c r="F26" s="6" t="inlineStr">
        <is>
          <t>新建或调整时包括稳定接口、可复用实现或配置、版本、说明和单元验证；接入复用时包括当前项目的依赖引入、注册、配置、适配和验证</t>
        </is>
      </c>
      <c r="G26" s="6" t="inlineStr">
        <is>
          <t>具体业务功能和通用界面组件</t>
        </is>
      </c>
      <c r="H26" s="6" t="n">
        <v>2.5</v>
      </c>
      <c r="I26" s="6" t="n">
        <v>1.5</v>
      </c>
      <c r="J26" s="6" t="n">
        <v>1</v>
      </c>
      <c r="K26" s="6" t="inlineStr">
        <is>
          <t>单应用内复用；接口简单</t>
        </is>
      </c>
      <c r="L26" s="6" t="inlineStr">
        <is>
          <t>一个组件需要多模块复用、配置、说明和兼容处理</t>
        </is>
      </c>
      <c r="M26" s="6" t="inlineStr">
        <is>
          <t>单一组件涉及跨应用版本治理、扩展机制或严格向后兼容</t>
        </is>
      </c>
      <c r="N26" s="6" t="inlineStr">
        <is>
          <t>包含多个可独立发布的组件，或需要建设平台级组件体系</t>
        </is>
      </c>
    </row>
    <row r="27" ht="48" customHeight="1">
      <c r="A27" s="6" t="inlineStr">
        <is>
          <t>TF-SHARED-TECH</t>
        </is>
      </c>
      <c r="B27" s="6" t="inlineStr">
        <is>
          <t>共性技术能力</t>
        </is>
      </c>
      <c r="C27" s="6" t="inlineStr">
        <is>
          <t>BU-CONFIG-FEATURE-FLAG</t>
        </is>
      </c>
      <c r="D27" s="6" t="inlineStr">
        <is>
          <t>配置与功能开关</t>
        </is>
      </c>
      <c r="E27" s="6" t="inlineStr">
        <is>
          <t>一个应用中的一组紧密相关配置或开关</t>
        </is>
      </c>
      <c r="F27" s="6" t="inlineStr">
        <is>
          <t>配置结构、默认值、环境覆盖、开关生命周期、权限审计、回退和验证</t>
        </is>
      </c>
      <c r="G27" s="6" t="inlineStr">
        <is>
          <t>开关控制的业务功能</t>
        </is>
      </c>
      <c r="H27" s="6" t="n">
        <v>2</v>
      </c>
      <c r="I27" s="6" t="n">
        <v>1.5</v>
      </c>
      <c r="J27" s="6" t="n">
        <v>1</v>
      </c>
      <c r="K27" s="6" t="inlineStr">
        <is>
          <t>静态配置或单一开关</t>
        </is>
      </c>
      <c r="L27" s="6" t="inlineStr">
        <is>
          <t>一个应用内按环境、租户或角色控制，并需要审计</t>
        </is>
      </c>
      <c r="M27" s="6" t="inlineStr">
        <is>
          <t>单一配置范围涉及灰度发布、开关依赖、紧急止损或跨地域一致性</t>
        </is>
      </c>
      <c r="N27" s="6" t="inlineStr">
        <is>
          <t>包含多组独立配置或开关体系，或需要建设配置平台本身</t>
        </is>
      </c>
    </row>
    <row r="28" ht="48" customHeight="1">
      <c r="A28" s="6" t="inlineStr">
        <is>
          <t>TF-ENGINEERING-PLATFORM</t>
        </is>
      </c>
      <c r="B28" s="6" t="inlineStr">
        <is>
          <t>工程平台</t>
        </is>
      </c>
      <c r="C28" s="6" t="inlineStr">
        <is>
          <t>BU-APP-BOOTSTRAP</t>
        </is>
      </c>
      <c r="D28" s="6" t="inlineStr">
        <is>
          <t>应用工程初始化</t>
        </is>
      </c>
      <c r="E28" s="6" t="inlineStr">
        <is>
          <t>一个仓库、应用或可独立构建的模块</t>
        </is>
      </c>
      <c r="F28" s="6" t="inlineStr">
        <is>
          <t>新建或调整时包括仓库或模块结构、依赖管理、构建约定、基础配置和测试入口；接入复用时只包括采用现有工程模板或开发平台所需的项目配置和验证</t>
        </is>
      </c>
      <c r="G28" s="6" t="inlineStr">
        <is>
          <t>业务功能</t>
        </is>
      </c>
      <c r="H28" s="6" t="n">
        <v>2.5</v>
      </c>
      <c r="I28" s="6" t="n">
        <v>1.5</v>
      </c>
      <c r="J28" s="6" t="n">
        <v>1</v>
      </c>
      <c r="K28" s="6" t="inlineStr">
        <is>
          <t>标准工程模板；单模块；默认约定</t>
        </is>
      </c>
      <c r="L28" s="6" t="inlineStr">
        <is>
          <t>一个仓库或应用包含多模块、自定义工程规范和多环境配置</t>
        </is>
      </c>
      <c r="M28" s="6" t="inlineStr">
        <is>
          <t>单一应用需要统一接入安全、监控和治理机制，并有较多工程定制</t>
        </is>
      </c>
      <c r="N28" s="6" t="inlineStr">
        <is>
          <t>包含多个独立仓库或应用，或需要建设组织级工程模板平台</t>
        </is>
      </c>
    </row>
    <row r="29" ht="48" customHeight="1">
      <c r="A29" s="6" t="inlineStr">
        <is>
          <t>TF-ENGINEERING-PLATFORM</t>
        </is>
      </c>
      <c r="B29" s="6" t="inlineStr">
        <is>
          <t>工程平台</t>
        </is>
      </c>
      <c r="C29" s="6" t="inlineStr">
        <is>
          <t>BU-BUILD-DEPLOY-PIPELINE</t>
        </is>
      </c>
      <c r="D29" s="6" t="inlineStr">
        <is>
          <t>构建与部署流水线</t>
        </is>
      </c>
      <c r="E29" s="6" t="inlineStr">
        <is>
          <t>一条可独立构建、部署和回滚的流水线</t>
        </is>
      </c>
      <c r="F29" s="6" t="inlineStr">
        <is>
          <t>构建、测试、制品、部署、审批、密钥、回滚步骤和基本验证</t>
        </is>
      </c>
      <c r="G29" s="6" t="inlineStr">
        <is>
          <t>基础设施资源创建</t>
        </is>
      </c>
      <c r="H29" s="6" t="n">
        <v>2.5</v>
      </c>
      <c r="I29" s="6" t="n">
        <v>1.5</v>
      </c>
      <c r="J29" s="6" t="n">
        <v>1</v>
      </c>
      <c r="K29" s="6" t="inlineStr">
        <is>
          <t>单应用；标准构建、测试和部署</t>
        </is>
      </c>
      <c r="L29" s="6" t="inlineStr">
        <is>
          <t>单应用涉及多环境、审批、制品和密钥管理</t>
        </is>
      </c>
      <c r="M29" s="6" t="inlineStr">
        <is>
          <t>单应用需要蓝绿或金丝雀发布、自动回滚或合规检查</t>
        </is>
      </c>
      <c r="N29" s="6" t="inlineStr">
        <is>
          <t>包含多条独立流水线、多应用或多地域整体改造</t>
        </is>
      </c>
    </row>
    <row r="30" ht="48" customHeight="1">
      <c r="A30" s="6" t="inlineStr">
        <is>
          <t>TF-ENGINEERING-PLATFORM</t>
        </is>
      </c>
      <c r="B30" s="6" t="inlineStr">
        <is>
          <t>工程平台</t>
        </is>
      </c>
      <c r="C30" s="6" t="inlineStr">
        <is>
          <t>BU-RUNTIME-ENV</t>
        </is>
      </c>
      <c r="D30" s="6" t="inlineStr">
        <is>
          <t>运行环境</t>
        </is>
      </c>
      <c r="E30" s="6" t="inlineStr">
        <is>
          <t>一个项目环境，例如开发、测试或生产环境</t>
        </is>
      </c>
      <c r="F30" s="6" t="inlineStr">
        <is>
          <t>运行时、中间件依赖、访问、配置、数据初始化和健康检查</t>
        </is>
      </c>
      <c r="G30" s="6" t="inlineStr">
        <is>
          <t>应用功能和独立基础设施资源</t>
        </is>
      </c>
      <c r="H30" s="6" t="n">
        <v>2</v>
      </c>
      <c r="I30" s="6" t="n">
        <v>1.5</v>
      </c>
      <c r="J30" s="6" t="n">
        <v>1</v>
      </c>
      <c r="K30" s="6" t="inlineStr">
        <is>
          <t>一个开发或测试环境；标准运行时</t>
        </is>
      </c>
      <c r="L30" s="6" t="inlineStr">
        <is>
          <t>单一环境包含多服务、共享依赖、数据初始化和权限配置</t>
        </is>
      </c>
      <c r="M30" s="6" t="inlineStr">
        <is>
          <t>单一生产环境涉及复杂网络、安全和外部依赖</t>
        </is>
      </c>
      <c r="N30" s="6" t="inlineStr">
        <is>
          <t>包含多个独立环境，或生产级高可用需要拆为基础设施任务</t>
        </is>
      </c>
    </row>
    <row r="31" ht="48" customHeight="1">
      <c r="A31" s="6" t="inlineStr">
        <is>
          <t>TF-ENGINEERING-PLATFORM</t>
        </is>
      </c>
      <c r="B31" s="6" t="inlineStr">
        <is>
          <t>工程平台</t>
        </is>
      </c>
      <c r="C31" s="6" t="inlineStr">
        <is>
          <t>BU-INFRA-RESOURCE</t>
        </is>
      </c>
      <c r="D31" s="6" t="inlineStr">
        <is>
          <t>基础设施资源</t>
        </is>
      </c>
      <c r="E31" s="6" t="inlineStr">
        <is>
          <t>一个标准资源，或一组必须共同交付的关联资源</t>
        </is>
      </c>
      <c r="F31" s="6" t="inlineStr">
        <is>
          <t>IaC、计算、存储、网络、安全、备份、监控和基础验证</t>
        </is>
      </c>
      <c r="G31" s="6" t="inlineStr">
        <is>
          <t>应用部署和业务配置</t>
        </is>
      </c>
      <c r="H31" s="6" t="n">
        <v>3</v>
      </c>
      <c r="I31" s="6" t="n">
        <v>2</v>
      </c>
      <c r="J31" s="6" t="n">
        <v>1.5</v>
      </c>
      <c r="K31" s="6" t="inlineStr">
        <is>
          <t>一个标准托管资源；单环境</t>
        </is>
      </c>
      <c r="L31" s="6" t="inlineStr">
        <is>
          <t>一组必须共同交付的关联资源，包含 IaC、网络、备份和监控</t>
        </is>
      </c>
      <c r="M31" s="6" t="inlineStr">
        <is>
          <t>单地域高可用、私网互联，或有严格安全和合规要求</t>
        </is>
      </c>
      <c r="N31" s="6" t="inlineStr">
        <is>
          <t>包含多地域、容灾方案，或多个可独立交付的资源组</t>
        </is>
      </c>
    </row>
    <row r="32" ht="48" customHeight="1">
      <c r="A32" s="6" t="inlineStr">
        <is>
          <t>TF-ENGINEERING-PLATFORM</t>
        </is>
      </c>
      <c r="B32" s="6" t="inlineStr">
        <is>
          <t>工程平台</t>
        </is>
      </c>
      <c r="C32" s="6" t="inlineStr">
        <is>
          <t>BU-DEV-TOOLS-STANDARDS</t>
        </is>
      </c>
      <c r="D32" s="6" t="inlineStr">
        <is>
          <t>开发工具与工程规范</t>
        </is>
      </c>
      <c r="E32" s="6" t="inlineStr">
        <is>
          <t>一个代码库，或一个采用同一技术栈的工程范围</t>
        </is>
      </c>
      <c r="F32" s="6" t="inlineStr">
        <is>
          <t>格式、Lint、静态分析、提交检查、质量门禁、配置和使用说明</t>
        </is>
      </c>
      <c r="G32" s="6" t="inlineStr">
        <is>
          <t>业务测试用例</t>
        </is>
      </c>
      <c r="H32" s="6" t="n">
        <v>1.5</v>
      </c>
      <c r="I32" s="6" t="n">
        <v>1</v>
      </c>
      <c r="J32" s="6" t="n">
        <v>0.5</v>
      </c>
      <c r="K32" s="6" t="inlineStr">
        <is>
          <t>单技术栈的格式、Lint 和基础规则</t>
        </is>
      </c>
      <c r="L32" s="6" t="inlineStr">
        <is>
          <t>一个代码库需要提交检查、静态分析和质量门禁</t>
        </is>
      </c>
      <c r="M32" s="6" t="inlineStr">
        <is>
          <t>单一代码库涉及多语言、自定义工具或较强治理要求</t>
        </is>
      </c>
      <c r="N32" s="6" t="inlineStr">
        <is>
          <t>包含多个代码库、互不相关的技术栈，或需要建设企业级规则平台</t>
        </is>
      </c>
    </row>
    <row r="33" ht="48" customHeight="1">
      <c r="A33" s="6" t="inlineStr">
        <is>
          <t>TF-DATA-MIGRATION</t>
        </is>
      </c>
      <c r="B33" s="6" t="inlineStr">
        <is>
          <t>数据迁移</t>
        </is>
      </c>
      <c r="C33" s="6" t="inlineStr">
        <is>
          <t>BU-DATA-MIGRATION</t>
        </is>
      </c>
      <c r="D33" s="6" t="inlineStr">
        <is>
          <t>数据迁移</t>
        </is>
      </c>
      <c r="E33" s="6" t="inlineStr">
        <is>
          <t>一个源对象到一个目标对象的迁移</t>
        </is>
      </c>
      <c r="F33" s="6" t="inlineStr">
        <is>
          <t>源目标映射、转换、迁移执行、校验对账、异常处理和必要演练</t>
        </is>
      </c>
      <c r="G33" s="6" t="inlineStr">
        <is>
          <t>发布与切换、运行环境建设和持续同步平台建设</t>
        </is>
      </c>
      <c r="H33" s="6" t="n">
        <v>2</v>
      </c>
      <c r="I33" s="6" t="n">
        <v>1.5</v>
      </c>
      <c r="J33" s="6" t="inlineStr">
        <is>
          <t>❌</t>
        </is>
      </c>
      <c r="K33" s="6" t="inlineStr">
        <is>
          <t>单一源目标对象；一对一映射；数据干净；小规模；允许停机</t>
        </is>
      </c>
      <c r="L33" s="6" t="inlineStr">
        <is>
          <t>单一源目标对象需要转换清洗、中等规模、多次演练和核对</t>
        </is>
      </c>
      <c r="M33" s="6" t="inlineStr">
        <is>
          <t>单一源目标对象数据质量差、规模较大，并需要复杂回滚和对账</t>
        </is>
      </c>
      <c r="N33" s="6" t="inlineStr">
        <is>
          <t>包含多个源目标对象、持续同步，或大规模低停机迁移</t>
        </is>
      </c>
    </row>
    <row r="34" ht="48" customHeight="1">
      <c r="A34" s="6" t="inlineStr">
        <is>
          <t>TF-RELEASE-CUTOVER</t>
        </is>
      </c>
      <c r="B34" s="6" t="inlineStr">
        <is>
          <t>发布与切换</t>
        </is>
      </c>
      <c r="C34" s="6" t="inlineStr">
        <is>
          <t>BU-RELEASE-CUTOVER</t>
        </is>
      </c>
      <c r="D34" s="6" t="inlineStr">
        <is>
          <t>发布切换</t>
        </is>
      </c>
      <c r="E34" s="6" t="inlineStr">
        <is>
          <t>一次具有统一窗口、统一责任范围和回滚方案的生产发布切换</t>
        </is>
      </c>
      <c r="F34" s="6" t="inlineStr">
        <is>
          <t>版本范围、前置条件、上线计划、窗口、执行顺序、依赖协调、RACI、Go/No-Go、演练、实际部署与切换、流量及数据检查、回滚条件与执行、上线确认和切换记录</t>
        </is>
      </c>
      <c r="G34" s="6" t="inlineStr">
        <is>
          <t>替代功能实现、任何数据迁移执行或迁移核对、运行环境或流水线建设、上线后支持</t>
        </is>
      </c>
      <c r="H34" s="6" t="n">
        <v>2.5</v>
      </c>
      <c r="I34" s="6" t="n">
        <v>1.5</v>
      </c>
      <c r="J34" s="6" t="inlineStr">
        <is>
          <t>❌</t>
        </is>
      </c>
      <c r="K34" s="6" t="inlineStr">
        <is>
          <t>单组件；允许停机；使用标准检查表</t>
        </is>
      </c>
      <c r="L34" s="6" t="inlineStr">
        <is>
          <t>一次切换涉及多个紧密关联组件、演练和明确回滚方案</t>
        </is>
      </c>
      <c r="M34" s="6" t="inlineStr">
        <is>
          <t>单一切换范围涉及多组件协同、低停机或较强业务连续性要求</t>
        </is>
      </c>
      <c r="N34" s="6" t="inlineStr">
        <is>
          <t>包含多个可独立切换的系统，或需要持续同步和完整业务连续性方案</t>
        </is>
      </c>
    </row>
    <row r="35" ht="48" customHeight="1">
      <c r="A35" s="6" t="inlineStr">
        <is>
          <t>TF-RELEASE-CUTOVER</t>
        </is>
      </c>
      <c r="B35" s="6" t="inlineStr">
        <is>
          <t>发布与切换</t>
        </is>
      </c>
      <c r="C35" s="6" t="inlineStr">
        <is>
          <t>BU-SYSTEM-RETIREMENT</t>
        </is>
      </c>
      <c r="D35" s="6" t="inlineStr">
        <is>
          <t>系统功能下线</t>
        </is>
      </c>
      <c r="E35" s="6" t="inlineStr">
        <is>
          <t>一个系统、服务、模块或可独立关闭的功能</t>
        </is>
      </c>
      <c r="F35" s="6" t="inlineStr">
        <is>
          <t>依赖盘点、停流、停作业、数据归档留存、权限配置清理、资源处置和可恢复性验证</t>
        </is>
      </c>
      <c r="G35" s="6" t="inlineStr">
        <is>
          <t>替代功能实现</t>
        </is>
      </c>
      <c r="H35" s="6" t="n">
        <v>1.5</v>
      </c>
      <c r="I35" s="6" t="inlineStr">
        <is>
          <t>❌</t>
        </is>
      </c>
      <c r="J35" s="6" t="inlineStr">
        <is>
          <t>❌</t>
        </is>
      </c>
      <c r="K35" s="6" t="inlineStr">
        <is>
          <t>单一独立系统、服务、模块或功能；无重要数据和使用方</t>
        </is>
      </c>
      <c r="L35" s="6" t="inlineStr">
        <is>
          <t>单一下线对象有多个使用方，需要数据归档、权限和配置清理</t>
        </is>
      </c>
      <c r="M35" s="6" t="inlineStr">
        <is>
          <t>单一下线对象存在共享能力、监管留存或多系统依赖，并需要可恢复下线</t>
        </is>
      </c>
      <c r="N35" s="6" t="inlineStr">
        <is>
          <t>包含多个可独立下线对象，或监管留存、跨系统依赖需要另拆任务</t>
        </is>
      </c>
    </row>
    <row r="36" ht="48" customHeight="1">
      <c r="A36" s="6" t="inlineStr">
        <is>
          <t>TF-PROBLEM-HANDLING</t>
        </is>
      </c>
      <c r="B36" s="6" t="inlineStr">
        <is>
          <t>问题处理</t>
        </is>
      </c>
      <c r="C36" s="6" t="inlineStr">
        <is>
          <t>BU-ROOT-CAUSE-REMEDIATION</t>
        </is>
      </c>
      <c r="D36" s="6" t="inlineStr">
        <is>
          <t>同一根因问题整改</t>
        </is>
      </c>
      <c r="E36" s="6" t="inlineStr">
        <is>
          <t>一个已确认根因及其边界明确的受影响范围</t>
        </is>
      </c>
      <c r="F36" s="6" t="inlineStr">
        <is>
          <t>对已确认同一根因的代码、配置或数据进行统一修复和针对性回归</t>
        </is>
      </c>
      <c r="G36" s="6" t="inlineStr">
        <is>
          <t>根因调查</t>
        </is>
      </c>
      <c r="H36" s="6" t="n">
        <v>1.5</v>
      </c>
      <c r="I36" s="6" t="inlineStr">
        <is>
          <t>❌</t>
        </is>
      </c>
      <c r="J36" s="6" t="inlineStr">
        <is>
          <t>❌</t>
        </is>
      </c>
      <c r="K36" s="6" t="inlineStr">
        <is>
          <t>根因明确；单模块；局部修复和回归</t>
        </is>
      </c>
      <c r="L36" s="6" t="inlineStr">
        <is>
          <t>同一根因影响多个紧密相关模块，并涉及配置、数据修复或较大回归</t>
        </is>
      </c>
      <c r="M36" s="6" t="inlineStr">
        <is>
          <t>同一根因跨多个模块，需要较复杂数据修复，或有较大安全影响</t>
        </is>
      </c>
      <c r="N36" s="6" t="inlineStr">
        <is>
          <t>根因尚未明确，或涉及多个独立根因、架构改造、大规模数据修复或独立安全专项</t>
        </is>
      </c>
    </row>
    <row r="37" ht="48" customHeight="1">
      <c r="A37" s="6" t="inlineStr">
        <is>
          <t>TF-ARCHITECTURE</t>
        </is>
      </c>
      <c r="B37" s="6" t="inlineStr">
        <is>
          <t>架构设计</t>
        </is>
      </c>
      <c r="C37" s="6" t="inlineStr">
        <is>
          <t>BU-ARCHITECTURE-DESIGN</t>
        </is>
      </c>
      <c r="D37" s="6" t="inlineStr">
        <is>
          <t>架构方案设计</t>
        </is>
      </c>
      <c r="E37" s="6" t="inlineStr">
        <is>
          <t>一个需要独立决策和评审的架构问题</t>
        </is>
      </c>
      <c r="F37" s="6" t="inlineStr">
        <is>
          <t>背景、候选方案、权衡、决策、影响、约束和评审记录</t>
        </is>
      </c>
      <c r="G37" s="6" t="inlineStr">
        <is>
          <t>具体实现</t>
        </is>
      </c>
      <c r="H37" s="6" t="n">
        <v>2</v>
      </c>
      <c r="I37" s="6" t="n">
        <v>1.5</v>
      </c>
      <c r="J37" s="6" t="inlineStr">
        <is>
          <t>❌</t>
        </is>
      </c>
      <c r="K37" s="6" t="inlineStr">
        <is>
          <t>单组件局部决策；1～2 个明确选项</t>
        </is>
      </c>
      <c r="L37" s="6" t="inlineStr">
        <is>
          <t>一个跨组件问题存在多个方案，并涉及性能、安全等权衡</t>
        </is>
      </c>
      <c r="M37" s="6" t="inlineStr">
        <is>
          <t>一个系统级决策需要多个团队参与，并涉及迁移路径和强约束</t>
        </is>
      </c>
      <c r="N37" s="6" t="inlineStr">
        <is>
          <t>包含多个可独立决策的问题，或完整系统战略和迁移路线需要分开设计</t>
        </is>
      </c>
    </row>
    <row r="38" ht="48" customHeight="1">
      <c r="A38" s="6" t="inlineStr">
        <is>
          <t>TF-ANALYSIS-RESEARCH</t>
        </is>
      </c>
      <c r="B38" s="6" t="inlineStr">
        <is>
          <t>分析与调研</t>
        </is>
      </c>
      <c r="C38" s="6" t="inlineStr">
        <is>
          <t>BU-RESEARCH</t>
        </is>
      </c>
      <c r="D38" s="6" t="inlineStr">
        <is>
          <t>专题调研</t>
        </is>
      </c>
      <c r="E38" s="6" t="inlineStr">
        <is>
          <t>一个问题明确且可以独立形成结论的调研主题</t>
        </is>
      </c>
      <c r="F38" s="6" t="inlineStr">
        <is>
          <t>明确问题、证据调查、必要原型或试验、结论和建议</t>
        </is>
      </c>
      <c r="G38" s="6" t="inlineStr">
        <is>
          <t>生产实现</t>
        </is>
      </c>
      <c r="H38" s="6" t="n">
        <v>2</v>
      </c>
      <c r="I38" s="6" t="inlineStr">
        <is>
          <t>❌</t>
        </is>
      </c>
      <c r="J38" s="6" t="inlineStr">
        <is>
          <t>❌</t>
        </is>
      </c>
      <c r="K38" s="6" t="inlineStr">
        <is>
          <t>单一问题；单系统；主要依赖已有证据</t>
        </is>
      </c>
      <c r="L38" s="6" t="inlineStr">
        <is>
          <t>一个问题需要多组件或多方案比较，并做验证实验</t>
        </is>
      </c>
      <c r="M38" s="6" t="inlineStr">
        <is>
          <t>一个跨系统问题需要原型或数据验证，并由多方共同形成结论</t>
        </is>
      </c>
      <c r="N38" s="6" t="inlineStr">
        <is>
          <t>包含多个独立问题，或原型、数据验证和多方评审可以分别交付</t>
        </is>
      </c>
    </row>
    <row r="39" ht="48" customHeight="1">
      <c r="A39" s="6" t="inlineStr">
        <is>
          <t>TF-PROBLEM-HANDLING</t>
        </is>
      </c>
      <c r="B39" s="6" t="inlineStr">
        <is>
          <t>问题处理</t>
        </is>
      </c>
      <c r="C39" s="6" t="inlineStr">
        <is>
          <t>BU-TECH-SUPPORT</t>
        </is>
      </c>
      <c r="D39" s="6" t="inlineStr">
        <is>
          <t>问题诊断与恢复</t>
        </is>
      </c>
      <c r="E39" s="6" t="inlineStr">
        <is>
          <t>一个具有统一问题描述和处理结论的明确问题</t>
        </is>
      </c>
      <c r="F39" s="6" t="inlineStr">
        <is>
          <t>受理分诊、证据收集、诊断、恢复或建议及处理记录</t>
        </is>
      </c>
      <c r="G39" s="6" t="inlineStr">
        <is>
          <t>上线后值守、待命容量、持续监控、另行批准的产品改造，以及对已确认根因的代码、配置或数据整改</t>
        </is>
      </c>
      <c r="H39" s="6" t="n">
        <v>2</v>
      </c>
      <c r="I39" s="6" t="inlineStr">
        <is>
          <t>❌</t>
        </is>
      </c>
      <c r="J39" s="6" t="inlineStr">
        <is>
          <t>❌</t>
        </is>
      </c>
      <c r="K39" s="6" t="inlineStr">
        <is>
          <t>单一明确问题；标准诊断；单组件</t>
        </is>
      </c>
      <c r="L39" s="6" t="inlineStr">
        <is>
          <t>一个问题涉及多组件、多日志来源或跨团队协同</t>
        </is>
      </c>
      <c r="M39" s="6" t="inlineStr">
        <is>
          <t>一个关键问题需要跨系统排查、恢复方案和深入根因分析</t>
        </is>
      </c>
      <c r="N39" s="6" t="inlineStr">
        <is>
          <t>包含多个独立问题，或需要另行批准的产品改造和专项根因分析</t>
        </is>
      </c>
    </row>
    <row r="40" ht="48" customHeight="1">
      <c r="A40" s="6" t="inlineStr">
        <is>
          <t>TF-DELIVERY-HANDOVER</t>
        </is>
      </c>
      <c r="B40" s="6" t="inlineStr">
        <is>
          <t>交付与移交</t>
        </is>
      </c>
      <c r="C40" s="6" t="inlineStr">
        <is>
          <t>BU-OPS-HANDOVER</t>
        </is>
      </c>
      <c r="D40" s="6" t="inlineStr">
        <is>
          <t>运维交接与操作手册</t>
        </is>
      </c>
      <c r="E40" s="6" t="inlineStr">
        <is>
          <t>一个服务，或一组共同部署和运维的紧密相关组件</t>
        </is>
      </c>
      <c r="F40" s="6" t="inlineStr">
        <is>
          <t>拓扑、部署、启停、监控告警、故障处理、回滚、联系范围和交接演练</t>
        </is>
      </c>
      <c r="G40" s="6" t="inlineStr">
        <is>
          <t>功能实现</t>
        </is>
      </c>
      <c r="H40" s="6" t="n">
        <v>1.5</v>
      </c>
      <c r="I40" s="6" t="n">
        <v>1</v>
      </c>
      <c r="J40" s="6" t="inlineStr">
        <is>
          <t>❌</t>
        </is>
      </c>
      <c r="K40" s="6" t="inlineStr">
        <is>
          <t>单服务；标准部署、监控和回滚说明</t>
        </is>
      </c>
      <c r="L40" s="6" t="inlineStr">
        <is>
          <t>一组共同部署和运维的组件，需要告警、值班和知识转移</t>
        </is>
      </c>
      <c r="M40" s="6" t="inlineStr">
        <is>
          <t>一个分布式服务范围涉及容灾、合规和多团队交接</t>
        </is>
      </c>
      <c r="N40" s="6" t="inlineStr">
        <is>
          <t>包含多个独立运维对象，或需要向多个运维团队分别交接</t>
        </is>
      </c>
    </row>
    <row r="41" ht="48" customHeight="1">
      <c r="A41" s="6" t="inlineStr">
        <is>
          <t>TF-DELIVERY-HANDOVER</t>
        </is>
      </c>
      <c r="B41" s="6" t="inlineStr">
        <is>
          <t>交付与移交</t>
        </is>
      </c>
      <c r="C41" s="6" t="inlineStr">
        <is>
          <t>BU-USER-TRAINING</t>
        </is>
      </c>
      <c r="D41" s="6" t="inlineStr">
        <is>
          <t>用户培训与使用材料</t>
        </is>
      </c>
      <c r="E41" s="6" t="inlineStr">
        <is>
          <t>一个明确用户群体针对一项连贯能力的培训和材料交付</t>
        </is>
      </c>
      <c r="F41" s="6" t="inlineStr">
        <is>
          <t>培训需求确认、使用材料、演示或练习、培训实施、问答、出席记录及材料移交</t>
        </is>
      </c>
      <c r="G41" s="6" t="inlineStr">
        <is>
          <t>运维交接、技术架构培训、业务内容翻译和长期培训运营</t>
        </is>
      </c>
      <c r="H41" s="6" t="n">
        <v>1.5</v>
      </c>
      <c r="I41" s="6" t="n">
        <v>1</v>
      </c>
      <c r="J41" s="6" t="inlineStr">
        <is>
          <t>❌</t>
        </is>
      </c>
      <c r="K41" s="6" t="inlineStr">
        <is>
          <t>单一角色；标准流程；一次短时讲解；无专门练习环境</t>
        </is>
      </c>
      <c r="L41" s="6" t="inlineStr">
        <is>
          <t>一个用户群体包含多个相关角色；需要演示、练习和问答</t>
        </is>
      </c>
      <c r="M41" s="6" t="inlineStr">
        <is>
          <t>多语言、Train-the-Trainer、专门练习环境或正式能力考核</t>
        </is>
      </c>
      <c r="N41" s="6" t="inlineStr">
        <is>
          <t>多个独立用户群体或多个无关产品，必须拆分</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U1"/>
  </mergeCells>
  <pageMargins left="0.75" right="0.75" top="1" bottom="1" header="0.5" footer="0.5"/>
  <pageSetup orientation="landscape" fitToWidth="1"/>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SOW</dc:creator>
  <dc:title>AI SOW 正式估算工作簿</dc:title>
  <dc:description>SOW 1.3 正式估算模板</dc:description>
  <dcterms:created xsi:type="dcterms:W3CDTF">2000-01-01T00:00:00Z</dcterms:created>
  <dcterms:modified xsi:type="dcterms:W3CDTF">2026-09-02T03:24:07Z</dcterms:modified>
  <cp:lastModifiedBy>AI SOW</cp:lastModifiedBy>
</cp:coreProperties>
</file>